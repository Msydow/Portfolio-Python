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6" codeName="{3D1A710C-6663-3D7B-7F91-EC182F24A4BC}"/>
  <workbookPr filterPrivacy="1" codeName="Ten_skoroszyt" hidePivotFieldList="1"/>
  <xr:revisionPtr revIDLastSave="0" documentId="13_ncr:1_{94CA085C-2722-42E9-8347-2625E07109A0}" xr6:coauthVersionLast="36" xr6:coauthVersionMax="36" xr10:uidLastSave="{00000000-0000-0000-0000-000000000000}"/>
  <bookViews>
    <workbookView xWindow="0" yWindow="0" windowWidth="8340" windowHeight="5110" xr2:uid="{00000000-000D-0000-FFFF-FFFF00000000}"/>
  </bookViews>
  <sheets>
    <sheet name="Aplikacja" sheetId="1" r:id="rId1"/>
    <sheet name="Baza Danych" sheetId="9" r:id="rId2"/>
    <sheet name="miasto" sheetId="24" r:id="rId3"/>
    <sheet name="wojewodztwo" sheetId="28" r:id="rId4"/>
    <sheet name="produkt" sheetId="30" r:id="rId5"/>
    <sheet name="firma" sheetId="33" r:id="rId6"/>
    <sheet name="czas" sheetId="34" r:id="rId7"/>
  </sheets>
  <calcPr calcId="191029"/>
  <pivotCaches>
    <pivotCache cacheId="20" r:id="rId8"/>
    <pivotCache cacheId="2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34" l="1"/>
  <c r="E17" i="34"/>
  <c r="E18" i="33"/>
  <c r="E17" i="33"/>
  <c r="E18" i="30"/>
  <c r="E17" i="30"/>
  <c r="E18" i="28"/>
  <c r="E17" i="28"/>
  <c r="E18" i="24"/>
  <c r="E17" i="24"/>
  <c r="D39" i="33" l="1"/>
  <c r="D39" i="30"/>
  <c r="D39" i="28"/>
  <c r="D39" i="24"/>
  <c r="E15" i="34"/>
  <c r="E15" i="33"/>
  <c r="E15" i="30"/>
  <c r="E15" i="28"/>
  <c r="E11" i="34"/>
  <c r="E10" i="34"/>
  <c r="E9" i="34"/>
  <c r="E8" i="34"/>
  <c r="E7" i="34"/>
  <c r="E11" i="33"/>
  <c r="E10" i="33"/>
  <c r="E9" i="33"/>
  <c r="E8" i="33"/>
  <c r="E7" i="33"/>
  <c r="E11" i="30"/>
  <c r="E10" i="30"/>
  <c r="E9" i="30"/>
  <c r="E8" i="30"/>
  <c r="E7" i="30"/>
  <c r="E11" i="28"/>
  <c r="E10" i="28"/>
  <c r="E9" i="28"/>
  <c r="E8" i="28"/>
  <c r="E7" i="28"/>
  <c r="E15" i="24"/>
  <c r="E11" i="24"/>
  <c r="E10" i="24"/>
  <c r="E9" i="24"/>
  <c r="E8" i="24"/>
  <c r="E7" i="24"/>
  <c r="E16" i="34" l="1"/>
  <c r="E16" i="33"/>
  <c r="E16" i="30"/>
  <c r="E16" i="28"/>
  <c r="E16" i="24"/>
</calcChain>
</file>

<file path=xl/sharedStrings.xml><?xml version="1.0" encoding="utf-8"?>
<sst xmlns="http://schemas.openxmlformats.org/spreadsheetml/2006/main" count="7791" uniqueCount="82">
  <si>
    <t>Brand</t>
  </si>
  <si>
    <t>Produkt</t>
  </si>
  <si>
    <t>Tydzień</t>
  </si>
  <si>
    <t>Sprzedaż</t>
  </si>
  <si>
    <t>Województwo</t>
  </si>
  <si>
    <t>Miasto</t>
  </si>
  <si>
    <t>Sony</t>
  </si>
  <si>
    <t>DVD</t>
  </si>
  <si>
    <t>Dolnoslaskie</t>
  </si>
  <si>
    <t>Wroclaw</t>
  </si>
  <si>
    <t>Philips</t>
  </si>
  <si>
    <t>Lubelskie</t>
  </si>
  <si>
    <t>Lublin</t>
  </si>
  <si>
    <t>Panasonic</t>
  </si>
  <si>
    <t>Lubuskie</t>
  </si>
  <si>
    <t>Zielona Gora</t>
  </si>
  <si>
    <t>Toshiba</t>
  </si>
  <si>
    <t>Lodzkie</t>
  </si>
  <si>
    <t>Lodz</t>
  </si>
  <si>
    <t>LG</t>
  </si>
  <si>
    <t>Malopolskie</t>
  </si>
  <si>
    <t>Krakow</t>
  </si>
  <si>
    <t>Samsung</t>
  </si>
  <si>
    <t>Mazowieckie</t>
  </si>
  <si>
    <t>Warszawa</t>
  </si>
  <si>
    <t>HiFi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</si>
  <si>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</si>
  <si>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</si>
  <si>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</si>
  <si>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</si>
  <si>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</si>
  <si>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</si>
  <si>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</si>
  <si>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</si>
  <si>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</si>
  <si>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</si>
  <si>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</si>
  <si>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</si>
  <si>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Aparat cyfrowy</t>
  </si>
  <si>
    <t>Wielkopolskie</t>
  </si>
  <si>
    <t>Poznan</t>
  </si>
  <si>
    <t>Zachodniopomorskie</t>
  </si>
  <si>
    <t>Koszalin</t>
  </si>
  <si>
    <t>Car Audio</t>
  </si>
  <si>
    <t>Monitor</t>
  </si>
  <si>
    <t>LCD</t>
  </si>
  <si>
    <t>Aktualnie wybrany raport to:</t>
  </si>
  <si>
    <t>Dostępne możliwości to:</t>
  </si>
  <si>
    <t>Raport sprzedażowy dla miasta:</t>
  </si>
  <si>
    <t>Maksymalna sprzedaż:</t>
  </si>
  <si>
    <t>Łączna sprzedaż:</t>
  </si>
  <si>
    <t>Średnia sprzedaż:</t>
  </si>
  <si>
    <t>Mediana sprzedaży:</t>
  </si>
  <si>
    <t>Minimalna sprzedaż:</t>
  </si>
  <si>
    <t>Dane dla całej firmy:</t>
  </si>
  <si>
    <t>Dane dla wybranego miasta:</t>
  </si>
  <si>
    <t>Udział w sprzedaży:</t>
  </si>
  <si>
    <t>Najlepiej sprzedająca się marka:</t>
  </si>
  <si>
    <t>Najlepiej sprzedający się produkt:</t>
  </si>
  <si>
    <t>Podsumowanie:</t>
  </si>
  <si>
    <t xml:space="preserve">Pozycja w rankingu miast: </t>
  </si>
  <si>
    <t>Sprzedaż powyżej średniej, gratulacje.</t>
  </si>
  <si>
    <t>Raport sprzedażowy dla województwa:</t>
  </si>
  <si>
    <t>Dane dla wybranego województwa:</t>
  </si>
  <si>
    <t xml:space="preserve">Pozycja w rankingu: </t>
  </si>
  <si>
    <t>Raport sprzedażowy dla produktu:</t>
  </si>
  <si>
    <t>Dane dla wybranego produktu:</t>
  </si>
  <si>
    <t>Najlepiej sprzedaje się w mieście:</t>
  </si>
  <si>
    <t>Raport sprzedażowy dla marki:</t>
  </si>
  <si>
    <t>Dane dla wybranego marki:</t>
  </si>
  <si>
    <t>Raport sprzedażowy dla tygodnia:</t>
  </si>
  <si>
    <t>Dane dla wybranego tygodnia:</t>
  </si>
  <si>
    <t>Największy zysk w mieście:</t>
  </si>
  <si>
    <t>Etykiety wierszy</t>
  </si>
  <si>
    <t>(puste)</t>
  </si>
  <si>
    <t>Suma z Sprzedaż</t>
  </si>
  <si>
    <t>(Wszystko)</t>
  </si>
  <si>
    <t xml:space="preserve">Dla raportu danego województwa, </t>
  </si>
  <si>
    <t>proszę wybrać z mapy</t>
  </si>
  <si>
    <t>wojewodztwo</t>
  </si>
  <si>
    <t>Pierwszy dostępny tydzień to 1</t>
  </si>
  <si>
    <t>Ostatni dostępny tydzień to 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</si>
</sst>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zł&quot;;[Red]\-#,##0\ &quot;zł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0" fillId="3" borderId="0" xfId="0" applyFill="1" applyBorder="1"/>
    <xf numFmtId="0" fontId="0" fillId="3" borderId="0" xfId="0" applyFill="1" applyBorder="1" applyAlignment="1"/>
    <xf numFmtId="0" fontId="0" fillId="4" borderId="0" xfId="0" applyFill="1" applyBorder="1"/>
    <xf numFmtId="6" fontId="0" fillId="4" borderId="0" xfId="0" applyNumberFormat="1" applyFill="1"/>
    <xf numFmtId="9" fontId="0" fillId="4" borderId="0" xfId="0" applyNumberFormat="1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3" fillId="4" borderId="0" xfId="0" applyFont="1" applyFill="1"/>
    <xf numFmtId="0" fontId="4" fillId="4" borderId="0" xfId="0" applyFont="1" applyFill="1"/>
    <xf numFmtId="0" fontId="4" fillId="4" borderId="0" xfId="0" applyFont="1" applyFill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4" borderId="0" xfId="1" applyFont="1" applyFill="1"/>
    <xf numFmtId="0" fontId="0" fillId="4" borderId="0" xfId="0" quotePrefix="1" applyFill="1" applyAlignment="1">
      <alignment horizontal="right"/>
    </xf>
    <xf numFmtId="0" fontId="5" fillId="4" borderId="0" xfId="0" applyFont="1" applyFill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[Zadanie3.xlsm]miasto!Tabela przestawna3</c:name>
    <c:fmtId val="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miasto!$R$5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A-4FC3-9D3C-92DB3350FDCD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A-4FC3-9D3C-92DB3350FDCD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A-4FC3-9D3C-92DB3350FD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miasto!$Q$6:$Q$8</c:f>
              <c:strCache>
                <c:ptCount val="3"/>
                <c:pt idx="0">
                  <c:v>Car Audio</c:v>
                </c:pt>
                <c:pt idx="1">
                  <c:v>DVD</c:v>
                </c:pt>
                <c:pt idx="2">
                  <c:v>LCD</c:v>
                </c:pt>
              </c:strCache>
            </c:strRef>
          </c:cat>
          <c:val>
            <c:numRef>
              <c:f>miasto!$R$6:$R$8</c:f>
              <c:numCache>
                <c:formatCode>General</c:formatCode>
                <c:ptCount val="3"/>
                <c:pt idx="0">
                  <c:v>9888</c:v>
                </c:pt>
                <c:pt idx="1">
                  <c:v>3157</c:v>
                </c:pt>
                <c:pt idx="2">
                  <c:v>17951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5-4058-BBC6-A630DA2DC767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[Zadanie3.xlsm]miasto!Tabela przestawna4</c:name>
    <c:fmtId val="3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miasto!$W$5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28-4680-966B-E44A941E2C9D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28-4680-966B-E44A941E2C9D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28-4680-966B-E44A941E2C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miasto!$V$6:$V$8</c:f>
              <c:strCache>
                <c:ptCount val="3"/>
                <c:pt idx="0">
                  <c:v>Philips</c:v>
                </c:pt>
                <c:pt idx="1">
                  <c:v>Samsung</c:v>
                </c:pt>
                <c:pt idx="2">
                  <c:v>Toshiba</c:v>
                </c:pt>
              </c:strCache>
            </c:strRef>
          </c:cat>
          <c:val>
            <c:numRef>
              <c:f>miasto!$W$6:$W$8</c:f>
              <c:numCache>
                <c:formatCode>General</c:formatCode>
                <c:ptCount val="3"/>
                <c:pt idx="0">
                  <c:v>9888</c:v>
                </c:pt>
                <c:pt idx="1">
                  <c:v>3157</c:v>
                </c:pt>
                <c:pt idx="2">
                  <c:v>17951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DE-4EC4-958D-ADB701026B8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0" verticalDpi="0"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[Zadanie3.xlsm]miasto!Tabela przestawna2</c:name>
    <c:fmtId val="2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miasto!$M$5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F48-44A5-8174-928893900897}"/>
              </c:ext>
            </c:extLst>
          </c:dPt>
          <c:cat>
            <c:strRef>
              <c:f>miasto!$L$6:$L$20</c:f>
              <c:strCache>
                <c:ptCount val="15"/>
                <c:pt idx="0">
                  <c:v>Opole</c:v>
                </c:pt>
                <c:pt idx="1">
                  <c:v>Wroclaw</c:v>
                </c:pt>
                <c:pt idx="2">
                  <c:v>Lublin</c:v>
                </c:pt>
                <c:pt idx="3">
                  <c:v>Zielona Gora</c:v>
                </c:pt>
                <c:pt idx="4">
                  <c:v>Bialystok</c:v>
                </c:pt>
                <c:pt idx="5">
                  <c:v>Sopot</c:v>
                </c:pt>
                <c:pt idx="6">
                  <c:v>Lodz</c:v>
                </c:pt>
                <c:pt idx="7">
                  <c:v>Koszalin</c:v>
                </c:pt>
                <c:pt idx="8">
                  <c:v>Warszawa</c:v>
                </c:pt>
                <c:pt idx="9">
                  <c:v>Krakow</c:v>
                </c:pt>
                <c:pt idx="10">
                  <c:v>Kilece</c:v>
                </c:pt>
                <c:pt idx="11">
                  <c:v>Katowice</c:v>
                </c:pt>
                <c:pt idx="12">
                  <c:v>Rzeszow</c:v>
                </c:pt>
                <c:pt idx="13">
                  <c:v>Poznan</c:v>
                </c:pt>
                <c:pt idx="14">
                  <c:v>(puste)</c:v>
                </c:pt>
              </c:strCache>
            </c:strRef>
          </c:cat>
          <c:val>
            <c:numRef>
              <c:f>miasto!$M$6:$M$20</c:f>
              <c:numCache>
                <c:formatCode>General</c:formatCode>
                <c:ptCount val="15"/>
                <c:pt idx="0">
                  <c:v>74132</c:v>
                </c:pt>
                <c:pt idx="1">
                  <c:v>65703</c:v>
                </c:pt>
                <c:pt idx="2">
                  <c:v>63905</c:v>
                </c:pt>
                <c:pt idx="3">
                  <c:v>62254</c:v>
                </c:pt>
                <c:pt idx="4">
                  <c:v>45560</c:v>
                </c:pt>
                <c:pt idx="5">
                  <c:v>41460</c:v>
                </c:pt>
                <c:pt idx="6">
                  <c:v>39216</c:v>
                </c:pt>
                <c:pt idx="7">
                  <c:v>34941</c:v>
                </c:pt>
                <c:pt idx="8">
                  <c:v>30996</c:v>
                </c:pt>
                <c:pt idx="9">
                  <c:v>29220</c:v>
                </c:pt>
                <c:pt idx="10">
                  <c:v>28257</c:v>
                </c:pt>
                <c:pt idx="11">
                  <c:v>26704</c:v>
                </c:pt>
                <c:pt idx="12">
                  <c:v>22919</c:v>
                </c:pt>
                <c:pt idx="13">
                  <c:v>20408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8-44A5-8174-928893900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7407376"/>
        <c:axId val="912560128"/>
      </c:barChart>
      <c:catAx>
        <c:axId val="126740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2560128"/>
        <c:crosses val="autoZero"/>
        <c:auto val="1"/>
        <c:lblAlgn val="ctr"/>
        <c:lblOffset val="100"/>
        <c:noMultiLvlLbl val="0"/>
      </c:catAx>
      <c:valAx>
        <c:axId val="91256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6740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[Zadanie3.xlsm]wojewodztwo!Tabela przestawna8</c:name>
    <c:fmtId val="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wojewodztwo!$W$5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A6-4551-90F6-03AB1908C30F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A6-4551-90F6-03AB1908C30F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A6-4551-90F6-03AB1908C3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wojewodztwo!$V$6:$V$7</c:f>
              <c:strCache>
                <c:ptCount val="2"/>
                <c:pt idx="0">
                  <c:v>LG</c:v>
                </c:pt>
                <c:pt idx="1">
                  <c:v>Panasonic</c:v>
                </c:pt>
              </c:strCache>
            </c:strRef>
          </c:cat>
          <c:val>
            <c:numRef>
              <c:f>wojewodztwo!$W$6:$W$7</c:f>
              <c:numCache>
                <c:formatCode>General</c:formatCode>
                <c:ptCount val="2"/>
                <c:pt idx="0">
                  <c:v>19837</c:v>
                </c:pt>
                <c:pt idx="1">
                  <c:v>25723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D4-490B-99B3-7D55FDFB684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[Zadanie3.xlsm]wojewodztwo!Tabela przestawna9</c:name>
    <c:fmtId val="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wojewodztwo!$R$5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4D-4A3B-BA9A-995FF26FE4A6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4D-4A3B-BA9A-995FF26FE4A6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4D-4A3B-BA9A-995FF26FE4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wojewodztwo!$Q$6:$Q$7</c:f>
              <c:strCache>
                <c:ptCount val="2"/>
                <c:pt idx="0">
                  <c:v>Car Audio</c:v>
                </c:pt>
                <c:pt idx="1">
                  <c:v>HiFi</c:v>
                </c:pt>
              </c:strCache>
            </c:strRef>
          </c:cat>
          <c:val>
            <c:numRef>
              <c:f>wojewodztwo!$R$6:$R$7</c:f>
              <c:numCache>
                <c:formatCode>General</c:formatCode>
                <c:ptCount val="2"/>
                <c:pt idx="0">
                  <c:v>19837</c:v>
                </c:pt>
                <c:pt idx="1">
                  <c:v>25723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B-4C78-84A4-736C7D54DEAA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[Zadanie3.xlsm]wojewodztwo!Tabela przestawna10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wojewodztwo!$M$5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B4A-422E-898F-C46DB893C90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792-421B-BDA2-C12446C6A621}"/>
              </c:ext>
            </c:extLst>
          </c:dPt>
          <c:cat>
            <c:strRef>
              <c:f>wojewodztwo!$L$6:$L$20</c:f>
              <c:strCache>
                <c:ptCount val="15"/>
                <c:pt idx="0">
                  <c:v>Opolskie</c:v>
                </c:pt>
                <c:pt idx="1">
                  <c:v>Dolnoslaskie</c:v>
                </c:pt>
                <c:pt idx="2">
                  <c:v>Lubelskie</c:v>
                </c:pt>
                <c:pt idx="3">
                  <c:v>Lubuskie</c:v>
                </c:pt>
                <c:pt idx="4">
                  <c:v>Podlaskie</c:v>
                </c:pt>
                <c:pt idx="5">
                  <c:v>Pomorskie</c:v>
                </c:pt>
                <c:pt idx="6">
                  <c:v>Lodzkie</c:v>
                </c:pt>
                <c:pt idx="7">
                  <c:v>Zachodniopomorskie</c:v>
                </c:pt>
                <c:pt idx="8">
                  <c:v>Mazowieckie</c:v>
                </c:pt>
                <c:pt idx="9">
                  <c:v>Malopolskie</c:v>
                </c:pt>
                <c:pt idx="10">
                  <c:v>Swietokrzyskie</c:v>
                </c:pt>
                <c:pt idx="11">
                  <c:v>Slaskie</c:v>
                </c:pt>
                <c:pt idx="12">
                  <c:v>Podkarpackie</c:v>
                </c:pt>
                <c:pt idx="13">
                  <c:v>Wielkopolskie</c:v>
                </c:pt>
                <c:pt idx="14">
                  <c:v>(puste)</c:v>
                </c:pt>
              </c:strCache>
            </c:strRef>
          </c:cat>
          <c:val>
            <c:numRef>
              <c:f>wojewodztwo!$M$6:$M$20</c:f>
              <c:numCache>
                <c:formatCode>General</c:formatCode>
                <c:ptCount val="15"/>
                <c:pt idx="0">
                  <c:v>74132</c:v>
                </c:pt>
                <c:pt idx="1">
                  <c:v>65703</c:v>
                </c:pt>
                <c:pt idx="2">
                  <c:v>63905</c:v>
                </c:pt>
                <c:pt idx="3">
                  <c:v>62254</c:v>
                </c:pt>
                <c:pt idx="4">
                  <c:v>45560</c:v>
                </c:pt>
                <c:pt idx="5">
                  <c:v>41460</c:v>
                </c:pt>
                <c:pt idx="6">
                  <c:v>39216</c:v>
                </c:pt>
                <c:pt idx="7">
                  <c:v>34941</c:v>
                </c:pt>
                <c:pt idx="8">
                  <c:v>30996</c:v>
                </c:pt>
                <c:pt idx="9">
                  <c:v>29220</c:v>
                </c:pt>
                <c:pt idx="10">
                  <c:v>28257</c:v>
                </c:pt>
                <c:pt idx="11">
                  <c:v>26704</c:v>
                </c:pt>
                <c:pt idx="12">
                  <c:v>22919</c:v>
                </c:pt>
                <c:pt idx="13">
                  <c:v>20408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92-421B-BDA2-C12446C6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2696704"/>
        <c:axId val="912559712"/>
      </c:barChart>
      <c:catAx>
        <c:axId val="111269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2559712"/>
        <c:crosses val="autoZero"/>
        <c:auto val="1"/>
        <c:lblAlgn val="ctr"/>
        <c:lblOffset val="100"/>
        <c:noMultiLvlLbl val="0"/>
      </c:catAx>
      <c:valAx>
        <c:axId val="91255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1269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[Zadanie3.xlsm]produkt!Tabela przestawna11</c:name>
    <c:fmtId val="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produkt!$W$5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50-4EF3-AD65-5367FC41AB9E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50-4EF3-AD65-5367FC41AB9E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50-4EF3-AD65-5367FC41AB9E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50-4EF3-AD65-5367FC41AB9E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E50-4EF3-AD65-5367FC41AB9E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50-4EF3-AD65-5367FC41AB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produkt!$V$6:$V$11</c:f>
              <c:strCache>
                <c:ptCount val="6"/>
                <c:pt idx="0">
                  <c:v>LG</c:v>
                </c:pt>
                <c:pt idx="1">
                  <c:v>Panasonic</c:v>
                </c:pt>
                <c:pt idx="2">
                  <c:v>Philips</c:v>
                </c:pt>
                <c:pt idx="3">
                  <c:v>Samsung</c:v>
                </c:pt>
                <c:pt idx="4">
                  <c:v>Sony</c:v>
                </c:pt>
                <c:pt idx="5">
                  <c:v>Toshiba</c:v>
                </c:pt>
              </c:strCache>
            </c:strRef>
          </c:cat>
          <c:val>
            <c:numRef>
              <c:f>produkt!$W$6:$W$11</c:f>
              <c:numCache>
                <c:formatCode>General</c:formatCode>
                <c:ptCount val="6"/>
                <c:pt idx="0">
                  <c:v>19022</c:v>
                </c:pt>
                <c:pt idx="1">
                  <c:v>27887</c:v>
                </c:pt>
                <c:pt idx="2">
                  <c:v>9826</c:v>
                </c:pt>
                <c:pt idx="3">
                  <c:v>10976</c:v>
                </c:pt>
                <c:pt idx="4">
                  <c:v>655</c:v>
                </c:pt>
                <c:pt idx="5">
                  <c:v>23978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02-4178-8E76-99C41FEA1D1F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[Zadanie3.xlsm]produkt!Tabela przestawna12</c:name>
    <c:fmtId val="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produkt!$R$5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1D-4499-91E8-0C712423D992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1D-4499-91E8-0C712423D992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1D-4499-91E8-0C712423D992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1D-4499-91E8-0C712423D992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1D-4499-91E8-0C712423D992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11D-4499-91E8-0C712423D9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produkt!$Q$6:$Q$11</c:f>
              <c:strCache>
                <c:ptCount val="6"/>
                <c:pt idx="0">
                  <c:v>Koszalin</c:v>
                </c:pt>
                <c:pt idx="1">
                  <c:v>Lodz</c:v>
                </c:pt>
                <c:pt idx="2">
                  <c:v>Lublin</c:v>
                </c:pt>
                <c:pt idx="3">
                  <c:v>Poznan</c:v>
                </c:pt>
                <c:pt idx="4">
                  <c:v>Wroclaw</c:v>
                </c:pt>
                <c:pt idx="5">
                  <c:v>Zielona Gora</c:v>
                </c:pt>
              </c:strCache>
            </c:strRef>
          </c:cat>
          <c:val>
            <c:numRef>
              <c:f>produkt!$R$6:$R$11</c:f>
              <c:numCache>
                <c:formatCode>General</c:formatCode>
                <c:ptCount val="6"/>
                <c:pt idx="0">
                  <c:v>9826</c:v>
                </c:pt>
                <c:pt idx="1">
                  <c:v>10976</c:v>
                </c:pt>
                <c:pt idx="2">
                  <c:v>23978</c:v>
                </c:pt>
                <c:pt idx="3">
                  <c:v>655</c:v>
                </c:pt>
                <c:pt idx="4">
                  <c:v>27887</c:v>
                </c:pt>
                <c:pt idx="5">
                  <c:v>19022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0-4251-BBFC-0ECD0F104A3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[Zadanie3.xlsm]produkt!Tabela przestawna13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produkt!$M$5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5F-452E-B189-DC71576BF784}"/>
              </c:ext>
            </c:extLst>
          </c:dPt>
          <c:cat>
            <c:strRef>
              <c:f>produkt!$L$6:$L$12</c:f>
              <c:strCache>
                <c:ptCount val="7"/>
                <c:pt idx="0">
                  <c:v>HiFi</c:v>
                </c:pt>
                <c:pt idx="1">
                  <c:v>LCD</c:v>
                </c:pt>
                <c:pt idx="2">
                  <c:v>Monitor</c:v>
                </c:pt>
                <c:pt idx="3">
                  <c:v>Aparat cyfrowy</c:v>
                </c:pt>
                <c:pt idx="4">
                  <c:v>DVD</c:v>
                </c:pt>
                <c:pt idx="5">
                  <c:v>Car Audio</c:v>
                </c:pt>
                <c:pt idx="6">
                  <c:v>(puste)</c:v>
                </c:pt>
              </c:strCache>
            </c:strRef>
          </c:cat>
          <c:val>
            <c:numRef>
              <c:f>produkt!$M$6:$M$12</c:f>
              <c:numCache>
                <c:formatCode>General</c:formatCode>
                <c:ptCount val="7"/>
                <c:pt idx="0">
                  <c:v>118943</c:v>
                </c:pt>
                <c:pt idx="1">
                  <c:v>102785</c:v>
                </c:pt>
                <c:pt idx="2">
                  <c:v>94875</c:v>
                </c:pt>
                <c:pt idx="3">
                  <c:v>92344</c:v>
                </c:pt>
                <c:pt idx="4">
                  <c:v>91354</c:v>
                </c:pt>
                <c:pt idx="5">
                  <c:v>85374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5F-452E-B189-DC71576BF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1180960"/>
        <c:axId val="1104475632"/>
      </c:barChart>
      <c:catAx>
        <c:axId val="11011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04475632"/>
        <c:crosses val="autoZero"/>
        <c:auto val="1"/>
        <c:lblAlgn val="ctr"/>
        <c:lblOffset val="100"/>
        <c:noMultiLvlLbl val="0"/>
      </c:catAx>
      <c:valAx>
        <c:axId val="110447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011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[Zadanie3.xlsm]firma!Tabela przestawna15</c:name>
    <c:fmtId val="2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firma!$R$5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5E-4F13-8464-FAFFBFD28F7D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5E-4F13-8464-FAFFBFD28F7D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5E-4F13-8464-FAFFBFD28F7D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5E-4F13-8464-FAFFBFD28F7D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5E-4F13-8464-FAFFBFD28F7D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5E-4F13-8464-FAFFBFD28F7D}"/>
              </c:ext>
            </c:extLst>
          </c:dPt>
          <c:dPt>
            <c:idx val="6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46F-4731-B442-416C440B4D8F}"/>
              </c:ext>
            </c:extLst>
          </c:dPt>
          <c:dPt>
            <c:idx val="7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46F-4731-B442-416C440B4D8F}"/>
              </c:ext>
            </c:extLst>
          </c:dPt>
          <c:dPt>
            <c:idx val="8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46F-4731-B442-416C440B4D8F}"/>
              </c:ext>
            </c:extLst>
          </c:dPt>
          <c:dPt>
            <c:idx val="9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46F-4731-B442-416C440B4D8F}"/>
              </c:ext>
            </c:extLst>
          </c:dPt>
          <c:dPt>
            <c:idx val="1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46F-4731-B442-416C440B4D8F}"/>
              </c:ext>
            </c:extLst>
          </c:dPt>
          <c:dPt>
            <c:idx val="1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46F-4731-B442-416C440B4D8F}"/>
              </c:ext>
            </c:extLst>
          </c:dPt>
          <c:dPt>
            <c:idx val="1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46F-4731-B442-416C440B4D8F}"/>
              </c:ext>
            </c:extLst>
          </c:dPt>
          <c:dPt>
            <c:idx val="1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46F-4731-B442-416C440B4D8F}"/>
              </c:ext>
            </c:extLst>
          </c:dPt>
          <c:dPt>
            <c:idx val="1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46F-4731-B442-416C440B4D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firma!$Q$6:$Q$20</c:f>
              <c:strCache>
                <c:ptCount val="15"/>
                <c:pt idx="0">
                  <c:v>Bialystok</c:v>
                </c:pt>
                <c:pt idx="1">
                  <c:v>Katowice</c:v>
                </c:pt>
                <c:pt idx="2">
                  <c:v>Kilece</c:v>
                </c:pt>
                <c:pt idx="3">
                  <c:v>Koszalin</c:v>
                </c:pt>
                <c:pt idx="4">
                  <c:v>Krakow</c:v>
                </c:pt>
                <c:pt idx="5">
                  <c:v>Lodz</c:v>
                </c:pt>
                <c:pt idx="6">
                  <c:v>Lublin</c:v>
                </c:pt>
                <c:pt idx="7">
                  <c:v>Opole</c:v>
                </c:pt>
                <c:pt idx="8">
                  <c:v>Poznan</c:v>
                </c:pt>
                <c:pt idx="9">
                  <c:v>Rzeszow</c:v>
                </c:pt>
                <c:pt idx="10">
                  <c:v>Sopot</c:v>
                </c:pt>
                <c:pt idx="11">
                  <c:v>Warszawa</c:v>
                </c:pt>
                <c:pt idx="12">
                  <c:v>Wroclaw</c:v>
                </c:pt>
                <c:pt idx="13">
                  <c:v>Zielona Gora</c:v>
                </c:pt>
                <c:pt idx="14">
                  <c:v>(puste)</c:v>
                </c:pt>
              </c:strCache>
            </c:strRef>
          </c:cat>
          <c:val>
            <c:numRef>
              <c:f>firma!$R$6:$R$20</c:f>
              <c:numCache>
                <c:formatCode>General</c:formatCode>
                <c:ptCount val="15"/>
                <c:pt idx="0">
                  <c:v>45560</c:v>
                </c:pt>
                <c:pt idx="1">
                  <c:v>26704</c:v>
                </c:pt>
                <c:pt idx="2">
                  <c:v>28257</c:v>
                </c:pt>
                <c:pt idx="3">
                  <c:v>34941</c:v>
                </c:pt>
                <c:pt idx="4">
                  <c:v>29220</c:v>
                </c:pt>
                <c:pt idx="5">
                  <c:v>39216</c:v>
                </c:pt>
                <c:pt idx="6">
                  <c:v>63905</c:v>
                </c:pt>
                <c:pt idx="7">
                  <c:v>74132</c:v>
                </c:pt>
                <c:pt idx="8">
                  <c:v>20408</c:v>
                </c:pt>
                <c:pt idx="9">
                  <c:v>22919</c:v>
                </c:pt>
                <c:pt idx="10">
                  <c:v>41460</c:v>
                </c:pt>
                <c:pt idx="11">
                  <c:v>30996</c:v>
                </c:pt>
                <c:pt idx="12">
                  <c:v>65703</c:v>
                </c:pt>
                <c:pt idx="13">
                  <c:v>62254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9-42C4-8387-B4C96F7957A1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[Zadanie3.xlsm]firma!Tabela przestawna14</c:name>
    <c:fmtId val="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firma!$W$5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1E-4097-AC93-6C0E1562ACB1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1E-4097-AC93-6C0E1562ACB1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1E-4097-AC93-6C0E1562ACB1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11E-4097-AC93-6C0E1562ACB1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11E-4097-AC93-6C0E1562ACB1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11E-4097-AC93-6C0E1562ACB1}"/>
              </c:ext>
            </c:extLst>
          </c:dPt>
          <c:dPt>
            <c:idx val="6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11E-4097-AC93-6C0E1562AC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firma!$V$6:$V$12</c:f>
              <c:strCache>
                <c:ptCount val="7"/>
                <c:pt idx="0">
                  <c:v>Aparat cyfrowy</c:v>
                </c:pt>
                <c:pt idx="1">
                  <c:v>Car Audio</c:v>
                </c:pt>
                <c:pt idx="2">
                  <c:v>DVD</c:v>
                </c:pt>
                <c:pt idx="3">
                  <c:v>HiFi</c:v>
                </c:pt>
                <c:pt idx="4">
                  <c:v>LCD</c:v>
                </c:pt>
                <c:pt idx="5">
                  <c:v>Monitor</c:v>
                </c:pt>
                <c:pt idx="6">
                  <c:v>(puste)</c:v>
                </c:pt>
              </c:strCache>
            </c:strRef>
          </c:cat>
          <c:val>
            <c:numRef>
              <c:f>firma!$W$6:$W$12</c:f>
              <c:numCache>
                <c:formatCode>General</c:formatCode>
                <c:ptCount val="7"/>
                <c:pt idx="0">
                  <c:v>92344</c:v>
                </c:pt>
                <c:pt idx="1">
                  <c:v>85374</c:v>
                </c:pt>
                <c:pt idx="2">
                  <c:v>91354</c:v>
                </c:pt>
                <c:pt idx="3">
                  <c:v>118943</c:v>
                </c:pt>
                <c:pt idx="4">
                  <c:v>102785</c:v>
                </c:pt>
                <c:pt idx="5">
                  <c:v>94875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D-44E4-B081-B39F1D33C9B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[Zadanie3.xlsm]firma!Tabela przestawna16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firma!$M$5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firma!$L$6:$L$12</c:f>
              <c:strCache>
                <c:ptCount val="7"/>
                <c:pt idx="0">
                  <c:v>Panasonic</c:v>
                </c:pt>
                <c:pt idx="1">
                  <c:v>LG</c:v>
                </c:pt>
                <c:pt idx="2">
                  <c:v>Philips</c:v>
                </c:pt>
                <c:pt idx="3">
                  <c:v>Toshiba</c:v>
                </c:pt>
                <c:pt idx="4">
                  <c:v>Sony</c:v>
                </c:pt>
                <c:pt idx="5">
                  <c:v>Samsung</c:v>
                </c:pt>
                <c:pt idx="6">
                  <c:v>(puste)</c:v>
                </c:pt>
              </c:strCache>
            </c:strRef>
          </c:cat>
          <c:val>
            <c:numRef>
              <c:f>firma!$M$6:$M$12</c:f>
              <c:numCache>
                <c:formatCode>General</c:formatCode>
                <c:ptCount val="7"/>
                <c:pt idx="0">
                  <c:v>127032</c:v>
                </c:pt>
                <c:pt idx="1">
                  <c:v>117793</c:v>
                </c:pt>
                <c:pt idx="2">
                  <c:v>101455</c:v>
                </c:pt>
                <c:pt idx="3">
                  <c:v>94112</c:v>
                </c:pt>
                <c:pt idx="4">
                  <c:v>79156</c:v>
                </c:pt>
                <c:pt idx="5">
                  <c:v>66127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9-4F2A-AF85-2F52A344B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95983"/>
        <c:axId val="1445690495"/>
      </c:barChart>
      <c:catAx>
        <c:axId val="80859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45690495"/>
        <c:crosses val="autoZero"/>
        <c:auto val="1"/>
        <c:lblAlgn val="ctr"/>
        <c:lblOffset val="100"/>
        <c:noMultiLvlLbl val="0"/>
      </c:catAx>
      <c:valAx>
        <c:axId val="144569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0859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[Zadanie3.xlsm]czas!Tabela przestawna17</c:name>
    <c:fmtId val="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czas!$W$5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6F0-434A-B9FD-5FBB48E45E54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6F0-434A-B9FD-5FBB48E45E54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6F0-434A-B9FD-5FBB48E45E54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6F0-434A-B9FD-5FBB48E45E54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6F0-434A-B9FD-5FBB48E45E54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6F0-434A-B9FD-5FBB48E45E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czas!$V$6:$V$11</c:f>
              <c:strCache>
                <c:ptCount val="6"/>
                <c:pt idx="0">
                  <c:v>Aparat cyfrowy</c:v>
                </c:pt>
                <c:pt idx="1">
                  <c:v>Car Audio</c:v>
                </c:pt>
                <c:pt idx="2">
                  <c:v>DVD</c:v>
                </c:pt>
                <c:pt idx="3">
                  <c:v>HiFi</c:v>
                </c:pt>
                <c:pt idx="4">
                  <c:v>LCD</c:v>
                </c:pt>
                <c:pt idx="5">
                  <c:v>Monitor</c:v>
                </c:pt>
              </c:strCache>
            </c:strRef>
          </c:cat>
          <c:val>
            <c:numRef>
              <c:f>czas!$W$6:$W$11</c:f>
              <c:numCache>
                <c:formatCode>General</c:formatCode>
                <c:ptCount val="6"/>
                <c:pt idx="0">
                  <c:v>2394</c:v>
                </c:pt>
                <c:pt idx="1">
                  <c:v>1745</c:v>
                </c:pt>
                <c:pt idx="2">
                  <c:v>1999</c:v>
                </c:pt>
                <c:pt idx="3">
                  <c:v>3275</c:v>
                </c:pt>
                <c:pt idx="4">
                  <c:v>1720</c:v>
                </c:pt>
                <c:pt idx="5">
                  <c:v>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2-4FFC-A360-37D400C0B64D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[Zadanie3.xlsm]czas!Tabela przestawna19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czas!$M$5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151-42E8-A64F-8E230C3AA133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czas!$L$6:$L$58</c:f>
              <c:strCach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(puste)</c:v>
                </c:pt>
              </c:strCache>
            </c:strRef>
          </c:cat>
          <c:val>
            <c:numRef>
              <c:f>czas!$M$6:$M$58</c:f>
              <c:numCache>
                <c:formatCode>General</c:formatCode>
                <c:ptCount val="53"/>
                <c:pt idx="0">
                  <c:v>7255</c:v>
                </c:pt>
                <c:pt idx="1">
                  <c:v>6293</c:v>
                </c:pt>
                <c:pt idx="2">
                  <c:v>7335</c:v>
                </c:pt>
                <c:pt idx="3">
                  <c:v>8744</c:v>
                </c:pt>
                <c:pt idx="4">
                  <c:v>8601</c:v>
                </c:pt>
                <c:pt idx="5">
                  <c:v>8479</c:v>
                </c:pt>
                <c:pt idx="6">
                  <c:v>7657</c:v>
                </c:pt>
                <c:pt idx="7">
                  <c:v>8095</c:v>
                </c:pt>
                <c:pt idx="8">
                  <c:v>8422</c:v>
                </c:pt>
                <c:pt idx="9">
                  <c:v>8553</c:v>
                </c:pt>
                <c:pt idx="10">
                  <c:v>7997</c:v>
                </c:pt>
                <c:pt idx="11">
                  <c:v>8811</c:v>
                </c:pt>
                <c:pt idx="12">
                  <c:v>10411</c:v>
                </c:pt>
                <c:pt idx="13">
                  <c:v>9002</c:v>
                </c:pt>
                <c:pt idx="14">
                  <c:v>10885</c:v>
                </c:pt>
                <c:pt idx="15">
                  <c:v>9966</c:v>
                </c:pt>
                <c:pt idx="16">
                  <c:v>9353</c:v>
                </c:pt>
                <c:pt idx="17">
                  <c:v>10004</c:v>
                </c:pt>
                <c:pt idx="18">
                  <c:v>10800</c:v>
                </c:pt>
                <c:pt idx="19">
                  <c:v>10696</c:v>
                </c:pt>
                <c:pt idx="20">
                  <c:v>10159</c:v>
                </c:pt>
                <c:pt idx="21">
                  <c:v>10621</c:v>
                </c:pt>
                <c:pt idx="22">
                  <c:v>10117</c:v>
                </c:pt>
                <c:pt idx="23">
                  <c:v>10324</c:v>
                </c:pt>
                <c:pt idx="24">
                  <c:v>11682</c:v>
                </c:pt>
                <c:pt idx="25">
                  <c:v>12173</c:v>
                </c:pt>
                <c:pt idx="26">
                  <c:v>9464</c:v>
                </c:pt>
                <c:pt idx="27">
                  <c:v>12774</c:v>
                </c:pt>
                <c:pt idx="28">
                  <c:v>12443</c:v>
                </c:pt>
                <c:pt idx="29">
                  <c:v>11240</c:v>
                </c:pt>
                <c:pt idx="30">
                  <c:v>13218</c:v>
                </c:pt>
                <c:pt idx="31">
                  <c:v>11715</c:v>
                </c:pt>
                <c:pt idx="32">
                  <c:v>10711</c:v>
                </c:pt>
                <c:pt idx="33">
                  <c:v>12601</c:v>
                </c:pt>
                <c:pt idx="34">
                  <c:v>12677</c:v>
                </c:pt>
                <c:pt idx="35">
                  <c:v>14434</c:v>
                </c:pt>
                <c:pt idx="36">
                  <c:v>12139</c:v>
                </c:pt>
                <c:pt idx="37">
                  <c:v>14508</c:v>
                </c:pt>
                <c:pt idx="38">
                  <c:v>12927</c:v>
                </c:pt>
                <c:pt idx="39">
                  <c:v>15498</c:v>
                </c:pt>
                <c:pt idx="40">
                  <c:v>12848</c:v>
                </c:pt>
                <c:pt idx="41">
                  <c:v>12078</c:v>
                </c:pt>
                <c:pt idx="42">
                  <c:v>13405</c:v>
                </c:pt>
                <c:pt idx="43">
                  <c:v>13239</c:v>
                </c:pt>
                <c:pt idx="44">
                  <c:v>15801</c:v>
                </c:pt>
                <c:pt idx="45">
                  <c:v>14102</c:v>
                </c:pt>
                <c:pt idx="46">
                  <c:v>14880</c:v>
                </c:pt>
                <c:pt idx="47">
                  <c:v>13994</c:v>
                </c:pt>
                <c:pt idx="48">
                  <c:v>12733</c:v>
                </c:pt>
                <c:pt idx="49">
                  <c:v>13711</c:v>
                </c:pt>
                <c:pt idx="50">
                  <c:v>12912</c:v>
                </c:pt>
                <c:pt idx="51">
                  <c:v>17188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2E8-A64F-8E230C3AA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4128239"/>
        <c:axId val="2012300111"/>
      </c:barChart>
      <c:catAx>
        <c:axId val="201412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2300111"/>
        <c:crosses val="autoZero"/>
        <c:auto val="1"/>
        <c:lblAlgn val="ctr"/>
        <c:lblOffset val="100"/>
        <c:noMultiLvlLbl val="0"/>
      </c:catAx>
      <c:valAx>
        <c:axId val="2012300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4128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</xdr:row>
      <xdr:rowOff>19050</xdr:rowOff>
    </xdr:from>
    <xdr:to>
      <xdr:col>3</xdr:col>
      <xdr:colOff>241300</xdr:colOff>
      <xdr:row>5</xdr:row>
      <xdr:rowOff>12700</xdr:rowOff>
    </xdr:to>
    <xdr:sp macro="[0]!Database" textlink="">
      <xdr:nvSpPr>
        <xdr:cNvPr id="2" name="Prostokąt 1">
          <a:extLst>
            <a:ext uri="{FF2B5EF4-FFF2-40B4-BE49-F238E27FC236}">
              <a16:creationId xmlns:a16="http://schemas.microsoft.com/office/drawing/2014/main" id="{25340335-AF04-4816-8A05-1CE503A86C25}"/>
            </a:ext>
          </a:extLst>
        </xdr:cNvPr>
        <xdr:cNvSpPr/>
      </xdr:nvSpPr>
      <xdr:spPr>
        <a:xfrm>
          <a:off x="25400" y="203200"/>
          <a:ext cx="1435100" cy="5461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IMPORT DANYCH</a:t>
          </a:r>
        </a:p>
      </xdr:txBody>
    </xdr:sp>
    <xdr:clientData/>
  </xdr:twoCellAnchor>
  <xdr:twoCellAnchor>
    <xdr:from>
      <xdr:col>3</xdr:col>
      <xdr:colOff>260350</xdr:colOff>
      <xdr:row>2</xdr:row>
      <xdr:rowOff>19050</xdr:rowOff>
    </xdr:from>
    <xdr:to>
      <xdr:col>5</xdr:col>
      <xdr:colOff>476250</xdr:colOff>
      <xdr:row>5</xdr:row>
      <xdr:rowOff>12700</xdr:rowOff>
    </xdr:to>
    <xdr:sp macro="[0]!wygeneruj" textlink="">
      <xdr:nvSpPr>
        <xdr:cNvPr id="14" name="Prostokąt 13">
          <a:extLst>
            <a:ext uri="{FF2B5EF4-FFF2-40B4-BE49-F238E27FC236}">
              <a16:creationId xmlns:a16="http://schemas.microsoft.com/office/drawing/2014/main" id="{219D619C-BE2D-4DA0-826D-7E73C239F016}"/>
            </a:ext>
          </a:extLst>
        </xdr:cNvPr>
        <xdr:cNvSpPr/>
      </xdr:nvSpPr>
      <xdr:spPr>
        <a:xfrm>
          <a:off x="1479550" y="203200"/>
          <a:ext cx="1435100" cy="5461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WYGENERUJ</a:t>
          </a:r>
          <a:r>
            <a:rPr lang="pl-PL" sz="1100" baseline="0"/>
            <a:t> RAPORT</a:t>
          </a:r>
          <a:endParaRPr lang="pl-PL" sz="1100"/>
        </a:p>
      </xdr:txBody>
    </xdr:sp>
    <xdr:clientData/>
  </xdr:twoCellAnchor>
  <xdr:twoCellAnchor editAs="absolute">
    <xdr:from>
      <xdr:col>1</xdr:col>
      <xdr:colOff>119976</xdr:colOff>
      <xdr:row>9</xdr:row>
      <xdr:rowOff>82597</xdr:rowOff>
    </xdr:from>
    <xdr:to>
      <xdr:col>6</xdr:col>
      <xdr:colOff>83779</xdr:colOff>
      <xdr:row>24</xdr:row>
      <xdr:rowOff>184008</xdr:rowOff>
    </xdr:to>
    <xdr:pic>
      <xdr:nvPicPr>
        <xdr:cNvPr id="15" name="Obraz 14" descr="https://www.zpp.pl/assets/theme/images/maps/mapa-polski.jpg">
          <a:extLst>
            <a:ext uri="{FF2B5EF4-FFF2-40B4-BE49-F238E27FC236}">
              <a16:creationId xmlns:a16="http://schemas.microsoft.com/office/drawing/2014/main" id="{F4AD5462-FFF2-4E62-AC1B-0F517280C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664" y="1741791"/>
          <a:ext cx="3125147" cy="2866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19050</xdr:colOff>
      <xdr:row>2</xdr:row>
      <xdr:rowOff>0</xdr:rowOff>
    </xdr:from>
    <xdr:to>
      <xdr:col>9</xdr:col>
      <xdr:colOff>6350</xdr:colOff>
      <xdr:row>5</xdr:row>
      <xdr:rowOff>0</xdr:rowOff>
    </xdr:to>
    <xdr:sp macro="[0]!wszystkie_firmy" textlink="">
      <xdr:nvSpPr>
        <xdr:cNvPr id="24" name="Prostokąt 23">
          <a:extLst>
            <a:ext uri="{FF2B5EF4-FFF2-40B4-BE49-F238E27FC236}">
              <a16:creationId xmlns:a16="http://schemas.microsoft.com/office/drawing/2014/main" id="{CA5F3E96-32D3-4E13-BE46-1DDB0FBF257D}"/>
            </a:ext>
          </a:extLst>
        </xdr:cNvPr>
        <xdr:cNvSpPr/>
      </xdr:nvSpPr>
      <xdr:spPr>
        <a:xfrm>
          <a:off x="4895850" y="368300"/>
          <a:ext cx="120650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WSZYSTKIE</a:t>
          </a:r>
          <a:r>
            <a:rPr lang="pl-PL" sz="1100" baseline="0"/>
            <a:t> FIRMY</a:t>
          </a:r>
          <a:endParaRPr lang="pl-PL" sz="1100"/>
        </a:p>
        <a:p>
          <a:pPr algn="ctr"/>
          <a:endParaRPr lang="pl-PL" sz="1100"/>
        </a:p>
      </xdr:txBody>
    </xdr:sp>
    <xdr:clientData/>
  </xdr:twoCellAnchor>
  <xdr:twoCellAnchor>
    <xdr:from>
      <xdr:col>10</xdr:col>
      <xdr:colOff>6350</xdr:colOff>
      <xdr:row>2</xdr:row>
      <xdr:rowOff>6350</xdr:rowOff>
    </xdr:from>
    <xdr:to>
      <xdr:col>11</xdr:col>
      <xdr:colOff>603250</xdr:colOff>
      <xdr:row>5</xdr:row>
      <xdr:rowOff>6350</xdr:rowOff>
    </xdr:to>
    <xdr:sp macro="[0]!wszystkie_produkty" textlink="">
      <xdr:nvSpPr>
        <xdr:cNvPr id="25" name="Prostokąt 24">
          <a:extLst>
            <a:ext uri="{FF2B5EF4-FFF2-40B4-BE49-F238E27FC236}">
              <a16:creationId xmlns:a16="http://schemas.microsoft.com/office/drawing/2014/main" id="{4FEF550F-9C87-4BA8-A49F-E95145EEEF30}"/>
            </a:ext>
          </a:extLst>
        </xdr:cNvPr>
        <xdr:cNvSpPr/>
      </xdr:nvSpPr>
      <xdr:spPr>
        <a:xfrm>
          <a:off x="6711950" y="374650"/>
          <a:ext cx="120650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WSZYSTKIE PRODUKTY</a:t>
          </a:r>
        </a:p>
        <a:p>
          <a:pPr algn="ctr"/>
          <a:endParaRPr lang="pl-PL" sz="1100"/>
        </a:p>
      </xdr:txBody>
    </xdr:sp>
    <xdr:clientData/>
  </xdr:twoCellAnchor>
  <xdr:twoCellAnchor>
    <xdr:from>
      <xdr:col>13</xdr:col>
      <xdr:colOff>0</xdr:colOff>
      <xdr:row>2</xdr:row>
      <xdr:rowOff>6350</xdr:rowOff>
    </xdr:from>
    <xdr:to>
      <xdr:col>14</xdr:col>
      <xdr:colOff>596900</xdr:colOff>
      <xdr:row>5</xdr:row>
      <xdr:rowOff>6350</xdr:rowOff>
    </xdr:to>
    <xdr:sp macro="[0]!wszystkie_miasta" textlink="">
      <xdr:nvSpPr>
        <xdr:cNvPr id="26" name="Prostokąt 25">
          <a:extLst>
            <a:ext uri="{FF2B5EF4-FFF2-40B4-BE49-F238E27FC236}">
              <a16:creationId xmlns:a16="http://schemas.microsoft.com/office/drawing/2014/main" id="{4BA0D009-F8C3-4FDE-94F9-09852EF189F5}"/>
            </a:ext>
          </a:extLst>
        </xdr:cNvPr>
        <xdr:cNvSpPr/>
      </xdr:nvSpPr>
      <xdr:spPr>
        <a:xfrm>
          <a:off x="8534400" y="374650"/>
          <a:ext cx="120650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WSZYSTKIE</a:t>
          </a:r>
          <a:r>
            <a:rPr lang="pl-PL" sz="1100" baseline="0"/>
            <a:t> MIASTA</a:t>
          </a:r>
          <a:endParaRPr lang="pl-PL" sz="1100"/>
        </a:p>
        <a:p>
          <a:pPr algn="ctr"/>
          <a:endParaRPr lang="pl-PL" sz="1100"/>
        </a:p>
      </xdr:txBody>
    </xdr:sp>
    <xdr:clientData/>
  </xdr:twoCellAnchor>
  <xdr:twoCellAnchor>
    <xdr:from>
      <xdr:col>16</xdr:col>
      <xdr:colOff>19050</xdr:colOff>
      <xdr:row>2</xdr:row>
      <xdr:rowOff>12700</xdr:rowOff>
    </xdr:from>
    <xdr:to>
      <xdr:col>18</xdr:col>
      <xdr:colOff>6350</xdr:colOff>
      <xdr:row>5</xdr:row>
      <xdr:rowOff>12700</xdr:rowOff>
    </xdr:to>
    <xdr:sp macro="[0]!wszystkie_czas" textlink="">
      <xdr:nvSpPr>
        <xdr:cNvPr id="27" name="Prostokąt 26">
          <a:extLst>
            <a:ext uri="{FF2B5EF4-FFF2-40B4-BE49-F238E27FC236}">
              <a16:creationId xmlns:a16="http://schemas.microsoft.com/office/drawing/2014/main" id="{2D7839F8-729F-4EF6-8266-107CD833D25D}"/>
            </a:ext>
          </a:extLst>
        </xdr:cNvPr>
        <xdr:cNvSpPr/>
      </xdr:nvSpPr>
      <xdr:spPr>
        <a:xfrm>
          <a:off x="10382250" y="381000"/>
          <a:ext cx="120650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WSZYSTKIE TYGODNIE</a:t>
          </a:r>
        </a:p>
        <a:p>
          <a:pPr algn="ctr"/>
          <a:endParaRPr lang="pl-PL" sz="1100"/>
        </a:p>
      </xdr:txBody>
    </xdr:sp>
    <xdr:clientData/>
  </xdr:twoCellAnchor>
  <xdr:twoCellAnchor>
    <xdr:from>
      <xdr:col>13</xdr:col>
      <xdr:colOff>0</xdr:colOff>
      <xdr:row>5</xdr:row>
      <xdr:rowOff>177800</xdr:rowOff>
    </xdr:from>
    <xdr:to>
      <xdr:col>14</xdr:col>
      <xdr:colOff>603250</xdr:colOff>
      <xdr:row>8</xdr:row>
      <xdr:rowOff>177800</xdr:rowOff>
    </xdr:to>
    <xdr:sp macro="[0]!miasta" textlink="">
      <xdr:nvSpPr>
        <xdr:cNvPr id="28" name="Prostokąt 27">
          <a:extLst>
            <a:ext uri="{FF2B5EF4-FFF2-40B4-BE49-F238E27FC236}">
              <a16:creationId xmlns:a16="http://schemas.microsoft.com/office/drawing/2014/main" id="{EAC44D20-0E82-4889-8251-170BB778B59B}"/>
            </a:ext>
          </a:extLst>
        </xdr:cNvPr>
        <xdr:cNvSpPr/>
      </xdr:nvSpPr>
      <xdr:spPr>
        <a:xfrm>
          <a:off x="8534400" y="1098550"/>
          <a:ext cx="121285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 KONKRETNE MIASTO</a:t>
          </a:r>
        </a:p>
      </xdr:txBody>
    </xdr:sp>
    <xdr:clientData/>
  </xdr:twoCellAnchor>
  <xdr:twoCellAnchor>
    <xdr:from>
      <xdr:col>10</xdr:col>
      <xdr:colOff>6350</xdr:colOff>
      <xdr:row>6</xdr:row>
      <xdr:rowOff>0</xdr:rowOff>
    </xdr:from>
    <xdr:to>
      <xdr:col>11</xdr:col>
      <xdr:colOff>603250</xdr:colOff>
      <xdr:row>9</xdr:row>
      <xdr:rowOff>0</xdr:rowOff>
    </xdr:to>
    <xdr:sp macro="[0]!produkty" textlink="">
      <xdr:nvSpPr>
        <xdr:cNvPr id="29" name="Prostokąt 28">
          <a:extLst>
            <a:ext uri="{FF2B5EF4-FFF2-40B4-BE49-F238E27FC236}">
              <a16:creationId xmlns:a16="http://schemas.microsoft.com/office/drawing/2014/main" id="{411FACFF-8D5C-4577-AB26-B1533932B9A5}"/>
            </a:ext>
          </a:extLst>
        </xdr:cNvPr>
        <xdr:cNvSpPr/>
      </xdr:nvSpPr>
      <xdr:spPr>
        <a:xfrm>
          <a:off x="6711950" y="1104900"/>
          <a:ext cx="120650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 KONKRETNY PRODUKT</a:t>
          </a:r>
        </a:p>
      </xdr:txBody>
    </xdr:sp>
    <xdr:clientData/>
  </xdr:twoCellAnchor>
  <xdr:twoCellAnchor>
    <xdr:from>
      <xdr:col>7</xdr:col>
      <xdr:colOff>6350</xdr:colOff>
      <xdr:row>5</xdr:row>
      <xdr:rowOff>177800</xdr:rowOff>
    </xdr:from>
    <xdr:to>
      <xdr:col>8</xdr:col>
      <xdr:colOff>603250</xdr:colOff>
      <xdr:row>8</xdr:row>
      <xdr:rowOff>177800</xdr:rowOff>
    </xdr:to>
    <xdr:sp macro="[0]!firmy" textlink="">
      <xdr:nvSpPr>
        <xdr:cNvPr id="30" name="Prostokąt 29">
          <a:extLst>
            <a:ext uri="{FF2B5EF4-FFF2-40B4-BE49-F238E27FC236}">
              <a16:creationId xmlns:a16="http://schemas.microsoft.com/office/drawing/2014/main" id="{6C56EA6F-4799-4E4D-BA17-CAB22E30251A}"/>
            </a:ext>
          </a:extLst>
        </xdr:cNvPr>
        <xdr:cNvSpPr/>
      </xdr:nvSpPr>
      <xdr:spPr>
        <a:xfrm>
          <a:off x="4883150" y="1098550"/>
          <a:ext cx="120650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KONKRETNA FIRMA</a:t>
          </a:r>
        </a:p>
        <a:p>
          <a:pPr algn="ctr"/>
          <a:endParaRPr lang="pl-PL" sz="1100"/>
        </a:p>
      </xdr:txBody>
    </xdr:sp>
    <xdr:clientData/>
  </xdr:twoCellAnchor>
  <xdr:twoCellAnchor>
    <xdr:from>
      <xdr:col>16</xdr:col>
      <xdr:colOff>12700</xdr:colOff>
      <xdr:row>6</xdr:row>
      <xdr:rowOff>6350</xdr:rowOff>
    </xdr:from>
    <xdr:to>
      <xdr:col>18</xdr:col>
      <xdr:colOff>6350</xdr:colOff>
      <xdr:row>9</xdr:row>
      <xdr:rowOff>6350</xdr:rowOff>
    </xdr:to>
    <xdr:sp macro="[0]!czas" textlink="">
      <xdr:nvSpPr>
        <xdr:cNvPr id="31" name="Prostokąt 30">
          <a:extLst>
            <a:ext uri="{FF2B5EF4-FFF2-40B4-BE49-F238E27FC236}">
              <a16:creationId xmlns:a16="http://schemas.microsoft.com/office/drawing/2014/main" id="{0D8B9117-0A60-4CBE-90F2-B282C4AFD1F5}"/>
            </a:ext>
          </a:extLst>
        </xdr:cNvPr>
        <xdr:cNvSpPr/>
      </xdr:nvSpPr>
      <xdr:spPr>
        <a:xfrm>
          <a:off x="10375900" y="1111250"/>
          <a:ext cx="1212850" cy="5524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 KONKRETNY TYDZIEŃ</a:t>
          </a:r>
        </a:p>
      </xdr:txBody>
    </xdr:sp>
    <xdr:clientData/>
  </xdr:twoCellAnchor>
  <xdr:twoCellAnchor editAs="absolute">
    <xdr:from>
      <xdr:col>1</xdr:col>
      <xdr:colOff>117782</xdr:colOff>
      <xdr:row>10</xdr:row>
      <xdr:rowOff>76678</xdr:rowOff>
    </xdr:from>
    <xdr:to>
      <xdr:col>2</xdr:col>
      <xdr:colOff>454332</xdr:colOff>
      <xdr:row>14</xdr:row>
      <xdr:rowOff>165578</xdr:rowOff>
    </xdr:to>
    <xdr:sp macro="[0]!zachpom" textlink="">
      <xdr:nvSpPr>
        <xdr:cNvPr id="3" name="Dowolny kształt: kształt 2">
          <a:extLst>
            <a:ext uri="{FF2B5EF4-FFF2-40B4-BE49-F238E27FC236}">
              <a16:creationId xmlns:a16="http://schemas.microsoft.com/office/drawing/2014/main" id="{9D03A32F-F250-4CF6-9065-15D9EF3189F8}"/>
            </a:ext>
          </a:extLst>
        </xdr:cNvPr>
        <xdr:cNvSpPr/>
      </xdr:nvSpPr>
      <xdr:spPr>
        <a:xfrm>
          <a:off x="725470" y="1920226"/>
          <a:ext cx="944238" cy="826320"/>
        </a:xfrm>
        <a:custGeom>
          <a:avLst/>
          <a:gdLst>
            <a:gd name="connsiteX0" fmla="*/ 88900 w 946150"/>
            <a:gd name="connsiteY0" fmla="*/ 825500 h 825500"/>
            <a:gd name="connsiteX1" fmla="*/ 685800 w 946150"/>
            <a:gd name="connsiteY1" fmla="*/ 603250 h 825500"/>
            <a:gd name="connsiteX2" fmla="*/ 844550 w 946150"/>
            <a:gd name="connsiteY2" fmla="*/ 336550 h 825500"/>
            <a:gd name="connsiteX3" fmla="*/ 946150 w 946150"/>
            <a:gd name="connsiteY3" fmla="*/ 0 h 825500"/>
            <a:gd name="connsiteX4" fmla="*/ 95250 w 946150"/>
            <a:gd name="connsiteY4" fmla="*/ 190500 h 825500"/>
            <a:gd name="connsiteX5" fmla="*/ 127000 w 946150"/>
            <a:gd name="connsiteY5" fmla="*/ 266700 h 825500"/>
            <a:gd name="connsiteX6" fmla="*/ 158750 w 946150"/>
            <a:gd name="connsiteY6" fmla="*/ 323850 h 825500"/>
            <a:gd name="connsiteX7" fmla="*/ 63500 w 946150"/>
            <a:gd name="connsiteY7" fmla="*/ 266700 h 825500"/>
            <a:gd name="connsiteX8" fmla="*/ 0 w 946150"/>
            <a:gd name="connsiteY8" fmla="*/ 704850 h 825500"/>
            <a:gd name="connsiteX9" fmla="*/ 88900 w 946150"/>
            <a:gd name="connsiteY9" fmla="*/ 825500 h 825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946150" h="825500">
              <a:moveTo>
                <a:pt x="88900" y="825500"/>
              </a:moveTo>
              <a:lnTo>
                <a:pt x="685800" y="603250"/>
              </a:lnTo>
              <a:lnTo>
                <a:pt x="844550" y="336550"/>
              </a:lnTo>
              <a:lnTo>
                <a:pt x="946150" y="0"/>
              </a:lnTo>
              <a:lnTo>
                <a:pt x="95250" y="190500"/>
              </a:lnTo>
              <a:lnTo>
                <a:pt x="127000" y="266700"/>
              </a:lnTo>
              <a:lnTo>
                <a:pt x="158750" y="323850"/>
              </a:lnTo>
              <a:lnTo>
                <a:pt x="63500" y="266700"/>
              </a:lnTo>
              <a:lnTo>
                <a:pt x="0" y="704850"/>
              </a:lnTo>
              <a:lnTo>
                <a:pt x="88900" y="82550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2</xdr:col>
      <xdr:colOff>390394</xdr:colOff>
      <xdr:row>9</xdr:row>
      <xdr:rowOff>83466</xdr:rowOff>
    </xdr:from>
    <xdr:to>
      <xdr:col>3</xdr:col>
      <xdr:colOff>502067</xdr:colOff>
      <xdr:row>12</xdr:row>
      <xdr:rowOff>107553</xdr:rowOff>
    </xdr:to>
    <xdr:sp macro="[0]!pomorskie" textlink="">
      <xdr:nvSpPr>
        <xdr:cNvPr id="4" name="Dowolny kształt: kształt 3">
          <a:extLst>
            <a:ext uri="{FF2B5EF4-FFF2-40B4-BE49-F238E27FC236}">
              <a16:creationId xmlns:a16="http://schemas.microsoft.com/office/drawing/2014/main" id="{405BBA04-6E78-45C5-BB1D-B448EBE4E74C}"/>
            </a:ext>
          </a:extLst>
        </xdr:cNvPr>
        <xdr:cNvSpPr/>
      </xdr:nvSpPr>
      <xdr:spPr>
        <a:xfrm>
          <a:off x="1605770" y="1742660"/>
          <a:ext cx="719362" cy="577151"/>
        </a:xfrm>
        <a:custGeom>
          <a:avLst/>
          <a:gdLst>
            <a:gd name="connsiteX0" fmla="*/ 652518 w 720397"/>
            <a:gd name="connsiteY0" fmla="*/ 547414 h 575880"/>
            <a:gd name="connsiteX1" fmla="*/ 159845 w 720397"/>
            <a:gd name="connsiteY1" fmla="*/ 523328 h 575880"/>
            <a:gd name="connsiteX2" fmla="*/ 116052 w 720397"/>
            <a:gd name="connsiteY2" fmla="*/ 575880 h 575880"/>
            <a:gd name="connsiteX3" fmla="*/ 0 w 720397"/>
            <a:gd name="connsiteY3" fmla="*/ 510190 h 575880"/>
            <a:gd name="connsiteX4" fmla="*/ 98535 w 720397"/>
            <a:gd name="connsiteY4" fmla="*/ 188311 h 575880"/>
            <a:gd name="connsiteX5" fmla="*/ 547414 w 720397"/>
            <a:gd name="connsiteY5" fmla="*/ 0 h 575880"/>
            <a:gd name="connsiteX6" fmla="*/ 696311 w 720397"/>
            <a:gd name="connsiteY6" fmla="*/ 109483 h 575880"/>
            <a:gd name="connsiteX7" fmla="*/ 621862 w 720397"/>
            <a:gd name="connsiteY7" fmla="*/ 109483 h 575880"/>
            <a:gd name="connsiteX8" fmla="*/ 639380 w 720397"/>
            <a:gd name="connsiteY8" fmla="*/ 212397 h 575880"/>
            <a:gd name="connsiteX9" fmla="*/ 720397 w 720397"/>
            <a:gd name="connsiteY9" fmla="*/ 168604 h 575880"/>
            <a:gd name="connsiteX10" fmla="*/ 661276 w 720397"/>
            <a:gd name="connsiteY10" fmla="*/ 229914 h 575880"/>
            <a:gd name="connsiteX11" fmla="*/ 652518 w 720397"/>
            <a:gd name="connsiteY11" fmla="*/ 547414 h 5758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720397" h="575880">
              <a:moveTo>
                <a:pt x="652518" y="547414"/>
              </a:moveTo>
              <a:lnTo>
                <a:pt x="159845" y="523328"/>
              </a:lnTo>
              <a:lnTo>
                <a:pt x="116052" y="575880"/>
              </a:lnTo>
              <a:lnTo>
                <a:pt x="0" y="510190"/>
              </a:lnTo>
              <a:lnTo>
                <a:pt x="98535" y="188311"/>
              </a:lnTo>
              <a:lnTo>
                <a:pt x="547414" y="0"/>
              </a:lnTo>
              <a:lnTo>
                <a:pt x="696311" y="109483"/>
              </a:lnTo>
              <a:lnTo>
                <a:pt x="621862" y="109483"/>
              </a:lnTo>
              <a:lnTo>
                <a:pt x="639380" y="212397"/>
              </a:lnTo>
              <a:lnTo>
                <a:pt x="720397" y="168604"/>
              </a:lnTo>
              <a:lnTo>
                <a:pt x="661276" y="229914"/>
              </a:lnTo>
              <a:lnTo>
                <a:pt x="652518" y="547414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3</xdr:col>
      <xdr:colOff>460463</xdr:colOff>
      <xdr:row>10</xdr:row>
      <xdr:rowOff>122880</xdr:rowOff>
    </xdr:from>
    <xdr:to>
      <xdr:col>5</xdr:col>
      <xdr:colOff>298146</xdr:colOff>
      <xdr:row>13</xdr:row>
      <xdr:rowOff>92225</xdr:rowOff>
    </xdr:to>
    <xdr:sp macro="[0]!warmaz" textlink="">
      <xdr:nvSpPr>
        <xdr:cNvPr id="5" name="Dowolny kształt: kształt 4">
          <a:extLst>
            <a:ext uri="{FF2B5EF4-FFF2-40B4-BE49-F238E27FC236}">
              <a16:creationId xmlns:a16="http://schemas.microsoft.com/office/drawing/2014/main" id="{ADA9DB3B-5C0F-471C-9CA9-E8512701ECBD}"/>
            </a:ext>
          </a:extLst>
        </xdr:cNvPr>
        <xdr:cNvSpPr/>
      </xdr:nvSpPr>
      <xdr:spPr>
        <a:xfrm>
          <a:off x="2283528" y="1966428"/>
          <a:ext cx="1175962" cy="522410"/>
        </a:xfrm>
        <a:custGeom>
          <a:avLst/>
          <a:gdLst>
            <a:gd name="connsiteX0" fmla="*/ 8759 w 1178035"/>
            <a:gd name="connsiteY0" fmla="*/ 10948 h 521138"/>
            <a:gd name="connsiteX1" fmla="*/ 0 w 1178035"/>
            <a:gd name="connsiteY1" fmla="*/ 328448 h 521138"/>
            <a:gd name="connsiteX2" fmla="*/ 175173 w 1178035"/>
            <a:gd name="connsiteY2" fmla="*/ 521138 h 521138"/>
            <a:gd name="connsiteX3" fmla="*/ 711638 w 1178035"/>
            <a:gd name="connsiteY3" fmla="*/ 398517 h 521138"/>
            <a:gd name="connsiteX4" fmla="*/ 1178035 w 1178035"/>
            <a:gd name="connsiteY4" fmla="*/ 0 h 521138"/>
            <a:gd name="connsiteX5" fmla="*/ 8759 w 1178035"/>
            <a:gd name="connsiteY5" fmla="*/ 10948 h 5211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78035" h="521138">
              <a:moveTo>
                <a:pt x="8759" y="10948"/>
              </a:moveTo>
              <a:lnTo>
                <a:pt x="0" y="328448"/>
              </a:lnTo>
              <a:lnTo>
                <a:pt x="175173" y="521138"/>
              </a:lnTo>
              <a:lnTo>
                <a:pt x="711638" y="398517"/>
              </a:lnTo>
              <a:lnTo>
                <a:pt x="1178035" y="0"/>
              </a:lnTo>
              <a:lnTo>
                <a:pt x="8759" y="10948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4</xdr:col>
      <xdr:colOff>609809</xdr:colOff>
      <xdr:row>10</xdr:row>
      <xdr:rowOff>117953</xdr:rowOff>
    </xdr:from>
    <xdr:to>
      <xdr:col>5</xdr:col>
      <xdr:colOff>568550</xdr:colOff>
      <xdr:row>15</xdr:row>
      <xdr:rowOff>156507</xdr:rowOff>
    </xdr:to>
    <xdr:sp macro="[0]!podlaskie" textlink="">
      <xdr:nvSpPr>
        <xdr:cNvPr id="6" name="Dowolny kształt: kształt 5">
          <a:extLst>
            <a:ext uri="{FF2B5EF4-FFF2-40B4-BE49-F238E27FC236}">
              <a16:creationId xmlns:a16="http://schemas.microsoft.com/office/drawing/2014/main" id="{092303E8-6405-4D1B-B0F8-203FF8ABD92D}"/>
            </a:ext>
          </a:extLst>
        </xdr:cNvPr>
        <xdr:cNvSpPr/>
      </xdr:nvSpPr>
      <xdr:spPr>
        <a:xfrm>
          <a:off x="3040562" y="1961501"/>
          <a:ext cx="689332" cy="960329"/>
        </a:xfrm>
        <a:custGeom>
          <a:avLst/>
          <a:gdLst>
            <a:gd name="connsiteX0" fmla="*/ 483054 w 691697"/>
            <a:gd name="connsiteY0" fmla="*/ 0 h 957036"/>
            <a:gd name="connsiteX1" fmla="*/ 0 w 691697"/>
            <a:gd name="connsiteY1" fmla="*/ 421822 h 957036"/>
            <a:gd name="connsiteX2" fmla="*/ 467179 w 691697"/>
            <a:gd name="connsiteY2" fmla="*/ 957036 h 957036"/>
            <a:gd name="connsiteX3" fmla="*/ 691697 w 691697"/>
            <a:gd name="connsiteY3" fmla="*/ 739322 h 957036"/>
            <a:gd name="connsiteX4" fmla="*/ 483054 w 691697"/>
            <a:gd name="connsiteY4" fmla="*/ 0 h 9570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91697" h="957036">
              <a:moveTo>
                <a:pt x="483054" y="0"/>
              </a:moveTo>
              <a:lnTo>
                <a:pt x="0" y="421822"/>
              </a:lnTo>
              <a:lnTo>
                <a:pt x="467179" y="957036"/>
              </a:lnTo>
              <a:lnTo>
                <a:pt x="691697" y="739322"/>
              </a:lnTo>
              <a:lnTo>
                <a:pt x="483054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2</xdr:col>
      <xdr:colOff>537336</xdr:colOff>
      <xdr:row>12</xdr:row>
      <xdr:rowOff>81667</xdr:rowOff>
    </xdr:from>
    <xdr:to>
      <xdr:col>3</xdr:col>
      <xdr:colOff>603006</xdr:colOff>
      <xdr:row>15</xdr:row>
      <xdr:rowOff>154239</xdr:rowOff>
    </xdr:to>
    <xdr:sp macro="[0]!kujpom" textlink="">
      <xdr:nvSpPr>
        <xdr:cNvPr id="7" name="Dowolny kształt: kształt 6">
          <a:extLst>
            <a:ext uri="{FF2B5EF4-FFF2-40B4-BE49-F238E27FC236}">
              <a16:creationId xmlns:a16="http://schemas.microsoft.com/office/drawing/2014/main" id="{AA9199F3-7C10-4738-9B74-86358A74DF5E}"/>
            </a:ext>
          </a:extLst>
        </xdr:cNvPr>
        <xdr:cNvSpPr/>
      </xdr:nvSpPr>
      <xdr:spPr>
        <a:xfrm>
          <a:off x="1752712" y="2293925"/>
          <a:ext cx="673359" cy="625637"/>
        </a:xfrm>
        <a:custGeom>
          <a:avLst/>
          <a:gdLst>
            <a:gd name="connsiteX0" fmla="*/ 40821 w 678089"/>
            <a:gd name="connsiteY0" fmla="*/ 0 h 623661"/>
            <a:gd name="connsiteX1" fmla="*/ 0 w 678089"/>
            <a:gd name="connsiteY1" fmla="*/ 38554 h 623661"/>
            <a:gd name="connsiteX2" fmla="*/ 70303 w 678089"/>
            <a:gd name="connsiteY2" fmla="*/ 469447 h 623661"/>
            <a:gd name="connsiteX3" fmla="*/ 471714 w 678089"/>
            <a:gd name="connsiteY3" fmla="*/ 623661 h 623661"/>
            <a:gd name="connsiteX4" fmla="*/ 544285 w 678089"/>
            <a:gd name="connsiteY4" fmla="*/ 566965 h 623661"/>
            <a:gd name="connsiteX5" fmla="*/ 678089 w 678089"/>
            <a:gd name="connsiteY5" fmla="*/ 226786 h 623661"/>
            <a:gd name="connsiteX6" fmla="*/ 503464 w 678089"/>
            <a:gd name="connsiteY6" fmla="*/ 24947 h 623661"/>
            <a:gd name="connsiteX7" fmla="*/ 40821 w 678089"/>
            <a:gd name="connsiteY7" fmla="*/ 0 h 6236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678089" h="623661">
              <a:moveTo>
                <a:pt x="40821" y="0"/>
              </a:moveTo>
              <a:lnTo>
                <a:pt x="0" y="38554"/>
              </a:lnTo>
              <a:lnTo>
                <a:pt x="70303" y="469447"/>
              </a:lnTo>
              <a:lnTo>
                <a:pt x="471714" y="623661"/>
              </a:lnTo>
              <a:lnTo>
                <a:pt x="544285" y="566965"/>
              </a:lnTo>
              <a:lnTo>
                <a:pt x="678089" y="226786"/>
              </a:lnTo>
              <a:lnTo>
                <a:pt x="503464" y="24947"/>
              </a:lnTo>
              <a:lnTo>
                <a:pt x="40821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1</xdr:col>
      <xdr:colOff>240246</xdr:colOff>
      <xdr:row>14</xdr:row>
      <xdr:rowOff>27239</xdr:rowOff>
    </xdr:from>
    <xdr:to>
      <xdr:col>2</xdr:col>
      <xdr:colOff>183550</xdr:colOff>
      <xdr:row>18</xdr:row>
      <xdr:rowOff>86203</xdr:rowOff>
    </xdr:to>
    <xdr:sp macro="[0]!lubuskie" textlink="">
      <xdr:nvSpPr>
        <xdr:cNvPr id="8" name="Dowolny kształt: kształt 7">
          <a:extLst>
            <a:ext uri="{FF2B5EF4-FFF2-40B4-BE49-F238E27FC236}">
              <a16:creationId xmlns:a16="http://schemas.microsoft.com/office/drawing/2014/main" id="{3A7F2C9C-19A2-4D4B-9886-7F1CAB426D70}"/>
            </a:ext>
          </a:extLst>
        </xdr:cNvPr>
        <xdr:cNvSpPr/>
      </xdr:nvSpPr>
      <xdr:spPr>
        <a:xfrm>
          <a:off x="847934" y="2608207"/>
          <a:ext cx="550992" cy="796383"/>
        </a:xfrm>
        <a:custGeom>
          <a:avLst/>
          <a:gdLst>
            <a:gd name="connsiteX0" fmla="*/ 442232 w 553357"/>
            <a:gd name="connsiteY0" fmla="*/ 0 h 793750"/>
            <a:gd name="connsiteX1" fmla="*/ 0 w 553357"/>
            <a:gd name="connsiteY1" fmla="*/ 170089 h 793750"/>
            <a:gd name="connsiteX2" fmla="*/ 15875 w 553357"/>
            <a:gd name="connsiteY2" fmla="*/ 310696 h 793750"/>
            <a:gd name="connsiteX3" fmla="*/ 38553 w 553357"/>
            <a:gd name="connsiteY3" fmla="*/ 331107 h 793750"/>
            <a:gd name="connsiteX4" fmla="*/ 27214 w 553357"/>
            <a:gd name="connsiteY4" fmla="*/ 678089 h 793750"/>
            <a:gd name="connsiteX5" fmla="*/ 117928 w 553357"/>
            <a:gd name="connsiteY5" fmla="*/ 793750 h 793750"/>
            <a:gd name="connsiteX6" fmla="*/ 553357 w 553357"/>
            <a:gd name="connsiteY6" fmla="*/ 548821 h 793750"/>
            <a:gd name="connsiteX7" fmla="*/ 401411 w 553357"/>
            <a:gd name="connsiteY7" fmla="*/ 340178 h 793750"/>
            <a:gd name="connsiteX8" fmla="*/ 442232 w 553357"/>
            <a:gd name="connsiteY8" fmla="*/ 0 h 793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553357" h="793750">
              <a:moveTo>
                <a:pt x="442232" y="0"/>
              </a:moveTo>
              <a:lnTo>
                <a:pt x="0" y="170089"/>
              </a:lnTo>
              <a:lnTo>
                <a:pt x="15875" y="310696"/>
              </a:lnTo>
              <a:lnTo>
                <a:pt x="38553" y="331107"/>
              </a:lnTo>
              <a:lnTo>
                <a:pt x="27214" y="678089"/>
              </a:lnTo>
              <a:lnTo>
                <a:pt x="117928" y="793750"/>
              </a:lnTo>
              <a:lnTo>
                <a:pt x="553357" y="548821"/>
              </a:lnTo>
              <a:lnTo>
                <a:pt x="401411" y="340178"/>
              </a:lnTo>
              <a:lnTo>
                <a:pt x="442232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2</xdr:col>
      <xdr:colOff>62514</xdr:colOff>
      <xdr:row>12</xdr:row>
      <xdr:rowOff>70328</xdr:rowOff>
    </xdr:from>
    <xdr:to>
      <xdr:col>3</xdr:col>
      <xdr:colOff>372958</xdr:colOff>
      <xdr:row>18</xdr:row>
      <xdr:rowOff>154995</xdr:rowOff>
    </xdr:to>
    <xdr:sp macro="[0]!wlkp" textlink="">
      <xdr:nvSpPr>
        <xdr:cNvPr id="9" name="Dowolny kształt: kształt 8">
          <a:extLst>
            <a:ext uri="{FF2B5EF4-FFF2-40B4-BE49-F238E27FC236}">
              <a16:creationId xmlns:a16="http://schemas.microsoft.com/office/drawing/2014/main" id="{C79482FE-94E3-448C-89B1-3EE24A3CC9DF}"/>
            </a:ext>
          </a:extLst>
        </xdr:cNvPr>
        <xdr:cNvSpPr/>
      </xdr:nvSpPr>
      <xdr:spPr>
        <a:xfrm>
          <a:off x="1277890" y="2282586"/>
          <a:ext cx="918133" cy="1190796"/>
        </a:xfrm>
        <a:custGeom>
          <a:avLst/>
          <a:gdLst>
            <a:gd name="connsiteX0" fmla="*/ 308092 w 919574"/>
            <a:gd name="connsiteY0" fmla="*/ 0 h 1185334"/>
            <a:gd name="connsiteX1" fmla="*/ 442148 w 919574"/>
            <a:gd name="connsiteY1" fmla="*/ 70556 h 1185334"/>
            <a:gd name="connsiteX2" fmla="*/ 510352 w 919574"/>
            <a:gd name="connsiteY2" fmla="*/ 524463 h 1185334"/>
            <a:gd name="connsiteX3" fmla="*/ 919574 w 919574"/>
            <a:gd name="connsiteY3" fmla="*/ 672630 h 1185334"/>
            <a:gd name="connsiteX4" fmla="*/ 592666 w 919574"/>
            <a:gd name="connsiteY4" fmla="*/ 1185334 h 1185334"/>
            <a:gd name="connsiteX5" fmla="*/ 571500 w 919574"/>
            <a:gd name="connsiteY5" fmla="*/ 1119482 h 1185334"/>
            <a:gd name="connsiteX6" fmla="*/ 155222 w 919574"/>
            <a:gd name="connsiteY6" fmla="*/ 867834 h 1185334"/>
            <a:gd name="connsiteX7" fmla="*/ 0 w 919574"/>
            <a:gd name="connsiteY7" fmla="*/ 653815 h 1185334"/>
            <a:gd name="connsiteX8" fmla="*/ 42333 w 919574"/>
            <a:gd name="connsiteY8" fmla="*/ 310445 h 1185334"/>
            <a:gd name="connsiteX9" fmla="*/ 141111 w 919574"/>
            <a:gd name="connsiteY9" fmla="*/ 265760 h 1185334"/>
            <a:gd name="connsiteX10" fmla="*/ 308092 w 919574"/>
            <a:gd name="connsiteY10" fmla="*/ 0 h 11853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919574" h="1185334">
              <a:moveTo>
                <a:pt x="308092" y="0"/>
              </a:moveTo>
              <a:lnTo>
                <a:pt x="442148" y="70556"/>
              </a:lnTo>
              <a:lnTo>
                <a:pt x="510352" y="524463"/>
              </a:lnTo>
              <a:lnTo>
                <a:pt x="919574" y="672630"/>
              </a:lnTo>
              <a:lnTo>
                <a:pt x="592666" y="1185334"/>
              </a:lnTo>
              <a:lnTo>
                <a:pt x="571500" y="1119482"/>
              </a:lnTo>
              <a:lnTo>
                <a:pt x="155222" y="867834"/>
              </a:lnTo>
              <a:lnTo>
                <a:pt x="0" y="653815"/>
              </a:lnTo>
              <a:lnTo>
                <a:pt x="42333" y="310445"/>
              </a:lnTo>
              <a:lnTo>
                <a:pt x="141111" y="265760"/>
              </a:lnTo>
              <a:lnTo>
                <a:pt x="308092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3</xdr:col>
      <xdr:colOff>499958</xdr:colOff>
      <xdr:row>13</xdr:row>
      <xdr:rowOff>3566</xdr:rowOff>
    </xdr:from>
    <xdr:to>
      <xdr:col>5</xdr:col>
      <xdr:colOff>320611</xdr:colOff>
      <xdr:row>19</xdr:row>
      <xdr:rowOff>72680</xdr:rowOff>
    </xdr:to>
    <xdr:sp macro="[0]!mazowieckie" textlink="">
      <xdr:nvSpPr>
        <xdr:cNvPr id="10" name="Dowolny kształt: kształt 9">
          <a:extLst>
            <a:ext uri="{FF2B5EF4-FFF2-40B4-BE49-F238E27FC236}">
              <a16:creationId xmlns:a16="http://schemas.microsoft.com/office/drawing/2014/main" id="{AA60FB1A-8CD3-4DBE-8B90-D4363C98CCF7}"/>
            </a:ext>
          </a:extLst>
        </xdr:cNvPr>
        <xdr:cNvSpPr/>
      </xdr:nvSpPr>
      <xdr:spPr>
        <a:xfrm>
          <a:off x="2323023" y="2400179"/>
          <a:ext cx="1158932" cy="1175243"/>
        </a:xfrm>
        <a:custGeom>
          <a:avLst/>
          <a:gdLst>
            <a:gd name="connsiteX0" fmla="*/ 672629 w 1161815"/>
            <a:gd name="connsiteY0" fmla="*/ 0 h 1168870"/>
            <a:gd name="connsiteX1" fmla="*/ 148166 w 1161815"/>
            <a:gd name="connsiteY1" fmla="*/ 129352 h 1168870"/>
            <a:gd name="connsiteX2" fmla="*/ 0 w 1161815"/>
            <a:gd name="connsiteY2" fmla="*/ 493889 h 1168870"/>
            <a:gd name="connsiteX3" fmla="*/ 409222 w 1161815"/>
            <a:gd name="connsiteY3" fmla="*/ 766704 h 1168870"/>
            <a:gd name="connsiteX4" fmla="*/ 373944 w 1161815"/>
            <a:gd name="connsiteY4" fmla="*/ 1039518 h 1168870"/>
            <a:gd name="connsiteX5" fmla="*/ 747889 w 1161815"/>
            <a:gd name="connsiteY5" fmla="*/ 1168870 h 1168870"/>
            <a:gd name="connsiteX6" fmla="*/ 797278 w 1161815"/>
            <a:gd name="connsiteY6" fmla="*/ 717315 h 1168870"/>
            <a:gd name="connsiteX7" fmla="*/ 1161815 w 1161815"/>
            <a:gd name="connsiteY7" fmla="*/ 536222 h 1168870"/>
            <a:gd name="connsiteX8" fmla="*/ 672629 w 1161815"/>
            <a:gd name="connsiteY8" fmla="*/ 0 h 11688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161815" h="1168870">
              <a:moveTo>
                <a:pt x="672629" y="0"/>
              </a:moveTo>
              <a:lnTo>
                <a:pt x="148166" y="129352"/>
              </a:lnTo>
              <a:lnTo>
                <a:pt x="0" y="493889"/>
              </a:lnTo>
              <a:lnTo>
                <a:pt x="409222" y="766704"/>
              </a:lnTo>
              <a:lnTo>
                <a:pt x="373944" y="1039518"/>
              </a:lnTo>
              <a:lnTo>
                <a:pt x="747889" y="1168870"/>
              </a:lnTo>
              <a:lnTo>
                <a:pt x="797278" y="717315"/>
              </a:lnTo>
              <a:lnTo>
                <a:pt x="1161815" y="536222"/>
              </a:lnTo>
              <a:lnTo>
                <a:pt x="672629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4</xdr:col>
      <xdr:colOff>677257</xdr:colOff>
      <xdr:row>16</xdr:row>
      <xdr:rowOff>20939</xdr:rowOff>
    </xdr:from>
    <xdr:to>
      <xdr:col>6</xdr:col>
      <xdr:colOff>80721</xdr:colOff>
      <xdr:row>21</xdr:row>
      <xdr:rowOff>112662</xdr:rowOff>
    </xdr:to>
    <xdr:sp macro="[0]!lubel" textlink="">
      <xdr:nvSpPr>
        <xdr:cNvPr id="11" name="Dowolny kształt: kształt 10">
          <a:extLst>
            <a:ext uri="{FF2B5EF4-FFF2-40B4-BE49-F238E27FC236}">
              <a16:creationId xmlns:a16="http://schemas.microsoft.com/office/drawing/2014/main" id="{567901FF-5E94-4ABF-88D0-2F4CB32021DC}"/>
            </a:ext>
          </a:extLst>
        </xdr:cNvPr>
        <xdr:cNvSpPr/>
      </xdr:nvSpPr>
      <xdr:spPr>
        <a:xfrm>
          <a:off x="3108010" y="2970616"/>
          <a:ext cx="741743" cy="1013498"/>
        </a:xfrm>
        <a:custGeom>
          <a:avLst/>
          <a:gdLst>
            <a:gd name="connsiteX0" fmla="*/ 411574 w 743185"/>
            <a:gd name="connsiteY0" fmla="*/ 0 h 1008945"/>
            <a:gd name="connsiteX1" fmla="*/ 743185 w 743185"/>
            <a:gd name="connsiteY1" fmla="*/ 679685 h 1008945"/>
            <a:gd name="connsiteX2" fmla="*/ 700852 w 743185"/>
            <a:gd name="connsiteY2" fmla="*/ 712611 h 1008945"/>
            <a:gd name="connsiteX3" fmla="*/ 736130 w 743185"/>
            <a:gd name="connsiteY3" fmla="*/ 762000 h 1008945"/>
            <a:gd name="connsiteX4" fmla="*/ 736130 w 743185"/>
            <a:gd name="connsiteY4" fmla="*/ 900759 h 1008945"/>
            <a:gd name="connsiteX5" fmla="*/ 620889 w 743185"/>
            <a:gd name="connsiteY5" fmla="*/ 924278 h 1008945"/>
            <a:gd name="connsiteX6" fmla="*/ 599722 w 743185"/>
            <a:gd name="connsiteY6" fmla="*/ 1008945 h 1008945"/>
            <a:gd name="connsiteX7" fmla="*/ 317500 w 743185"/>
            <a:gd name="connsiteY7" fmla="*/ 978371 h 1008945"/>
            <a:gd name="connsiteX8" fmla="*/ 61148 w 743185"/>
            <a:gd name="connsiteY8" fmla="*/ 733778 h 1008945"/>
            <a:gd name="connsiteX9" fmla="*/ 0 w 743185"/>
            <a:gd name="connsiteY9" fmla="*/ 606778 h 1008945"/>
            <a:gd name="connsiteX10" fmla="*/ 44685 w 743185"/>
            <a:gd name="connsiteY10" fmla="*/ 171685 h 1008945"/>
            <a:gd name="connsiteX11" fmla="*/ 411574 w 743185"/>
            <a:gd name="connsiteY11" fmla="*/ 0 h 10089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743185" h="1008945">
              <a:moveTo>
                <a:pt x="411574" y="0"/>
              </a:moveTo>
              <a:lnTo>
                <a:pt x="743185" y="679685"/>
              </a:lnTo>
              <a:lnTo>
                <a:pt x="700852" y="712611"/>
              </a:lnTo>
              <a:lnTo>
                <a:pt x="736130" y="762000"/>
              </a:lnTo>
              <a:lnTo>
                <a:pt x="736130" y="900759"/>
              </a:lnTo>
              <a:lnTo>
                <a:pt x="620889" y="924278"/>
              </a:lnTo>
              <a:lnTo>
                <a:pt x="599722" y="1008945"/>
              </a:lnTo>
              <a:lnTo>
                <a:pt x="317500" y="978371"/>
              </a:lnTo>
              <a:lnTo>
                <a:pt x="61148" y="733778"/>
              </a:lnTo>
              <a:lnTo>
                <a:pt x="0" y="606778"/>
              </a:lnTo>
              <a:lnTo>
                <a:pt x="44685" y="171685"/>
              </a:lnTo>
              <a:lnTo>
                <a:pt x="411574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4</xdr:col>
      <xdr:colOff>507013</xdr:colOff>
      <xdr:row>20</xdr:row>
      <xdr:rowOff>65624</xdr:rowOff>
    </xdr:from>
    <xdr:to>
      <xdr:col>5</xdr:col>
      <xdr:colOff>533187</xdr:colOff>
      <xdr:row>24</xdr:row>
      <xdr:rowOff>183217</xdr:rowOff>
    </xdr:to>
    <xdr:sp macro="[0]!podkarpackie" textlink="">
      <xdr:nvSpPr>
        <xdr:cNvPr id="12" name="Dowolny kształt: kształt 11">
          <a:extLst>
            <a:ext uri="{FF2B5EF4-FFF2-40B4-BE49-F238E27FC236}">
              <a16:creationId xmlns:a16="http://schemas.microsoft.com/office/drawing/2014/main" id="{4F89E6CE-5025-46BE-B5C0-08AD200A7A03}"/>
            </a:ext>
          </a:extLst>
        </xdr:cNvPr>
        <xdr:cNvSpPr/>
      </xdr:nvSpPr>
      <xdr:spPr>
        <a:xfrm>
          <a:off x="2937766" y="3752721"/>
          <a:ext cx="756765" cy="855012"/>
        </a:xfrm>
        <a:custGeom>
          <a:avLst/>
          <a:gdLst>
            <a:gd name="connsiteX0" fmla="*/ 221074 w 759648"/>
            <a:gd name="connsiteY0" fmla="*/ 0 h 851371"/>
            <a:gd name="connsiteX1" fmla="*/ 0 w 759648"/>
            <a:gd name="connsiteY1" fmla="*/ 261056 h 851371"/>
            <a:gd name="connsiteX2" fmla="*/ 87019 w 759648"/>
            <a:gd name="connsiteY2" fmla="*/ 703204 h 851371"/>
            <a:gd name="connsiteX3" fmla="*/ 204611 w 759648"/>
            <a:gd name="connsiteY3" fmla="*/ 696148 h 851371"/>
            <a:gd name="connsiteX4" fmla="*/ 555037 w 759648"/>
            <a:gd name="connsiteY4" fmla="*/ 851371 h 851371"/>
            <a:gd name="connsiteX5" fmla="*/ 517407 w 759648"/>
            <a:gd name="connsiteY5" fmla="*/ 766704 h 851371"/>
            <a:gd name="connsiteX6" fmla="*/ 759648 w 759648"/>
            <a:gd name="connsiteY6" fmla="*/ 258704 h 851371"/>
            <a:gd name="connsiteX7" fmla="*/ 458611 w 759648"/>
            <a:gd name="connsiteY7" fmla="*/ 230482 h 851371"/>
            <a:gd name="connsiteX8" fmla="*/ 221074 w 759648"/>
            <a:gd name="connsiteY8" fmla="*/ 0 h 8513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759648" h="851371">
              <a:moveTo>
                <a:pt x="221074" y="0"/>
              </a:moveTo>
              <a:lnTo>
                <a:pt x="0" y="261056"/>
              </a:lnTo>
              <a:lnTo>
                <a:pt x="87019" y="703204"/>
              </a:lnTo>
              <a:lnTo>
                <a:pt x="204611" y="696148"/>
              </a:lnTo>
              <a:lnTo>
                <a:pt x="555037" y="851371"/>
              </a:lnTo>
              <a:lnTo>
                <a:pt x="517407" y="766704"/>
              </a:lnTo>
              <a:lnTo>
                <a:pt x="759648" y="258704"/>
              </a:lnTo>
              <a:lnTo>
                <a:pt x="458611" y="230482"/>
              </a:lnTo>
              <a:lnTo>
                <a:pt x="221074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4</xdr:col>
      <xdr:colOff>41346</xdr:colOff>
      <xdr:row>18</xdr:row>
      <xdr:rowOff>159698</xdr:rowOff>
    </xdr:from>
    <xdr:to>
      <xdr:col>4</xdr:col>
      <xdr:colOff>696072</xdr:colOff>
      <xdr:row>21</xdr:row>
      <xdr:rowOff>157347</xdr:rowOff>
    </xdr:to>
    <xdr:sp macro="[0]!swietokrzyskie" textlink="">
      <xdr:nvSpPr>
        <xdr:cNvPr id="13" name="Dowolny kształt: kształt 12">
          <a:extLst>
            <a:ext uri="{FF2B5EF4-FFF2-40B4-BE49-F238E27FC236}">
              <a16:creationId xmlns:a16="http://schemas.microsoft.com/office/drawing/2014/main" id="{F7B013BC-57EB-40C6-92AE-0BE1244A8250}"/>
            </a:ext>
          </a:extLst>
        </xdr:cNvPr>
        <xdr:cNvSpPr/>
      </xdr:nvSpPr>
      <xdr:spPr>
        <a:xfrm>
          <a:off x="2472099" y="3478085"/>
          <a:ext cx="654726" cy="550714"/>
        </a:xfrm>
        <a:custGeom>
          <a:avLst/>
          <a:gdLst>
            <a:gd name="connsiteX0" fmla="*/ 204611 w 656167"/>
            <a:gd name="connsiteY0" fmla="*/ 0 h 547982"/>
            <a:gd name="connsiteX1" fmla="*/ 0 w 656167"/>
            <a:gd name="connsiteY1" fmla="*/ 199908 h 547982"/>
            <a:gd name="connsiteX2" fmla="*/ 39982 w 656167"/>
            <a:gd name="connsiteY2" fmla="*/ 420982 h 547982"/>
            <a:gd name="connsiteX3" fmla="*/ 214019 w 656167"/>
            <a:gd name="connsiteY3" fmla="*/ 547982 h 547982"/>
            <a:gd name="connsiteX4" fmla="*/ 442148 w 656167"/>
            <a:gd name="connsiteY4" fmla="*/ 512704 h 547982"/>
            <a:gd name="connsiteX5" fmla="*/ 656167 w 656167"/>
            <a:gd name="connsiteY5" fmla="*/ 237537 h 547982"/>
            <a:gd name="connsiteX6" fmla="*/ 597371 w 656167"/>
            <a:gd name="connsiteY6" fmla="*/ 127000 h 547982"/>
            <a:gd name="connsiteX7" fmla="*/ 204611 w 656167"/>
            <a:gd name="connsiteY7" fmla="*/ 0 h 5479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656167" h="547982">
              <a:moveTo>
                <a:pt x="204611" y="0"/>
              </a:moveTo>
              <a:lnTo>
                <a:pt x="0" y="199908"/>
              </a:lnTo>
              <a:lnTo>
                <a:pt x="39982" y="420982"/>
              </a:lnTo>
              <a:lnTo>
                <a:pt x="214019" y="547982"/>
              </a:lnTo>
              <a:lnTo>
                <a:pt x="442148" y="512704"/>
              </a:lnTo>
              <a:lnTo>
                <a:pt x="656167" y="237537"/>
              </a:lnTo>
              <a:lnTo>
                <a:pt x="597371" y="127000"/>
              </a:lnTo>
              <a:lnTo>
                <a:pt x="204611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3</xdr:col>
      <xdr:colOff>438810</xdr:colOff>
      <xdr:row>21</xdr:row>
      <xdr:rowOff>70328</xdr:rowOff>
    </xdr:from>
    <xdr:to>
      <xdr:col>4</xdr:col>
      <xdr:colOff>556402</xdr:colOff>
      <xdr:row>24</xdr:row>
      <xdr:rowOff>138531</xdr:rowOff>
    </xdr:to>
    <xdr:sp macro="[0]!malopolskie" textlink="">
      <xdr:nvSpPr>
        <xdr:cNvPr id="16" name="Dowolny kształt: kształt 15">
          <a:extLst>
            <a:ext uri="{FF2B5EF4-FFF2-40B4-BE49-F238E27FC236}">
              <a16:creationId xmlns:a16="http://schemas.microsoft.com/office/drawing/2014/main" id="{8CB05681-94E0-4665-B5D8-B004EB04C985}"/>
            </a:ext>
          </a:extLst>
        </xdr:cNvPr>
        <xdr:cNvSpPr/>
      </xdr:nvSpPr>
      <xdr:spPr>
        <a:xfrm>
          <a:off x="2261875" y="3941780"/>
          <a:ext cx="725280" cy="621267"/>
        </a:xfrm>
        <a:custGeom>
          <a:avLst/>
          <a:gdLst>
            <a:gd name="connsiteX0" fmla="*/ 249296 w 726722"/>
            <a:gd name="connsiteY0" fmla="*/ 0 h 618537"/>
            <a:gd name="connsiteX1" fmla="*/ 0 w 726722"/>
            <a:gd name="connsiteY1" fmla="*/ 246945 h 618537"/>
            <a:gd name="connsiteX2" fmla="*/ 127000 w 726722"/>
            <a:gd name="connsiteY2" fmla="*/ 402167 h 618537"/>
            <a:gd name="connsiteX3" fmla="*/ 209314 w 726722"/>
            <a:gd name="connsiteY3" fmla="*/ 618537 h 618537"/>
            <a:gd name="connsiteX4" fmla="*/ 329259 w 726722"/>
            <a:gd name="connsiteY4" fmla="*/ 618537 h 618537"/>
            <a:gd name="connsiteX5" fmla="*/ 390407 w 726722"/>
            <a:gd name="connsiteY5" fmla="*/ 545630 h 618537"/>
            <a:gd name="connsiteX6" fmla="*/ 526814 w 726722"/>
            <a:gd name="connsiteY6" fmla="*/ 510352 h 618537"/>
            <a:gd name="connsiteX7" fmla="*/ 562092 w 726722"/>
            <a:gd name="connsiteY7" fmla="*/ 540926 h 618537"/>
            <a:gd name="connsiteX8" fmla="*/ 632648 w 726722"/>
            <a:gd name="connsiteY8" fmla="*/ 533871 h 618537"/>
            <a:gd name="connsiteX9" fmla="*/ 627944 w 726722"/>
            <a:gd name="connsiteY9" fmla="*/ 482130 h 618537"/>
            <a:gd name="connsiteX10" fmla="*/ 726722 w 726722"/>
            <a:gd name="connsiteY10" fmla="*/ 508000 h 618537"/>
            <a:gd name="connsiteX11" fmla="*/ 649111 w 726722"/>
            <a:gd name="connsiteY11" fmla="*/ 89371 h 618537"/>
            <a:gd name="connsiteX12" fmla="*/ 418629 w 726722"/>
            <a:gd name="connsiteY12" fmla="*/ 119945 h 618537"/>
            <a:gd name="connsiteX13" fmla="*/ 249296 w 726722"/>
            <a:gd name="connsiteY13" fmla="*/ 0 h 6185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726722" h="618537">
              <a:moveTo>
                <a:pt x="249296" y="0"/>
              </a:moveTo>
              <a:lnTo>
                <a:pt x="0" y="246945"/>
              </a:lnTo>
              <a:lnTo>
                <a:pt x="127000" y="402167"/>
              </a:lnTo>
              <a:lnTo>
                <a:pt x="209314" y="618537"/>
              </a:lnTo>
              <a:lnTo>
                <a:pt x="329259" y="618537"/>
              </a:lnTo>
              <a:lnTo>
                <a:pt x="390407" y="545630"/>
              </a:lnTo>
              <a:lnTo>
                <a:pt x="526814" y="510352"/>
              </a:lnTo>
              <a:lnTo>
                <a:pt x="562092" y="540926"/>
              </a:lnTo>
              <a:lnTo>
                <a:pt x="632648" y="533871"/>
              </a:lnTo>
              <a:lnTo>
                <a:pt x="627944" y="482130"/>
              </a:lnTo>
              <a:lnTo>
                <a:pt x="726722" y="508000"/>
              </a:lnTo>
              <a:lnTo>
                <a:pt x="649111" y="89371"/>
              </a:lnTo>
              <a:lnTo>
                <a:pt x="418629" y="119945"/>
              </a:lnTo>
              <a:lnTo>
                <a:pt x="249296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3</xdr:col>
      <xdr:colOff>74273</xdr:colOff>
      <xdr:row>19</xdr:row>
      <xdr:rowOff>89143</xdr:rowOff>
    </xdr:from>
    <xdr:to>
      <xdr:col>4</xdr:col>
      <xdr:colOff>46050</xdr:colOff>
      <xdr:row>24</xdr:row>
      <xdr:rowOff>49161</xdr:rowOff>
    </xdr:to>
    <xdr:sp macro="[0]!slaskie" textlink="">
      <xdr:nvSpPr>
        <xdr:cNvPr id="17" name="Dowolny kształt: kształt 16">
          <a:extLst>
            <a:ext uri="{FF2B5EF4-FFF2-40B4-BE49-F238E27FC236}">
              <a16:creationId xmlns:a16="http://schemas.microsoft.com/office/drawing/2014/main" id="{3F851076-46B0-4AB9-8FB4-942C443492C1}"/>
            </a:ext>
          </a:extLst>
        </xdr:cNvPr>
        <xdr:cNvSpPr/>
      </xdr:nvSpPr>
      <xdr:spPr>
        <a:xfrm>
          <a:off x="1897338" y="3591885"/>
          <a:ext cx="579465" cy="881792"/>
        </a:xfrm>
        <a:custGeom>
          <a:avLst/>
          <a:gdLst>
            <a:gd name="connsiteX0" fmla="*/ 223426 w 580907"/>
            <a:gd name="connsiteY0" fmla="*/ 0 h 877241"/>
            <a:gd name="connsiteX1" fmla="*/ 0 w 580907"/>
            <a:gd name="connsiteY1" fmla="*/ 512704 h 877241"/>
            <a:gd name="connsiteX2" fmla="*/ 178740 w 580907"/>
            <a:gd name="connsiteY2" fmla="*/ 599722 h 877241"/>
            <a:gd name="connsiteX3" fmla="*/ 171685 w 580907"/>
            <a:gd name="connsiteY3" fmla="*/ 703204 h 877241"/>
            <a:gd name="connsiteX4" fmla="*/ 225777 w 580907"/>
            <a:gd name="connsiteY4" fmla="*/ 724371 h 877241"/>
            <a:gd name="connsiteX5" fmla="*/ 305740 w 580907"/>
            <a:gd name="connsiteY5" fmla="*/ 877241 h 877241"/>
            <a:gd name="connsiteX6" fmla="*/ 446851 w 580907"/>
            <a:gd name="connsiteY6" fmla="*/ 754945 h 877241"/>
            <a:gd name="connsiteX7" fmla="*/ 308092 w 580907"/>
            <a:gd name="connsiteY7" fmla="*/ 592667 h 877241"/>
            <a:gd name="connsiteX8" fmla="*/ 580907 w 580907"/>
            <a:gd name="connsiteY8" fmla="*/ 310445 h 877241"/>
            <a:gd name="connsiteX9" fmla="*/ 536222 w 580907"/>
            <a:gd name="connsiteY9" fmla="*/ 122297 h 877241"/>
            <a:gd name="connsiteX10" fmla="*/ 223426 w 580907"/>
            <a:gd name="connsiteY10" fmla="*/ 0 h 8772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580907" h="877241">
              <a:moveTo>
                <a:pt x="223426" y="0"/>
              </a:moveTo>
              <a:lnTo>
                <a:pt x="0" y="512704"/>
              </a:lnTo>
              <a:lnTo>
                <a:pt x="178740" y="599722"/>
              </a:lnTo>
              <a:lnTo>
                <a:pt x="171685" y="703204"/>
              </a:lnTo>
              <a:lnTo>
                <a:pt x="225777" y="724371"/>
              </a:lnTo>
              <a:lnTo>
                <a:pt x="305740" y="877241"/>
              </a:lnTo>
              <a:lnTo>
                <a:pt x="446851" y="754945"/>
              </a:lnTo>
              <a:lnTo>
                <a:pt x="308092" y="592667"/>
              </a:lnTo>
              <a:lnTo>
                <a:pt x="580907" y="310445"/>
              </a:lnTo>
              <a:lnTo>
                <a:pt x="536222" y="122297"/>
              </a:lnTo>
              <a:lnTo>
                <a:pt x="223426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2</xdr:col>
      <xdr:colOff>368254</xdr:colOff>
      <xdr:row>19</xdr:row>
      <xdr:rowOff>35051</xdr:rowOff>
    </xdr:from>
    <xdr:to>
      <xdr:col>3</xdr:col>
      <xdr:colOff>260069</xdr:colOff>
      <xdr:row>22</xdr:row>
      <xdr:rowOff>82087</xdr:rowOff>
    </xdr:to>
    <xdr:sp macro="[0]!opolskie" textlink="">
      <xdr:nvSpPr>
        <xdr:cNvPr id="18" name="Dowolny kształt: kształt 17">
          <a:extLst>
            <a:ext uri="{FF2B5EF4-FFF2-40B4-BE49-F238E27FC236}">
              <a16:creationId xmlns:a16="http://schemas.microsoft.com/office/drawing/2014/main" id="{892BDBF2-1EDE-48C9-91EA-A47CD12D7967}"/>
            </a:ext>
          </a:extLst>
        </xdr:cNvPr>
        <xdr:cNvSpPr/>
      </xdr:nvSpPr>
      <xdr:spPr>
        <a:xfrm>
          <a:off x="1583630" y="3537793"/>
          <a:ext cx="499504" cy="600100"/>
        </a:xfrm>
        <a:custGeom>
          <a:avLst/>
          <a:gdLst>
            <a:gd name="connsiteX0" fmla="*/ 284575 w 500945"/>
            <a:gd name="connsiteY0" fmla="*/ 0 h 597370"/>
            <a:gd name="connsiteX1" fmla="*/ 500945 w 500945"/>
            <a:gd name="connsiteY1" fmla="*/ 47037 h 597370"/>
            <a:gd name="connsiteX2" fmla="*/ 286926 w 500945"/>
            <a:gd name="connsiteY2" fmla="*/ 550333 h 597370"/>
            <a:gd name="connsiteX3" fmla="*/ 242241 w 500945"/>
            <a:gd name="connsiteY3" fmla="*/ 597370 h 597370"/>
            <a:gd name="connsiteX4" fmla="*/ 185797 w 500945"/>
            <a:gd name="connsiteY4" fmla="*/ 529166 h 597370"/>
            <a:gd name="connsiteX5" fmla="*/ 225778 w 500945"/>
            <a:gd name="connsiteY5" fmla="*/ 500944 h 597370"/>
            <a:gd name="connsiteX6" fmla="*/ 228130 w 500945"/>
            <a:gd name="connsiteY6" fmla="*/ 442148 h 597370"/>
            <a:gd name="connsiteX7" fmla="*/ 0 w 500945"/>
            <a:gd name="connsiteY7" fmla="*/ 390407 h 597370"/>
            <a:gd name="connsiteX8" fmla="*/ 284575 w 500945"/>
            <a:gd name="connsiteY8" fmla="*/ 0 h 5973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500945" h="597370">
              <a:moveTo>
                <a:pt x="284575" y="0"/>
              </a:moveTo>
              <a:lnTo>
                <a:pt x="500945" y="47037"/>
              </a:lnTo>
              <a:lnTo>
                <a:pt x="286926" y="550333"/>
              </a:lnTo>
              <a:lnTo>
                <a:pt x="242241" y="597370"/>
              </a:lnTo>
              <a:lnTo>
                <a:pt x="185797" y="529166"/>
              </a:lnTo>
              <a:lnTo>
                <a:pt x="225778" y="500944"/>
              </a:lnTo>
              <a:lnTo>
                <a:pt x="228130" y="442148"/>
              </a:lnTo>
              <a:lnTo>
                <a:pt x="0" y="390407"/>
              </a:lnTo>
              <a:lnTo>
                <a:pt x="284575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3</xdr:col>
      <xdr:colOff>67217</xdr:colOff>
      <xdr:row>15</xdr:row>
      <xdr:rowOff>154994</xdr:rowOff>
    </xdr:from>
    <xdr:to>
      <xdr:col>4</xdr:col>
      <xdr:colOff>257717</xdr:colOff>
      <xdr:row>20</xdr:row>
      <xdr:rowOff>1214</xdr:rowOff>
    </xdr:to>
    <xdr:sp macro="[0]!lodzkie" textlink="">
      <xdr:nvSpPr>
        <xdr:cNvPr id="19" name="Dowolny kształt: kształt 18">
          <a:extLst>
            <a:ext uri="{FF2B5EF4-FFF2-40B4-BE49-F238E27FC236}">
              <a16:creationId xmlns:a16="http://schemas.microsoft.com/office/drawing/2014/main" id="{699266D5-AFEC-43AE-8900-CAEACD408B8A}"/>
            </a:ext>
          </a:extLst>
        </xdr:cNvPr>
        <xdr:cNvSpPr/>
      </xdr:nvSpPr>
      <xdr:spPr>
        <a:xfrm>
          <a:off x="1890282" y="2920317"/>
          <a:ext cx="798188" cy="767994"/>
        </a:xfrm>
        <a:custGeom>
          <a:avLst/>
          <a:gdLst>
            <a:gd name="connsiteX0" fmla="*/ 409222 w 799630"/>
            <a:gd name="connsiteY0" fmla="*/ 0 h 764352"/>
            <a:gd name="connsiteX1" fmla="*/ 352778 w 799630"/>
            <a:gd name="connsiteY1" fmla="*/ 54093 h 764352"/>
            <a:gd name="connsiteX2" fmla="*/ 0 w 799630"/>
            <a:gd name="connsiteY2" fmla="*/ 587963 h 764352"/>
            <a:gd name="connsiteX3" fmla="*/ 235185 w 799630"/>
            <a:gd name="connsiteY3" fmla="*/ 642056 h 764352"/>
            <a:gd name="connsiteX4" fmla="*/ 533870 w 799630"/>
            <a:gd name="connsiteY4" fmla="*/ 764352 h 764352"/>
            <a:gd name="connsiteX5" fmla="*/ 766704 w 799630"/>
            <a:gd name="connsiteY5" fmla="*/ 522111 h 764352"/>
            <a:gd name="connsiteX6" fmla="*/ 799630 w 799630"/>
            <a:gd name="connsiteY6" fmla="*/ 254000 h 764352"/>
            <a:gd name="connsiteX7" fmla="*/ 409222 w 799630"/>
            <a:gd name="connsiteY7" fmla="*/ 0 h 7643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799630" h="764352">
              <a:moveTo>
                <a:pt x="409222" y="0"/>
              </a:moveTo>
              <a:lnTo>
                <a:pt x="352778" y="54093"/>
              </a:lnTo>
              <a:lnTo>
                <a:pt x="0" y="587963"/>
              </a:lnTo>
              <a:lnTo>
                <a:pt x="235185" y="642056"/>
              </a:lnTo>
              <a:lnTo>
                <a:pt x="533870" y="764352"/>
              </a:lnTo>
              <a:lnTo>
                <a:pt x="766704" y="522111"/>
              </a:lnTo>
              <a:lnTo>
                <a:pt x="799630" y="254000"/>
              </a:lnTo>
              <a:lnTo>
                <a:pt x="409222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1</xdr:col>
      <xdr:colOff>288291</xdr:colOff>
      <xdr:row>17</xdr:row>
      <xdr:rowOff>56216</xdr:rowOff>
    </xdr:from>
    <xdr:to>
      <xdr:col>3</xdr:col>
      <xdr:colOff>22532</xdr:colOff>
      <xdr:row>22</xdr:row>
      <xdr:rowOff>23291</xdr:rowOff>
    </xdr:to>
    <xdr:sp macro="[0]!dolnoslo" textlink="">
      <xdr:nvSpPr>
        <xdr:cNvPr id="20" name="Dowolny kształt: kształt 19">
          <a:extLst>
            <a:ext uri="{FF2B5EF4-FFF2-40B4-BE49-F238E27FC236}">
              <a16:creationId xmlns:a16="http://schemas.microsoft.com/office/drawing/2014/main" id="{E77618ED-49BC-45AA-94DA-7613D13F3237}"/>
            </a:ext>
          </a:extLst>
        </xdr:cNvPr>
        <xdr:cNvSpPr/>
      </xdr:nvSpPr>
      <xdr:spPr>
        <a:xfrm>
          <a:off x="895979" y="3190248"/>
          <a:ext cx="949618" cy="888849"/>
        </a:xfrm>
        <a:custGeom>
          <a:avLst/>
          <a:gdLst>
            <a:gd name="connsiteX0" fmla="*/ 536222 w 952500"/>
            <a:gd name="connsiteY0" fmla="*/ 0 h 884297"/>
            <a:gd name="connsiteX1" fmla="*/ 928981 w 952500"/>
            <a:gd name="connsiteY1" fmla="*/ 235186 h 884297"/>
            <a:gd name="connsiteX2" fmla="*/ 952500 w 952500"/>
            <a:gd name="connsiteY2" fmla="*/ 319852 h 884297"/>
            <a:gd name="connsiteX3" fmla="*/ 653815 w 952500"/>
            <a:gd name="connsiteY3" fmla="*/ 726723 h 884297"/>
            <a:gd name="connsiteX4" fmla="*/ 665574 w 952500"/>
            <a:gd name="connsiteY4" fmla="*/ 830204 h 884297"/>
            <a:gd name="connsiteX5" fmla="*/ 566796 w 952500"/>
            <a:gd name="connsiteY5" fmla="*/ 884297 h 884297"/>
            <a:gd name="connsiteX6" fmla="*/ 437444 w 952500"/>
            <a:gd name="connsiteY6" fmla="*/ 714963 h 884297"/>
            <a:gd name="connsiteX7" fmla="*/ 503296 w 952500"/>
            <a:gd name="connsiteY7" fmla="*/ 627945 h 884297"/>
            <a:gd name="connsiteX8" fmla="*/ 468018 w 952500"/>
            <a:gd name="connsiteY8" fmla="*/ 597371 h 884297"/>
            <a:gd name="connsiteX9" fmla="*/ 326907 w 952500"/>
            <a:gd name="connsiteY9" fmla="*/ 552686 h 884297"/>
            <a:gd name="connsiteX10" fmla="*/ 58796 w 952500"/>
            <a:gd name="connsiteY10" fmla="*/ 402167 h 884297"/>
            <a:gd name="connsiteX11" fmla="*/ 58796 w 952500"/>
            <a:gd name="connsiteY11" fmla="*/ 439797 h 884297"/>
            <a:gd name="connsiteX12" fmla="*/ 0 w 952500"/>
            <a:gd name="connsiteY12" fmla="*/ 463315 h 884297"/>
            <a:gd name="connsiteX13" fmla="*/ 61148 w 952500"/>
            <a:gd name="connsiteY13" fmla="*/ 239889 h 884297"/>
            <a:gd name="connsiteX14" fmla="*/ 536222 w 952500"/>
            <a:gd name="connsiteY14" fmla="*/ 0 h 8842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952500" h="884297">
              <a:moveTo>
                <a:pt x="536222" y="0"/>
              </a:moveTo>
              <a:lnTo>
                <a:pt x="928981" y="235186"/>
              </a:lnTo>
              <a:lnTo>
                <a:pt x="952500" y="319852"/>
              </a:lnTo>
              <a:lnTo>
                <a:pt x="653815" y="726723"/>
              </a:lnTo>
              <a:lnTo>
                <a:pt x="665574" y="830204"/>
              </a:lnTo>
              <a:lnTo>
                <a:pt x="566796" y="884297"/>
              </a:lnTo>
              <a:lnTo>
                <a:pt x="437444" y="714963"/>
              </a:lnTo>
              <a:lnTo>
                <a:pt x="503296" y="627945"/>
              </a:lnTo>
              <a:lnTo>
                <a:pt x="468018" y="597371"/>
              </a:lnTo>
              <a:lnTo>
                <a:pt x="326907" y="552686"/>
              </a:lnTo>
              <a:lnTo>
                <a:pt x="58796" y="402167"/>
              </a:lnTo>
              <a:lnTo>
                <a:pt x="58796" y="439797"/>
              </a:lnTo>
              <a:lnTo>
                <a:pt x="0" y="463315"/>
              </a:lnTo>
              <a:lnTo>
                <a:pt x="61148" y="239889"/>
              </a:lnTo>
              <a:lnTo>
                <a:pt x="536222" y="0"/>
              </a:ln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</xdr:col>
      <xdr:colOff>266290</xdr:colOff>
      <xdr:row>5</xdr:row>
      <xdr:rowOff>163871</xdr:rowOff>
    </xdr:from>
    <xdr:to>
      <xdr:col>6</xdr:col>
      <xdr:colOff>88764</xdr:colOff>
      <xdr:row>8</xdr:row>
      <xdr:rowOff>163870</xdr:rowOff>
    </xdr:to>
    <xdr:sp macro="[0]!wszystkie_wojewodztwo" textlink="">
      <xdr:nvSpPr>
        <xdr:cNvPr id="32" name="Prostokąt 31">
          <a:extLst>
            <a:ext uri="{FF2B5EF4-FFF2-40B4-BE49-F238E27FC236}">
              <a16:creationId xmlns:a16="http://schemas.microsoft.com/office/drawing/2014/main" id="{71C06FB1-36F9-4BC2-9F00-F13CF8C90A0D}"/>
            </a:ext>
          </a:extLst>
        </xdr:cNvPr>
        <xdr:cNvSpPr/>
      </xdr:nvSpPr>
      <xdr:spPr>
        <a:xfrm>
          <a:off x="2697043" y="1085645"/>
          <a:ext cx="1160753" cy="553064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WSZYSTKIE</a:t>
          </a:r>
          <a:r>
            <a:rPr lang="pl-PL" sz="1100" baseline="0"/>
            <a:t> WOJEWÓDZTWA</a:t>
          </a:r>
          <a:endParaRPr lang="pl-PL" sz="1100"/>
        </a:p>
        <a:p>
          <a:pPr algn="ctr"/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41</xdr:row>
      <xdr:rowOff>107950</xdr:rowOff>
    </xdr:from>
    <xdr:to>
      <xdr:col>8</xdr:col>
      <xdr:colOff>6350</xdr:colOff>
      <xdr:row>50</xdr:row>
      <xdr:rowOff>76200</xdr:rowOff>
    </xdr:to>
    <xdr:sp macro="" textlink="">
      <xdr:nvSpPr>
        <xdr:cNvPr id="6" name="Prostokąt 5">
          <a:extLst>
            <a:ext uri="{FF2B5EF4-FFF2-40B4-BE49-F238E27FC236}">
              <a16:creationId xmlns:a16="http://schemas.microsoft.com/office/drawing/2014/main" id="{13E4D9D2-5015-426E-BF63-86DE042B797F}"/>
            </a:ext>
          </a:extLst>
        </xdr:cNvPr>
        <xdr:cNvSpPr/>
      </xdr:nvSpPr>
      <xdr:spPr>
        <a:xfrm>
          <a:off x="819150" y="7150100"/>
          <a:ext cx="5588000" cy="16256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TU COŚ JESZCZE ŻEBY</a:t>
          </a:r>
          <a:r>
            <a:rPr lang="pl-PL" sz="1600" baseline="0"/>
            <a:t> ŁADNIE CAŁĄ STRONĘ ZAPEŁNIĆ DO DRUKU</a:t>
          </a:r>
          <a:endParaRPr lang="pl-PL" sz="1600"/>
        </a:p>
      </xdr:txBody>
    </xdr:sp>
    <xdr:clientData/>
  </xdr:twoCellAnchor>
  <xdr:twoCellAnchor>
    <xdr:from>
      <xdr:col>5</xdr:col>
      <xdr:colOff>166687</xdr:colOff>
      <xdr:row>11</xdr:row>
      <xdr:rowOff>47626</xdr:rowOff>
    </xdr:from>
    <xdr:to>
      <xdr:col>8</xdr:col>
      <xdr:colOff>7938</xdr:colOff>
      <xdr:row>23</xdr:row>
      <xdr:rowOff>63500</xdr:rowOff>
    </xdr:to>
    <xdr:graphicFrame macro="">
      <xdr:nvGraphicFramePr>
        <xdr:cNvPr id="9" name="Wykres 80">
          <a:extLst>
            <a:ext uri="{FF2B5EF4-FFF2-40B4-BE49-F238E27FC236}">
              <a16:creationId xmlns:a16="http://schemas.microsoft.com/office/drawing/2014/main" id="{F863E487-2C2A-48EF-8F7A-515AA67EC1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162719</xdr:colOff>
      <xdr:row>0</xdr:row>
      <xdr:rowOff>0</xdr:rowOff>
    </xdr:from>
    <xdr:to>
      <xdr:col>8</xdr:col>
      <xdr:colOff>7938</xdr:colOff>
      <xdr:row>11</xdr:row>
      <xdr:rowOff>15875</xdr:rowOff>
    </xdr:to>
    <xdr:graphicFrame macro="">
      <xdr:nvGraphicFramePr>
        <xdr:cNvPr id="8" name="Wykres 70">
          <a:extLst>
            <a:ext uri="{FF2B5EF4-FFF2-40B4-BE49-F238E27FC236}">
              <a16:creationId xmlns:a16="http://schemas.microsoft.com/office/drawing/2014/main" id="{31CBAAE3-8EA7-4D2C-B30A-50F8D97F89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11906</xdr:colOff>
      <xdr:row>23</xdr:row>
      <xdr:rowOff>103187</xdr:rowOff>
    </xdr:from>
    <xdr:to>
      <xdr:col>7</xdr:col>
      <xdr:colOff>769937</xdr:colOff>
      <xdr:row>35</xdr:row>
      <xdr:rowOff>161129</xdr:rowOff>
    </xdr:to>
    <xdr:graphicFrame macro="">
      <xdr:nvGraphicFramePr>
        <xdr:cNvPr id="12" name="Wykres miasto">
          <a:extLst>
            <a:ext uri="{FF2B5EF4-FFF2-40B4-BE49-F238E27FC236}">
              <a16:creationId xmlns:a16="http://schemas.microsoft.com/office/drawing/2014/main" id="{D2F1B02D-D247-491F-9F40-4FC2946BC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136071</xdr:colOff>
      <xdr:row>48</xdr:row>
      <xdr:rowOff>0</xdr:rowOff>
    </xdr:from>
    <xdr:to>
      <xdr:col>3</xdr:col>
      <xdr:colOff>426357</xdr:colOff>
      <xdr:row>49</xdr:row>
      <xdr:rowOff>117928</xdr:rowOff>
    </xdr:to>
    <xdr:sp macro="" textlink="">
      <xdr:nvSpPr>
        <xdr:cNvPr id="13" name="pole tekstowe 12">
          <a:extLst>
            <a:ext uri="{FF2B5EF4-FFF2-40B4-BE49-F238E27FC236}">
              <a16:creationId xmlns:a16="http://schemas.microsoft.com/office/drawing/2014/main" id="{D9801066-3270-4B14-A337-13F2E3718B3B}"/>
            </a:ext>
          </a:extLst>
        </xdr:cNvPr>
        <xdr:cNvSpPr txBox="1"/>
      </xdr:nvSpPr>
      <xdr:spPr>
        <a:xfrm>
          <a:off x="934357" y="9207500"/>
          <a:ext cx="1886857" cy="2993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wystawiającego</a:t>
          </a:r>
          <a:r>
            <a:rPr lang="pl-PL" sz="1100" baseline="0"/>
            <a:t> raport</a:t>
          </a:r>
          <a:endParaRPr lang="pl-PL" sz="1100"/>
        </a:p>
      </xdr:txBody>
    </xdr:sp>
    <xdr:clientData/>
  </xdr:twoCellAnchor>
  <xdr:twoCellAnchor>
    <xdr:from>
      <xdr:col>5</xdr:col>
      <xdr:colOff>390071</xdr:colOff>
      <xdr:row>47</xdr:row>
      <xdr:rowOff>163286</xdr:rowOff>
    </xdr:from>
    <xdr:to>
      <xdr:col>7</xdr:col>
      <xdr:colOff>589643</xdr:colOff>
      <xdr:row>49</xdr:row>
      <xdr:rowOff>108856</xdr:rowOff>
    </xdr:to>
    <xdr:sp macro="" textlink="">
      <xdr:nvSpPr>
        <xdr:cNvPr id="14" name="pole tekstowe 13">
          <a:extLst>
            <a:ext uri="{FF2B5EF4-FFF2-40B4-BE49-F238E27FC236}">
              <a16:creationId xmlns:a16="http://schemas.microsoft.com/office/drawing/2014/main" id="{D695637E-8A23-4B5B-9785-82F34B362079}"/>
            </a:ext>
          </a:extLst>
        </xdr:cNvPr>
        <xdr:cNvSpPr txBox="1"/>
      </xdr:nvSpPr>
      <xdr:spPr>
        <a:xfrm>
          <a:off x="4381500" y="9189357"/>
          <a:ext cx="1796143" cy="308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odbierającego raport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477950</xdr:colOff>
      <xdr:row>0</xdr:row>
      <xdr:rowOff>0</xdr:rowOff>
    </xdr:from>
    <xdr:to>
      <xdr:col>8</xdr:col>
      <xdr:colOff>204107</xdr:colOff>
      <xdr:row>10</xdr:row>
      <xdr:rowOff>26194</xdr:rowOff>
    </xdr:to>
    <xdr:graphicFrame macro="">
      <xdr:nvGraphicFramePr>
        <xdr:cNvPr id="8" name="Wykres 32">
          <a:extLst>
            <a:ext uri="{FF2B5EF4-FFF2-40B4-BE49-F238E27FC236}">
              <a16:creationId xmlns:a16="http://schemas.microsoft.com/office/drawing/2014/main" id="{4F766033-FD59-49D9-B8C9-FC045FC238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480784</xdr:colOff>
      <xdr:row>10</xdr:row>
      <xdr:rowOff>0</xdr:rowOff>
    </xdr:from>
    <xdr:to>
      <xdr:col>8</xdr:col>
      <xdr:colOff>199572</xdr:colOff>
      <xdr:row>21</xdr:row>
      <xdr:rowOff>81642</xdr:rowOff>
    </xdr:to>
    <xdr:graphicFrame macro="">
      <xdr:nvGraphicFramePr>
        <xdr:cNvPr id="9" name="Wykres 80">
          <a:extLst>
            <a:ext uri="{FF2B5EF4-FFF2-40B4-BE49-F238E27FC236}">
              <a16:creationId xmlns:a16="http://schemas.microsoft.com/office/drawing/2014/main" id="{08D2386C-DAF7-492F-99D6-19ED6559E5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503465</xdr:colOff>
      <xdr:row>21</xdr:row>
      <xdr:rowOff>145142</xdr:rowOff>
    </xdr:from>
    <xdr:to>
      <xdr:col>8</xdr:col>
      <xdr:colOff>72572</xdr:colOff>
      <xdr:row>34</xdr:row>
      <xdr:rowOff>160563</xdr:rowOff>
    </xdr:to>
    <xdr:graphicFrame macro="">
      <xdr:nvGraphicFramePr>
        <xdr:cNvPr id="10" name="Wykres wojewodztwo">
          <a:extLst>
            <a:ext uri="{FF2B5EF4-FFF2-40B4-BE49-F238E27FC236}">
              <a16:creationId xmlns:a16="http://schemas.microsoft.com/office/drawing/2014/main" id="{6955B59C-BAA2-43B7-9B6E-DF5FBD159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562428</xdr:colOff>
      <xdr:row>41</xdr:row>
      <xdr:rowOff>90714</xdr:rowOff>
    </xdr:from>
    <xdr:to>
      <xdr:col>7</xdr:col>
      <xdr:colOff>549728</xdr:colOff>
      <xdr:row>50</xdr:row>
      <xdr:rowOff>58964</xdr:rowOff>
    </xdr:to>
    <xdr:sp macro="" textlink="">
      <xdr:nvSpPr>
        <xdr:cNvPr id="12" name="Prostokąt 11">
          <a:extLst>
            <a:ext uri="{FF2B5EF4-FFF2-40B4-BE49-F238E27FC236}">
              <a16:creationId xmlns:a16="http://schemas.microsoft.com/office/drawing/2014/main" id="{0D24B90B-756C-49A7-A684-9FDF50822F01}"/>
            </a:ext>
          </a:extLst>
        </xdr:cNvPr>
        <xdr:cNvSpPr/>
      </xdr:nvSpPr>
      <xdr:spPr>
        <a:xfrm>
          <a:off x="562428" y="7701643"/>
          <a:ext cx="5575300" cy="160110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TU COŚ JESZCZE ŻEBY</a:t>
          </a:r>
          <a:r>
            <a:rPr lang="pl-PL" sz="1600" baseline="0"/>
            <a:t> ŁADNIE CAŁĄ STRONĘ ZAPEŁNIĆ DO DRUKU</a:t>
          </a:r>
          <a:endParaRPr lang="pl-PL" sz="1600"/>
        </a:p>
      </xdr:txBody>
    </xdr:sp>
    <xdr:clientData/>
  </xdr:twoCellAnchor>
  <xdr:twoCellAnchor>
    <xdr:from>
      <xdr:col>0</xdr:col>
      <xdr:colOff>679449</xdr:colOff>
      <xdr:row>47</xdr:row>
      <xdr:rowOff>164193</xdr:rowOff>
    </xdr:from>
    <xdr:to>
      <xdr:col>3</xdr:col>
      <xdr:colOff>171449</xdr:colOff>
      <xdr:row>49</xdr:row>
      <xdr:rowOff>100693</xdr:rowOff>
    </xdr:to>
    <xdr:sp macro="" textlink="">
      <xdr:nvSpPr>
        <xdr:cNvPr id="13" name="pole tekstowe 12">
          <a:extLst>
            <a:ext uri="{FF2B5EF4-FFF2-40B4-BE49-F238E27FC236}">
              <a16:creationId xmlns:a16="http://schemas.microsoft.com/office/drawing/2014/main" id="{672A03E6-DC48-453E-BBD7-860D21507C30}"/>
            </a:ext>
          </a:extLst>
        </xdr:cNvPr>
        <xdr:cNvSpPr txBox="1"/>
      </xdr:nvSpPr>
      <xdr:spPr>
        <a:xfrm>
          <a:off x="679449" y="8863693"/>
          <a:ext cx="1886857" cy="2993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wystawiającego</a:t>
          </a:r>
          <a:r>
            <a:rPr lang="pl-PL" sz="1100" baseline="0"/>
            <a:t> raport</a:t>
          </a:r>
          <a:endParaRPr lang="pl-PL" sz="1100"/>
        </a:p>
      </xdr:txBody>
    </xdr:sp>
    <xdr:clientData/>
  </xdr:twoCellAnchor>
  <xdr:twoCellAnchor>
    <xdr:from>
      <xdr:col>5</xdr:col>
      <xdr:colOff>135163</xdr:colOff>
      <xdr:row>47</xdr:row>
      <xdr:rowOff>146050</xdr:rowOff>
    </xdr:from>
    <xdr:to>
      <xdr:col>7</xdr:col>
      <xdr:colOff>334735</xdr:colOff>
      <xdr:row>49</xdr:row>
      <xdr:rowOff>91621</xdr:rowOff>
    </xdr:to>
    <xdr:sp macro="" textlink="">
      <xdr:nvSpPr>
        <xdr:cNvPr id="14" name="pole tekstowe 13">
          <a:extLst>
            <a:ext uri="{FF2B5EF4-FFF2-40B4-BE49-F238E27FC236}">
              <a16:creationId xmlns:a16="http://schemas.microsoft.com/office/drawing/2014/main" id="{E343ED8A-AAEE-4C20-9496-D24E63C4759C}"/>
            </a:ext>
          </a:extLst>
        </xdr:cNvPr>
        <xdr:cNvSpPr txBox="1"/>
      </xdr:nvSpPr>
      <xdr:spPr>
        <a:xfrm>
          <a:off x="4126592" y="8845550"/>
          <a:ext cx="1796143" cy="308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odbierającego raport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75405</xdr:colOff>
      <xdr:row>0</xdr:row>
      <xdr:rowOff>0</xdr:rowOff>
    </xdr:from>
    <xdr:to>
      <xdr:col>8</xdr:col>
      <xdr:colOff>23812</xdr:colOff>
      <xdr:row>10</xdr:row>
      <xdr:rowOff>126999</xdr:rowOff>
    </xdr:to>
    <xdr:graphicFrame macro="">
      <xdr:nvGraphicFramePr>
        <xdr:cNvPr id="6" name="Wykres 50">
          <a:extLst>
            <a:ext uri="{FF2B5EF4-FFF2-40B4-BE49-F238E27FC236}">
              <a16:creationId xmlns:a16="http://schemas.microsoft.com/office/drawing/2014/main" id="{4D8F3436-3BC0-4050-992B-AEDEFB816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75405</xdr:colOff>
      <xdr:row>10</xdr:row>
      <xdr:rowOff>63500</xdr:rowOff>
    </xdr:from>
    <xdr:to>
      <xdr:col>8</xdr:col>
      <xdr:colOff>23813</xdr:colOff>
      <xdr:row>22</xdr:row>
      <xdr:rowOff>63500</xdr:rowOff>
    </xdr:to>
    <xdr:graphicFrame macro="">
      <xdr:nvGraphicFramePr>
        <xdr:cNvPr id="7" name="Wykres 60">
          <a:extLst>
            <a:ext uri="{FF2B5EF4-FFF2-40B4-BE49-F238E27FC236}">
              <a16:creationId xmlns:a16="http://schemas.microsoft.com/office/drawing/2014/main" id="{3A9F3A56-D593-45E5-B59C-639BF39288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650876</xdr:colOff>
      <xdr:row>41</xdr:row>
      <xdr:rowOff>134938</xdr:rowOff>
    </xdr:from>
    <xdr:to>
      <xdr:col>7</xdr:col>
      <xdr:colOff>614363</xdr:colOff>
      <xdr:row>50</xdr:row>
      <xdr:rowOff>92982</xdr:rowOff>
    </xdr:to>
    <xdr:sp macro="" textlink="">
      <xdr:nvSpPr>
        <xdr:cNvPr id="8" name="Prostokąt 7">
          <a:extLst>
            <a:ext uri="{FF2B5EF4-FFF2-40B4-BE49-F238E27FC236}">
              <a16:creationId xmlns:a16="http://schemas.microsoft.com/office/drawing/2014/main" id="{F85AB02A-8510-4D00-9B23-07BE3568AABA}"/>
            </a:ext>
          </a:extLst>
        </xdr:cNvPr>
        <xdr:cNvSpPr/>
      </xdr:nvSpPr>
      <xdr:spPr>
        <a:xfrm>
          <a:off x="650876" y="7977188"/>
          <a:ext cx="5575300" cy="160110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TU COŚ JESZCZE ŻEBY</a:t>
          </a:r>
          <a:r>
            <a:rPr lang="pl-PL" sz="1600" baseline="0"/>
            <a:t> ŁADNIE CAŁĄ STRONĘ ZAPEŁNIĆ DO DRUKU</a:t>
          </a:r>
          <a:endParaRPr lang="pl-PL" sz="1600"/>
        </a:p>
      </xdr:txBody>
    </xdr:sp>
    <xdr:clientData/>
  </xdr:twoCellAnchor>
  <xdr:twoCellAnchor>
    <xdr:from>
      <xdr:col>0</xdr:col>
      <xdr:colOff>767897</xdr:colOff>
      <xdr:row>48</xdr:row>
      <xdr:rowOff>19050</xdr:rowOff>
    </xdr:from>
    <xdr:to>
      <xdr:col>3</xdr:col>
      <xdr:colOff>249691</xdr:colOff>
      <xdr:row>49</xdr:row>
      <xdr:rowOff>135845</xdr:rowOff>
    </xdr:to>
    <xdr:sp macro="" textlink="">
      <xdr:nvSpPr>
        <xdr:cNvPr id="9" name="pole tekstowe 8">
          <a:extLst>
            <a:ext uri="{FF2B5EF4-FFF2-40B4-BE49-F238E27FC236}">
              <a16:creationId xmlns:a16="http://schemas.microsoft.com/office/drawing/2014/main" id="{0F1139BD-475F-46B0-8ABB-80789939AA48}"/>
            </a:ext>
          </a:extLst>
        </xdr:cNvPr>
        <xdr:cNvSpPr txBox="1"/>
      </xdr:nvSpPr>
      <xdr:spPr>
        <a:xfrm>
          <a:off x="767897" y="9139238"/>
          <a:ext cx="1886857" cy="2993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wystawiającego</a:t>
          </a:r>
          <a:r>
            <a:rPr lang="pl-PL" sz="1100" baseline="0"/>
            <a:t> raport</a:t>
          </a:r>
          <a:endParaRPr lang="pl-PL" sz="1100"/>
        </a:p>
      </xdr:txBody>
    </xdr:sp>
    <xdr:clientData/>
  </xdr:twoCellAnchor>
  <xdr:twoCellAnchor>
    <xdr:from>
      <xdr:col>5</xdr:col>
      <xdr:colOff>206602</xdr:colOff>
      <xdr:row>48</xdr:row>
      <xdr:rowOff>907</xdr:rowOff>
    </xdr:from>
    <xdr:to>
      <xdr:col>7</xdr:col>
      <xdr:colOff>399370</xdr:colOff>
      <xdr:row>49</xdr:row>
      <xdr:rowOff>126773</xdr:rowOff>
    </xdr:to>
    <xdr:sp macro="" textlink="">
      <xdr:nvSpPr>
        <xdr:cNvPr id="10" name="pole tekstowe 9">
          <a:extLst>
            <a:ext uri="{FF2B5EF4-FFF2-40B4-BE49-F238E27FC236}">
              <a16:creationId xmlns:a16="http://schemas.microsoft.com/office/drawing/2014/main" id="{B33CE18E-E010-480B-BEB6-5D0694B1CFCE}"/>
            </a:ext>
          </a:extLst>
        </xdr:cNvPr>
        <xdr:cNvSpPr txBox="1"/>
      </xdr:nvSpPr>
      <xdr:spPr>
        <a:xfrm>
          <a:off x="4215040" y="9121095"/>
          <a:ext cx="1796143" cy="308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odbierającego raport</a:t>
          </a:r>
        </a:p>
      </xdr:txBody>
    </xdr:sp>
    <xdr:clientData/>
  </xdr:twoCellAnchor>
  <xdr:twoCellAnchor>
    <xdr:from>
      <xdr:col>0</xdr:col>
      <xdr:colOff>698500</xdr:colOff>
      <xdr:row>22</xdr:row>
      <xdr:rowOff>174627</xdr:rowOff>
    </xdr:from>
    <xdr:to>
      <xdr:col>7</xdr:col>
      <xdr:colOff>706437</xdr:colOff>
      <xdr:row>33</xdr:row>
      <xdr:rowOff>158751</xdr:rowOff>
    </xdr:to>
    <xdr:graphicFrame macro="">
      <xdr:nvGraphicFramePr>
        <xdr:cNvPr id="11" name="Wykres produkt">
          <a:extLst>
            <a:ext uri="{FF2B5EF4-FFF2-40B4-BE49-F238E27FC236}">
              <a16:creationId xmlns:a16="http://schemas.microsoft.com/office/drawing/2014/main" id="{5A6566F0-4A0B-41CA-B522-FB5F94686B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793751</xdr:colOff>
      <xdr:row>41</xdr:row>
      <xdr:rowOff>63500</xdr:rowOff>
    </xdr:from>
    <xdr:to>
      <xdr:col>7</xdr:col>
      <xdr:colOff>757238</xdr:colOff>
      <xdr:row>50</xdr:row>
      <xdr:rowOff>21545</xdr:rowOff>
    </xdr:to>
    <xdr:sp macro="" textlink="">
      <xdr:nvSpPr>
        <xdr:cNvPr id="6" name="Prostokąt 5">
          <a:extLst>
            <a:ext uri="{FF2B5EF4-FFF2-40B4-BE49-F238E27FC236}">
              <a16:creationId xmlns:a16="http://schemas.microsoft.com/office/drawing/2014/main" id="{C70A3798-06BE-4E39-85E9-29C090B09942}"/>
            </a:ext>
          </a:extLst>
        </xdr:cNvPr>
        <xdr:cNvSpPr/>
      </xdr:nvSpPr>
      <xdr:spPr>
        <a:xfrm>
          <a:off x="793751" y="7786688"/>
          <a:ext cx="5575300" cy="160110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TU COŚ JESZCZE ŻEBY</a:t>
          </a:r>
          <a:r>
            <a:rPr lang="pl-PL" sz="1600" baseline="0"/>
            <a:t> ŁADNIE CAŁĄ STRONĘ ZAPEŁNIĆ DO DRUKU</a:t>
          </a:r>
          <a:endParaRPr lang="pl-PL" sz="1600"/>
        </a:p>
      </xdr:txBody>
    </xdr:sp>
    <xdr:clientData/>
  </xdr:twoCellAnchor>
  <xdr:twoCellAnchor>
    <xdr:from>
      <xdr:col>1</xdr:col>
      <xdr:colOff>109084</xdr:colOff>
      <xdr:row>47</xdr:row>
      <xdr:rowOff>130175</xdr:rowOff>
    </xdr:from>
    <xdr:to>
      <xdr:col>3</xdr:col>
      <xdr:colOff>392566</xdr:colOff>
      <xdr:row>49</xdr:row>
      <xdr:rowOff>64407</xdr:rowOff>
    </xdr:to>
    <xdr:sp macro="" textlink="">
      <xdr:nvSpPr>
        <xdr:cNvPr id="7" name="pole tekstowe 6">
          <a:extLst>
            <a:ext uri="{FF2B5EF4-FFF2-40B4-BE49-F238E27FC236}">
              <a16:creationId xmlns:a16="http://schemas.microsoft.com/office/drawing/2014/main" id="{205DCB05-95AE-479D-B9DD-B66BE0E6E5FB}"/>
            </a:ext>
          </a:extLst>
        </xdr:cNvPr>
        <xdr:cNvSpPr txBox="1"/>
      </xdr:nvSpPr>
      <xdr:spPr>
        <a:xfrm>
          <a:off x="910772" y="8948738"/>
          <a:ext cx="1886857" cy="2993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wystawiającego</a:t>
          </a:r>
          <a:r>
            <a:rPr lang="pl-PL" sz="1100" baseline="0"/>
            <a:t> raport</a:t>
          </a:r>
          <a:endParaRPr lang="pl-PL" sz="1100"/>
        </a:p>
      </xdr:txBody>
    </xdr:sp>
    <xdr:clientData/>
  </xdr:twoCellAnchor>
  <xdr:twoCellAnchor>
    <xdr:from>
      <xdr:col>5</xdr:col>
      <xdr:colOff>349477</xdr:colOff>
      <xdr:row>47</xdr:row>
      <xdr:rowOff>112032</xdr:rowOff>
    </xdr:from>
    <xdr:to>
      <xdr:col>7</xdr:col>
      <xdr:colOff>542245</xdr:colOff>
      <xdr:row>49</xdr:row>
      <xdr:rowOff>55335</xdr:rowOff>
    </xdr:to>
    <xdr:sp macro="" textlink="">
      <xdr:nvSpPr>
        <xdr:cNvPr id="8" name="pole tekstowe 7">
          <a:extLst>
            <a:ext uri="{FF2B5EF4-FFF2-40B4-BE49-F238E27FC236}">
              <a16:creationId xmlns:a16="http://schemas.microsoft.com/office/drawing/2014/main" id="{D3397949-260D-4F92-899C-9F1123F80180}"/>
            </a:ext>
          </a:extLst>
        </xdr:cNvPr>
        <xdr:cNvSpPr txBox="1"/>
      </xdr:nvSpPr>
      <xdr:spPr>
        <a:xfrm>
          <a:off x="4357915" y="8930595"/>
          <a:ext cx="1796143" cy="308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odbierającego raport</a:t>
          </a:r>
        </a:p>
      </xdr:txBody>
    </xdr:sp>
    <xdr:clientData/>
  </xdr:twoCellAnchor>
  <xdr:twoCellAnchor>
    <xdr:from>
      <xdr:col>5</xdr:col>
      <xdr:colOff>75404</xdr:colOff>
      <xdr:row>9</xdr:row>
      <xdr:rowOff>55562</xdr:rowOff>
    </xdr:from>
    <xdr:to>
      <xdr:col>8</xdr:col>
      <xdr:colOff>7937</xdr:colOff>
      <xdr:row>20</xdr:row>
      <xdr:rowOff>15875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EAD2BD5F-A11F-4687-A1AC-4E28B97B1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</xdr:colOff>
      <xdr:row>0</xdr:row>
      <xdr:rowOff>0</xdr:rowOff>
    </xdr:from>
    <xdr:to>
      <xdr:col>8</xdr:col>
      <xdr:colOff>7938</xdr:colOff>
      <xdr:row>9</xdr:row>
      <xdr:rowOff>89694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F3C747D7-79A8-4B20-AD5C-57325D586D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662781</xdr:colOff>
      <xdr:row>21</xdr:row>
      <xdr:rowOff>71437</xdr:rowOff>
    </xdr:from>
    <xdr:to>
      <xdr:col>8</xdr:col>
      <xdr:colOff>15875</xdr:colOff>
      <xdr:row>35</xdr:row>
      <xdr:rowOff>42068</xdr:rowOff>
    </xdr:to>
    <xdr:graphicFrame macro="">
      <xdr:nvGraphicFramePr>
        <xdr:cNvPr id="5" name="Wykres firma">
          <a:extLst>
            <a:ext uri="{FF2B5EF4-FFF2-40B4-BE49-F238E27FC236}">
              <a16:creationId xmlns:a16="http://schemas.microsoft.com/office/drawing/2014/main" id="{1AA719A5-89D4-42C4-86BA-9F1D0D650C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35</xdr:row>
      <xdr:rowOff>119062</xdr:rowOff>
    </xdr:from>
    <xdr:to>
      <xdr:col>7</xdr:col>
      <xdr:colOff>796925</xdr:colOff>
      <xdr:row>44</xdr:row>
      <xdr:rowOff>77107</xdr:rowOff>
    </xdr:to>
    <xdr:sp macro="" textlink="">
      <xdr:nvSpPr>
        <xdr:cNvPr id="6" name="Prostokąt 5">
          <a:extLst>
            <a:ext uri="{FF2B5EF4-FFF2-40B4-BE49-F238E27FC236}">
              <a16:creationId xmlns:a16="http://schemas.microsoft.com/office/drawing/2014/main" id="{83C0B45A-BAA7-4C4B-B41D-3F1116CA18D0}"/>
            </a:ext>
          </a:extLst>
        </xdr:cNvPr>
        <xdr:cNvSpPr/>
      </xdr:nvSpPr>
      <xdr:spPr>
        <a:xfrm>
          <a:off x="833438" y="7112000"/>
          <a:ext cx="5575300" cy="160110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TU COŚ JESZCZE ŻEBY</a:t>
          </a:r>
          <a:r>
            <a:rPr lang="pl-PL" sz="1600" baseline="0"/>
            <a:t> ŁADNIE CAŁĄ STRONĘ ZAPEŁNIĆ DO DRUKU</a:t>
          </a:r>
          <a:endParaRPr lang="pl-PL" sz="1600"/>
        </a:p>
      </xdr:txBody>
    </xdr:sp>
    <xdr:clientData/>
  </xdr:twoCellAnchor>
  <xdr:twoCellAnchor>
    <xdr:from>
      <xdr:col>1</xdr:col>
      <xdr:colOff>148771</xdr:colOff>
      <xdr:row>42</xdr:row>
      <xdr:rowOff>3175</xdr:rowOff>
    </xdr:from>
    <xdr:to>
      <xdr:col>3</xdr:col>
      <xdr:colOff>432253</xdr:colOff>
      <xdr:row>43</xdr:row>
      <xdr:rowOff>119969</xdr:rowOff>
    </xdr:to>
    <xdr:sp macro="" textlink="">
      <xdr:nvSpPr>
        <xdr:cNvPr id="7" name="pole tekstowe 6">
          <a:extLst>
            <a:ext uri="{FF2B5EF4-FFF2-40B4-BE49-F238E27FC236}">
              <a16:creationId xmlns:a16="http://schemas.microsoft.com/office/drawing/2014/main" id="{F97BE8D1-0637-4F51-9028-CE5CA6303F73}"/>
            </a:ext>
          </a:extLst>
        </xdr:cNvPr>
        <xdr:cNvSpPr txBox="1"/>
      </xdr:nvSpPr>
      <xdr:spPr>
        <a:xfrm>
          <a:off x="950459" y="8274050"/>
          <a:ext cx="1886857" cy="2993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wystawiającego</a:t>
          </a:r>
          <a:r>
            <a:rPr lang="pl-PL" sz="1100" baseline="0"/>
            <a:t> raport</a:t>
          </a:r>
          <a:endParaRPr lang="pl-PL" sz="1100"/>
        </a:p>
      </xdr:txBody>
    </xdr:sp>
    <xdr:clientData/>
  </xdr:twoCellAnchor>
  <xdr:twoCellAnchor>
    <xdr:from>
      <xdr:col>5</xdr:col>
      <xdr:colOff>389164</xdr:colOff>
      <xdr:row>41</xdr:row>
      <xdr:rowOff>167594</xdr:rowOff>
    </xdr:from>
    <xdr:to>
      <xdr:col>7</xdr:col>
      <xdr:colOff>581932</xdr:colOff>
      <xdr:row>43</xdr:row>
      <xdr:rowOff>110897</xdr:rowOff>
    </xdr:to>
    <xdr:sp macro="" textlink="">
      <xdr:nvSpPr>
        <xdr:cNvPr id="8" name="pole tekstowe 7">
          <a:extLst>
            <a:ext uri="{FF2B5EF4-FFF2-40B4-BE49-F238E27FC236}">
              <a16:creationId xmlns:a16="http://schemas.microsoft.com/office/drawing/2014/main" id="{BF7E45F1-578A-4551-B239-07E2CE718518}"/>
            </a:ext>
          </a:extLst>
        </xdr:cNvPr>
        <xdr:cNvSpPr txBox="1"/>
      </xdr:nvSpPr>
      <xdr:spPr>
        <a:xfrm>
          <a:off x="4397602" y="8255907"/>
          <a:ext cx="1796143" cy="308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Podpis odbierającego raport</a:t>
          </a:r>
        </a:p>
      </xdr:txBody>
    </xdr:sp>
    <xdr:clientData/>
  </xdr:twoCellAnchor>
  <xdr:twoCellAnchor>
    <xdr:from>
      <xdr:col>5</xdr:col>
      <xdr:colOff>75405</xdr:colOff>
      <xdr:row>4</xdr:row>
      <xdr:rowOff>166687</xdr:rowOff>
    </xdr:from>
    <xdr:to>
      <xdr:col>8</xdr:col>
      <xdr:colOff>15874</xdr:colOff>
      <xdr:row>16</xdr:row>
      <xdr:rowOff>34131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A025897-CAD3-4CC2-9FFD-3DB9E50C22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27780</xdr:colOff>
      <xdr:row>18</xdr:row>
      <xdr:rowOff>111125</xdr:rowOff>
    </xdr:from>
    <xdr:to>
      <xdr:col>7</xdr:col>
      <xdr:colOff>531813</xdr:colOff>
      <xdr:row>31</xdr:row>
      <xdr:rowOff>177006</xdr:rowOff>
    </xdr:to>
    <xdr:graphicFrame macro="">
      <xdr:nvGraphicFramePr>
        <xdr:cNvPr id="9" name="Wykres czas">
          <a:extLst>
            <a:ext uri="{FF2B5EF4-FFF2-40B4-BE49-F238E27FC236}">
              <a16:creationId xmlns:a16="http://schemas.microsoft.com/office/drawing/2014/main" id="{13ABE330-579D-4535-9463-8A808F6CB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715.562321412035" createdVersion="6" refreshedVersion="6" minRefreshableVersion="3" recordCount="1873" xr:uid="{DF61296F-3057-4509-955F-8E348D31B5F1}">
  <cacheSource type="worksheet">
    <worksheetSource ref="B1:F1048576" sheet="Baza Danych"/>
  </cacheSource>
  <cacheFields count="5">
    <cacheField name="Produkt" numFmtId="0">
      <sharedItems containsBlank="1" count="7">
        <s v="Monitor"/>
        <s v="Aparat cyfrowy"/>
        <s v="DVD"/>
        <s v="LCD"/>
        <s v="Car Audio"/>
        <s v="HiFi"/>
        <m/>
      </sharedItems>
    </cacheField>
    <cacheField name="Tydzień" numFmtId="0">
      <sharedItems containsString="0" containsBlank="1" containsNumber="1" containsInteger="1" minValue="1" maxValue="52" count="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m/>
      </sharedItems>
    </cacheField>
    <cacheField name="Sprzedaż" numFmtId="0">
      <sharedItems containsString="0" containsBlank="1" containsNumber="1" containsInteger="1" minValue="2" maxValue="1650"/>
    </cacheField>
    <cacheField name="Województwo" numFmtId="0">
      <sharedItems containsBlank="1" count="15">
        <s v="Dolnoslaskie"/>
        <s v="Lodzkie"/>
        <s v="Lubelskie"/>
        <s v="Lubuskie"/>
        <s v="Malopolskie"/>
        <s v="Mazowieckie"/>
        <s v="Opolskie"/>
        <s v="Podkarpackie"/>
        <s v="Podlaskie"/>
        <s v="Pomorskie"/>
        <s v="Slaskie"/>
        <s v="Swietokrzyskie"/>
        <s v="Wielkopolskie"/>
        <s v="Zachodniopomorskie"/>
        <m/>
      </sharedItems>
    </cacheField>
    <cacheField name="Miasto" numFmtId="0">
      <sharedItems containsBlank="1" count="15">
        <s v="Wroclaw"/>
        <s v="Lodz"/>
        <s v="Lublin"/>
        <s v="Zielona Gora"/>
        <s v="Krakow"/>
        <s v="Warszawa"/>
        <s v="Opole"/>
        <s v="Rzeszow"/>
        <s v="Bialystok"/>
        <s v="Sopot"/>
        <s v="Katowice"/>
        <s v="Kilece"/>
        <s v="Poznan"/>
        <s v="Koszali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715.562323379629" createdVersion="6" refreshedVersion="6" minRefreshableVersion="3" recordCount="1873" xr:uid="{E3D5043B-40A4-4FC1-9B97-17CB7ACFE233}">
  <cacheSource type="worksheet">
    <worksheetSource ref="A1:F1048576" sheet="Baza Danych"/>
  </cacheSource>
  <cacheFields count="6">
    <cacheField name="Brand" numFmtId="0">
      <sharedItems containsBlank="1" count="7">
        <s v="LG"/>
        <s v="Panasonic"/>
        <s v="Sony"/>
        <s v="Philips"/>
        <s v="Samsung"/>
        <s v="Toshiba"/>
        <m/>
      </sharedItems>
    </cacheField>
    <cacheField name="Produkt" numFmtId="0">
      <sharedItems containsBlank="1" count="7">
        <s v="Monitor"/>
        <s v="Aparat cyfrowy"/>
        <s v="DVD"/>
        <s v="LCD"/>
        <s v="Car Audio"/>
        <s v="HiFi"/>
        <m/>
      </sharedItems>
    </cacheField>
    <cacheField name="Tydzień" numFmtId="0">
      <sharedItems containsString="0" containsBlank="1" containsNumber="1" containsInteger="1" minValue="1" maxValue="52" count="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m/>
      </sharedItems>
    </cacheField>
    <cacheField name="Sprzedaż" numFmtId="0">
      <sharedItems containsString="0" containsBlank="1" containsNumber="1" containsInteger="1" minValue="2" maxValue="1650"/>
    </cacheField>
    <cacheField name="Województwo" numFmtId="0">
      <sharedItems containsBlank="1" count="15">
        <s v="Dolnoslaskie"/>
        <s v="Lodzkie"/>
        <s v="Lubelskie"/>
        <s v="Lubuskie"/>
        <s v="Malopolskie"/>
        <s v="Mazowieckie"/>
        <s v="Opolskie"/>
        <s v="Podkarpackie"/>
        <s v="Podlaskie"/>
        <s v="Pomorskie"/>
        <s v="Slaskie"/>
        <s v="Swietokrzyskie"/>
        <s v="Wielkopolskie"/>
        <s v="Zachodniopomorskie"/>
        <m/>
      </sharedItems>
    </cacheField>
    <cacheField name="Miasto" numFmtId="0">
      <sharedItems containsBlank="1" count="15">
        <s v="Wroclaw"/>
        <s v="Lodz"/>
        <s v="Lublin"/>
        <s v="Zielona Gora"/>
        <s v="Krakow"/>
        <s v="Warszawa"/>
        <s v="Opole"/>
        <s v="Rzeszow"/>
        <s v="Bialystok"/>
        <s v="Sopot"/>
        <s v="Katowice"/>
        <s v="Kilece"/>
        <s v="Poznan"/>
        <s v="Koszali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3">
  <r>
    <x v="0"/>
    <x v="0"/>
    <n v="349"/>
    <x v="0"/>
    <x v="0"/>
  </r>
  <r>
    <x v="0"/>
    <x v="1"/>
    <n v="220"/>
    <x v="0"/>
    <x v="0"/>
  </r>
  <r>
    <x v="0"/>
    <x v="2"/>
    <n v="403"/>
    <x v="0"/>
    <x v="0"/>
  </r>
  <r>
    <x v="0"/>
    <x v="3"/>
    <n v="318"/>
    <x v="0"/>
    <x v="0"/>
  </r>
  <r>
    <x v="0"/>
    <x v="4"/>
    <n v="385"/>
    <x v="0"/>
    <x v="0"/>
  </r>
  <r>
    <x v="0"/>
    <x v="5"/>
    <n v="286"/>
    <x v="0"/>
    <x v="0"/>
  </r>
  <r>
    <x v="0"/>
    <x v="6"/>
    <n v="229"/>
    <x v="0"/>
    <x v="0"/>
  </r>
  <r>
    <x v="0"/>
    <x v="7"/>
    <n v="188"/>
    <x v="0"/>
    <x v="0"/>
  </r>
  <r>
    <x v="0"/>
    <x v="8"/>
    <n v="191"/>
    <x v="0"/>
    <x v="0"/>
  </r>
  <r>
    <x v="0"/>
    <x v="9"/>
    <n v="102"/>
    <x v="0"/>
    <x v="0"/>
  </r>
  <r>
    <x v="0"/>
    <x v="10"/>
    <n v="467"/>
    <x v="0"/>
    <x v="0"/>
  </r>
  <r>
    <x v="0"/>
    <x v="11"/>
    <n v="119"/>
    <x v="0"/>
    <x v="0"/>
  </r>
  <r>
    <x v="0"/>
    <x v="12"/>
    <n v="192"/>
    <x v="0"/>
    <x v="0"/>
  </r>
  <r>
    <x v="0"/>
    <x v="13"/>
    <n v="541"/>
    <x v="0"/>
    <x v="0"/>
  </r>
  <r>
    <x v="0"/>
    <x v="14"/>
    <n v="540"/>
    <x v="0"/>
    <x v="0"/>
  </r>
  <r>
    <x v="0"/>
    <x v="15"/>
    <n v="452"/>
    <x v="0"/>
    <x v="0"/>
  </r>
  <r>
    <x v="0"/>
    <x v="16"/>
    <n v="565"/>
    <x v="0"/>
    <x v="0"/>
  </r>
  <r>
    <x v="0"/>
    <x v="17"/>
    <n v="265"/>
    <x v="0"/>
    <x v="0"/>
  </r>
  <r>
    <x v="0"/>
    <x v="18"/>
    <n v="571"/>
    <x v="0"/>
    <x v="0"/>
  </r>
  <r>
    <x v="0"/>
    <x v="19"/>
    <n v="388"/>
    <x v="0"/>
    <x v="0"/>
  </r>
  <r>
    <x v="0"/>
    <x v="20"/>
    <n v="168"/>
    <x v="0"/>
    <x v="0"/>
  </r>
  <r>
    <x v="0"/>
    <x v="21"/>
    <n v="531"/>
    <x v="0"/>
    <x v="0"/>
  </r>
  <r>
    <x v="0"/>
    <x v="22"/>
    <n v="444"/>
    <x v="0"/>
    <x v="0"/>
  </r>
  <r>
    <x v="0"/>
    <x v="23"/>
    <n v="325"/>
    <x v="0"/>
    <x v="0"/>
  </r>
  <r>
    <x v="0"/>
    <x v="24"/>
    <n v="380"/>
    <x v="0"/>
    <x v="0"/>
  </r>
  <r>
    <x v="0"/>
    <x v="25"/>
    <n v="166"/>
    <x v="0"/>
    <x v="0"/>
  </r>
  <r>
    <x v="0"/>
    <x v="26"/>
    <n v="499"/>
    <x v="0"/>
    <x v="0"/>
  </r>
  <r>
    <x v="0"/>
    <x v="27"/>
    <n v="348"/>
    <x v="0"/>
    <x v="0"/>
  </r>
  <r>
    <x v="0"/>
    <x v="28"/>
    <n v="227"/>
    <x v="0"/>
    <x v="0"/>
  </r>
  <r>
    <x v="0"/>
    <x v="29"/>
    <n v="228"/>
    <x v="0"/>
    <x v="0"/>
  </r>
  <r>
    <x v="0"/>
    <x v="30"/>
    <n v="687"/>
    <x v="0"/>
    <x v="0"/>
  </r>
  <r>
    <x v="0"/>
    <x v="31"/>
    <n v="325"/>
    <x v="0"/>
    <x v="0"/>
  </r>
  <r>
    <x v="0"/>
    <x v="32"/>
    <n v="190"/>
    <x v="0"/>
    <x v="0"/>
  </r>
  <r>
    <x v="0"/>
    <x v="33"/>
    <n v="353"/>
    <x v="0"/>
    <x v="0"/>
  </r>
  <r>
    <x v="0"/>
    <x v="34"/>
    <n v="434"/>
    <x v="0"/>
    <x v="0"/>
  </r>
  <r>
    <x v="0"/>
    <x v="35"/>
    <n v="163"/>
    <x v="0"/>
    <x v="0"/>
  </r>
  <r>
    <x v="0"/>
    <x v="36"/>
    <n v="395"/>
    <x v="0"/>
    <x v="0"/>
  </r>
  <r>
    <x v="0"/>
    <x v="37"/>
    <n v="532"/>
    <x v="0"/>
    <x v="0"/>
  </r>
  <r>
    <x v="0"/>
    <x v="38"/>
    <n v="367"/>
    <x v="0"/>
    <x v="0"/>
  </r>
  <r>
    <x v="0"/>
    <x v="39"/>
    <n v="532"/>
    <x v="0"/>
    <x v="0"/>
  </r>
  <r>
    <x v="0"/>
    <x v="40"/>
    <n v="562"/>
    <x v="0"/>
    <x v="0"/>
  </r>
  <r>
    <x v="0"/>
    <x v="41"/>
    <n v="485"/>
    <x v="0"/>
    <x v="0"/>
  </r>
  <r>
    <x v="0"/>
    <x v="42"/>
    <n v="462"/>
    <x v="0"/>
    <x v="0"/>
  </r>
  <r>
    <x v="0"/>
    <x v="43"/>
    <n v="235"/>
    <x v="0"/>
    <x v="0"/>
  </r>
  <r>
    <x v="0"/>
    <x v="44"/>
    <n v="460"/>
    <x v="0"/>
    <x v="0"/>
  </r>
  <r>
    <x v="0"/>
    <x v="45"/>
    <n v="325"/>
    <x v="0"/>
    <x v="0"/>
  </r>
  <r>
    <x v="0"/>
    <x v="46"/>
    <n v="211"/>
    <x v="0"/>
    <x v="0"/>
  </r>
  <r>
    <x v="0"/>
    <x v="47"/>
    <n v="166"/>
    <x v="0"/>
    <x v="0"/>
  </r>
  <r>
    <x v="0"/>
    <x v="48"/>
    <n v="938"/>
    <x v="0"/>
    <x v="0"/>
  </r>
  <r>
    <x v="0"/>
    <x v="49"/>
    <n v="442"/>
    <x v="0"/>
    <x v="0"/>
  </r>
  <r>
    <x v="0"/>
    <x v="50"/>
    <n v="300"/>
    <x v="0"/>
    <x v="0"/>
  </r>
  <r>
    <x v="0"/>
    <x v="51"/>
    <n v="642"/>
    <x v="0"/>
    <x v="0"/>
  </r>
  <r>
    <x v="1"/>
    <x v="0"/>
    <n v="597"/>
    <x v="0"/>
    <x v="0"/>
  </r>
  <r>
    <x v="1"/>
    <x v="1"/>
    <n v="265"/>
    <x v="0"/>
    <x v="0"/>
  </r>
  <r>
    <x v="1"/>
    <x v="2"/>
    <n v="170"/>
    <x v="0"/>
    <x v="0"/>
  </r>
  <r>
    <x v="1"/>
    <x v="3"/>
    <n v="345"/>
    <x v="0"/>
    <x v="0"/>
  </r>
  <r>
    <x v="1"/>
    <x v="4"/>
    <n v="580"/>
    <x v="0"/>
    <x v="0"/>
  </r>
  <r>
    <x v="1"/>
    <x v="5"/>
    <n v="292"/>
    <x v="0"/>
    <x v="0"/>
  </r>
  <r>
    <x v="1"/>
    <x v="6"/>
    <n v="451"/>
    <x v="0"/>
    <x v="0"/>
  </r>
  <r>
    <x v="1"/>
    <x v="7"/>
    <n v="309"/>
    <x v="0"/>
    <x v="0"/>
  </r>
  <r>
    <x v="1"/>
    <x v="8"/>
    <n v="569"/>
    <x v="0"/>
    <x v="0"/>
  </r>
  <r>
    <x v="1"/>
    <x v="9"/>
    <n v="424"/>
    <x v="0"/>
    <x v="0"/>
  </r>
  <r>
    <x v="1"/>
    <x v="10"/>
    <n v="575"/>
    <x v="0"/>
    <x v="0"/>
  </r>
  <r>
    <x v="1"/>
    <x v="11"/>
    <n v="167"/>
    <x v="0"/>
    <x v="0"/>
  </r>
  <r>
    <x v="1"/>
    <x v="12"/>
    <n v="536"/>
    <x v="0"/>
    <x v="0"/>
  </r>
  <r>
    <x v="1"/>
    <x v="13"/>
    <n v="180"/>
    <x v="0"/>
    <x v="0"/>
  </r>
  <r>
    <x v="1"/>
    <x v="14"/>
    <n v="809"/>
    <x v="0"/>
    <x v="0"/>
  </r>
  <r>
    <x v="1"/>
    <x v="15"/>
    <n v="188"/>
    <x v="0"/>
    <x v="0"/>
  </r>
  <r>
    <x v="1"/>
    <x v="16"/>
    <n v="181"/>
    <x v="0"/>
    <x v="0"/>
  </r>
  <r>
    <x v="1"/>
    <x v="17"/>
    <n v="453"/>
    <x v="0"/>
    <x v="0"/>
  </r>
  <r>
    <x v="1"/>
    <x v="18"/>
    <n v="241"/>
    <x v="0"/>
    <x v="0"/>
  </r>
  <r>
    <x v="1"/>
    <x v="19"/>
    <n v="448"/>
    <x v="0"/>
    <x v="0"/>
  </r>
  <r>
    <x v="1"/>
    <x v="20"/>
    <n v="587"/>
    <x v="0"/>
    <x v="0"/>
  </r>
  <r>
    <x v="1"/>
    <x v="21"/>
    <n v="397"/>
    <x v="0"/>
    <x v="0"/>
  </r>
  <r>
    <x v="1"/>
    <x v="22"/>
    <n v="469"/>
    <x v="0"/>
    <x v="0"/>
  </r>
  <r>
    <x v="1"/>
    <x v="23"/>
    <n v="668"/>
    <x v="0"/>
    <x v="0"/>
  </r>
  <r>
    <x v="1"/>
    <x v="24"/>
    <n v="378"/>
    <x v="0"/>
    <x v="0"/>
  </r>
  <r>
    <x v="1"/>
    <x v="25"/>
    <n v="618"/>
    <x v="0"/>
    <x v="0"/>
  </r>
  <r>
    <x v="1"/>
    <x v="26"/>
    <n v="827"/>
    <x v="0"/>
    <x v="0"/>
  </r>
  <r>
    <x v="1"/>
    <x v="27"/>
    <n v="934"/>
    <x v="0"/>
    <x v="0"/>
  </r>
  <r>
    <x v="1"/>
    <x v="28"/>
    <n v="592"/>
    <x v="0"/>
    <x v="0"/>
  </r>
  <r>
    <x v="1"/>
    <x v="29"/>
    <n v="387"/>
    <x v="0"/>
    <x v="0"/>
  </r>
  <r>
    <x v="1"/>
    <x v="30"/>
    <n v="890"/>
    <x v="0"/>
    <x v="0"/>
  </r>
  <r>
    <x v="1"/>
    <x v="31"/>
    <n v="509"/>
    <x v="0"/>
    <x v="0"/>
  </r>
  <r>
    <x v="1"/>
    <x v="32"/>
    <n v="771"/>
    <x v="0"/>
    <x v="0"/>
  </r>
  <r>
    <x v="1"/>
    <x v="33"/>
    <n v="504"/>
    <x v="0"/>
    <x v="0"/>
  </r>
  <r>
    <x v="1"/>
    <x v="34"/>
    <n v="190"/>
    <x v="0"/>
    <x v="0"/>
  </r>
  <r>
    <x v="1"/>
    <x v="35"/>
    <n v="626"/>
    <x v="0"/>
    <x v="0"/>
  </r>
  <r>
    <x v="1"/>
    <x v="36"/>
    <n v="469"/>
    <x v="0"/>
    <x v="0"/>
  </r>
  <r>
    <x v="1"/>
    <x v="37"/>
    <n v="627"/>
    <x v="0"/>
    <x v="0"/>
  </r>
  <r>
    <x v="1"/>
    <x v="38"/>
    <n v="848"/>
    <x v="0"/>
    <x v="0"/>
  </r>
  <r>
    <x v="1"/>
    <x v="39"/>
    <n v="396"/>
    <x v="0"/>
    <x v="0"/>
  </r>
  <r>
    <x v="1"/>
    <x v="40"/>
    <n v="355"/>
    <x v="0"/>
    <x v="0"/>
  </r>
  <r>
    <x v="1"/>
    <x v="41"/>
    <n v="244"/>
    <x v="0"/>
    <x v="0"/>
  </r>
  <r>
    <x v="1"/>
    <x v="42"/>
    <n v="669"/>
    <x v="0"/>
    <x v="0"/>
  </r>
  <r>
    <x v="1"/>
    <x v="43"/>
    <n v="699"/>
    <x v="0"/>
    <x v="0"/>
  </r>
  <r>
    <x v="1"/>
    <x v="44"/>
    <n v="746"/>
    <x v="0"/>
    <x v="0"/>
  </r>
  <r>
    <x v="1"/>
    <x v="45"/>
    <n v="321"/>
    <x v="0"/>
    <x v="0"/>
  </r>
  <r>
    <x v="1"/>
    <x v="46"/>
    <n v="1576"/>
    <x v="0"/>
    <x v="0"/>
  </r>
  <r>
    <x v="1"/>
    <x v="47"/>
    <n v="404"/>
    <x v="0"/>
    <x v="0"/>
  </r>
  <r>
    <x v="1"/>
    <x v="48"/>
    <n v="1138"/>
    <x v="0"/>
    <x v="0"/>
  </r>
  <r>
    <x v="1"/>
    <x v="49"/>
    <n v="992"/>
    <x v="0"/>
    <x v="0"/>
  </r>
  <r>
    <x v="1"/>
    <x v="50"/>
    <n v="617"/>
    <x v="0"/>
    <x v="0"/>
  </r>
  <r>
    <x v="1"/>
    <x v="51"/>
    <n v="659"/>
    <x v="0"/>
    <x v="0"/>
  </r>
  <r>
    <x v="2"/>
    <x v="0"/>
    <n v="370"/>
    <x v="0"/>
    <x v="0"/>
  </r>
  <r>
    <x v="2"/>
    <x v="1"/>
    <n v="43"/>
    <x v="0"/>
    <x v="0"/>
  </r>
  <r>
    <x v="2"/>
    <x v="2"/>
    <n v="104"/>
    <x v="0"/>
    <x v="0"/>
  </r>
  <r>
    <x v="2"/>
    <x v="3"/>
    <n v="415"/>
    <x v="0"/>
    <x v="0"/>
  </r>
  <r>
    <x v="2"/>
    <x v="4"/>
    <n v="362"/>
    <x v="0"/>
    <x v="0"/>
  </r>
  <r>
    <x v="2"/>
    <x v="5"/>
    <n v="77"/>
    <x v="0"/>
    <x v="0"/>
  </r>
  <r>
    <x v="2"/>
    <x v="6"/>
    <n v="47"/>
    <x v="0"/>
    <x v="0"/>
  </r>
  <r>
    <x v="2"/>
    <x v="7"/>
    <n v="383"/>
    <x v="0"/>
    <x v="0"/>
  </r>
  <r>
    <x v="2"/>
    <x v="8"/>
    <n v="12"/>
    <x v="0"/>
    <x v="0"/>
  </r>
  <r>
    <x v="2"/>
    <x v="9"/>
    <n v="118"/>
    <x v="0"/>
    <x v="0"/>
  </r>
  <r>
    <x v="2"/>
    <x v="10"/>
    <n v="339"/>
    <x v="0"/>
    <x v="0"/>
  </r>
  <r>
    <x v="2"/>
    <x v="11"/>
    <n v="369"/>
    <x v="0"/>
    <x v="0"/>
  </r>
  <r>
    <x v="2"/>
    <x v="12"/>
    <n v="53"/>
    <x v="0"/>
    <x v="0"/>
  </r>
  <r>
    <x v="2"/>
    <x v="13"/>
    <n v="88"/>
    <x v="0"/>
    <x v="0"/>
  </r>
  <r>
    <x v="2"/>
    <x v="14"/>
    <n v="190"/>
    <x v="0"/>
    <x v="0"/>
  </r>
  <r>
    <x v="2"/>
    <x v="15"/>
    <n v="311"/>
    <x v="0"/>
    <x v="0"/>
  </r>
  <r>
    <x v="2"/>
    <x v="16"/>
    <n v="284"/>
    <x v="0"/>
    <x v="0"/>
  </r>
  <r>
    <x v="2"/>
    <x v="17"/>
    <n v="194"/>
    <x v="0"/>
    <x v="0"/>
  </r>
  <r>
    <x v="2"/>
    <x v="18"/>
    <n v="587"/>
    <x v="0"/>
    <x v="0"/>
  </r>
  <r>
    <x v="2"/>
    <x v="19"/>
    <n v="290"/>
    <x v="0"/>
    <x v="0"/>
  </r>
  <r>
    <x v="2"/>
    <x v="20"/>
    <n v="219"/>
    <x v="0"/>
    <x v="0"/>
  </r>
  <r>
    <x v="2"/>
    <x v="21"/>
    <n v="384"/>
    <x v="0"/>
    <x v="0"/>
  </r>
  <r>
    <x v="2"/>
    <x v="22"/>
    <n v="680"/>
    <x v="0"/>
    <x v="0"/>
  </r>
  <r>
    <x v="2"/>
    <x v="23"/>
    <n v="389"/>
    <x v="0"/>
    <x v="0"/>
  </r>
  <r>
    <x v="2"/>
    <x v="24"/>
    <n v="141"/>
    <x v="0"/>
    <x v="0"/>
  </r>
  <r>
    <x v="2"/>
    <x v="25"/>
    <n v="394"/>
    <x v="0"/>
    <x v="0"/>
  </r>
  <r>
    <x v="2"/>
    <x v="26"/>
    <n v="343"/>
    <x v="0"/>
    <x v="0"/>
  </r>
  <r>
    <x v="2"/>
    <x v="27"/>
    <n v="451"/>
    <x v="0"/>
    <x v="0"/>
  </r>
  <r>
    <x v="2"/>
    <x v="28"/>
    <n v="205"/>
    <x v="0"/>
    <x v="0"/>
  </r>
  <r>
    <x v="2"/>
    <x v="29"/>
    <n v="162"/>
    <x v="0"/>
    <x v="0"/>
  </r>
  <r>
    <x v="2"/>
    <x v="30"/>
    <n v="28"/>
    <x v="0"/>
    <x v="0"/>
  </r>
  <r>
    <x v="2"/>
    <x v="31"/>
    <n v="9"/>
    <x v="0"/>
    <x v="0"/>
  </r>
  <r>
    <x v="2"/>
    <x v="32"/>
    <n v="217"/>
    <x v="0"/>
    <x v="0"/>
  </r>
  <r>
    <x v="2"/>
    <x v="33"/>
    <n v="58"/>
    <x v="0"/>
    <x v="0"/>
  </r>
  <r>
    <x v="2"/>
    <x v="34"/>
    <n v="1052"/>
    <x v="0"/>
    <x v="0"/>
  </r>
  <r>
    <x v="2"/>
    <x v="35"/>
    <n v="383"/>
    <x v="0"/>
    <x v="0"/>
  </r>
  <r>
    <x v="2"/>
    <x v="36"/>
    <n v="1050"/>
    <x v="0"/>
    <x v="0"/>
  </r>
  <r>
    <x v="2"/>
    <x v="37"/>
    <n v="289"/>
    <x v="0"/>
    <x v="0"/>
  </r>
  <r>
    <x v="2"/>
    <x v="38"/>
    <n v="179"/>
    <x v="0"/>
    <x v="0"/>
  </r>
  <r>
    <x v="2"/>
    <x v="39"/>
    <n v="483"/>
    <x v="0"/>
    <x v="0"/>
  </r>
  <r>
    <x v="2"/>
    <x v="40"/>
    <n v="475"/>
    <x v="0"/>
    <x v="0"/>
  </r>
  <r>
    <x v="2"/>
    <x v="41"/>
    <n v="362"/>
    <x v="0"/>
    <x v="0"/>
  </r>
  <r>
    <x v="2"/>
    <x v="42"/>
    <n v="1024"/>
    <x v="0"/>
    <x v="0"/>
  </r>
  <r>
    <x v="2"/>
    <x v="43"/>
    <n v="12"/>
    <x v="0"/>
    <x v="0"/>
  </r>
  <r>
    <x v="2"/>
    <x v="44"/>
    <n v="1343"/>
    <x v="0"/>
    <x v="0"/>
  </r>
  <r>
    <x v="2"/>
    <x v="45"/>
    <n v="438"/>
    <x v="0"/>
    <x v="0"/>
  </r>
  <r>
    <x v="2"/>
    <x v="46"/>
    <n v="101"/>
    <x v="0"/>
    <x v="0"/>
  </r>
  <r>
    <x v="2"/>
    <x v="47"/>
    <n v="723"/>
    <x v="0"/>
    <x v="0"/>
  </r>
  <r>
    <x v="2"/>
    <x v="48"/>
    <n v="166"/>
    <x v="0"/>
    <x v="0"/>
  </r>
  <r>
    <x v="2"/>
    <x v="49"/>
    <n v="452"/>
    <x v="0"/>
    <x v="0"/>
  </r>
  <r>
    <x v="2"/>
    <x v="50"/>
    <n v="715"/>
    <x v="0"/>
    <x v="0"/>
  </r>
  <r>
    <x v="2"/>
    <x v="51"/>
    <n v="960"/>
    <x v="0"/>
    <x v="0"/>
  </r>
  <r>
    <x v="3"/>
    <x v="0"/>
    <n v="164"/>
    <x v="1"/>
    <x v="1"/>
  </r>
  <r>
    <x v="3"/>
    <x v="1"/>
    <n v="277"/>
    <x v="1"/>
    <x v="1"/>
  </r>
  <r>
    <x v="3"/>
    <x v="2"/>
    <n v="239"/>
    <x v="1"/>
    <x v="1"/>
  </r>
  <r>
    <x v="3"/>
    <x v="3"/>
    <n v="91"/>
    <x v="1"/>
    <x v="1"/>
  </r>
  <r>
    <x v="3"/>
    <x v="4"/>
    <n v="459"/>
    <x v="1"/>
    <x v="1"/>
  </r>
  <r>
    <x v="3"/>
    <x v="5"/>
    <n v="292"/>
    <x v="1"/>
    <x v="1"/>
  </r>
  <r>
    <x v="3"/>
    <x v="6"/>
    <n v="290"/>
    <x v="1"/>
    <x v="1"/>
  </r>
  <r>
    <x v="3"/>
    <x v="7"/>
    <n v="312"/>
    <x v="1"/>
    <x v="1"/>
  </r>
  <r>
    <x v="3"/>
    <x v="8"/>
    <n v="296"/>
    <x v="1"/>
    <x v="1"/>
  </r>
  <r>
    <x v="3"/>
    <x v="9"/>
    <n v="410"/>
    <x v="1"/>
    <x v="1"/>
  </r>
  <r>
    <x v="3"/>
    <x v="10"/>
    <n v="120"/>
    <x v="1"/>
    <x v="1"/>
  </r>
  <r>
    <x v="3"/>
    <x v="11"/>
    <n v="302"/>
    <x v="1"/>
    <x v="1"/>
  </r>
  <r>
    <x v="3"/>
    <x v="12"/>
    <n v="372"/>
    <x v="1"/>
    <x v="1"/>
  </r>
  <r>
    <x v="3"/>
    <x v="13"/>
    <n v="559"/>
    <x v="1"/>
    <x v="1"/>
  </r>
  <r>
    <x v="3"/>
    <x v="14"/>
    <n v="623"/>
    <x v="1"/>
    <x v="1"/>
  </r>
  <r>
    <x v="3"/>
    <x v="15"/>
    <n v="394"/>
    <x v="1"/>
    <x v="1"/>
  </r>
  <r>
    <x v="3"/>
    <x v="16"/>
    <n v="277"/>
    <x v="1"/>
    <x v="1"/>
  </r>
  <r>
    <x v="3"/>
    <x v="17"/>
    <n v="191"/>
    <x v="1"/>
    <x v="1"/>
  </r>
  <r>
    <x v="3"/>
    <x v="18"/>
    <n v="862"/>
    <x v="1"/>
    <x v="1"/>
  </r>
  <r>
    <x v="3"/>
    <x v="19"/>
    <n v="437"/>
    <x v="1"/>
    <x v="1"/>
  </r>
  <r>
    <x v="3"/>
    <x v="20"/>
    <n v="358"/>
    <x v="1"/>
    <x v="1"/>
  </r>
  <r>
    <x v="3"/>
    <x v="21"/>
    <n v="344"/>
    <x v="1"/>
    <x v="1"/>
  </r>
  <r>
    <x v="3"/>
    <x v="22"/>
    <n v="547"/>
    <x v="1"/>
    <x v="1"/>
  </r>
  <r>
    <x v="3"/>
    <x v="23"/>
    <n v="551"/>
    <x v="1"/>
    <x v="1"/>
  </r>
  <r>
    <x v="3"/>
    <x v="24"/>
    <n v="421"/>
    <x v="1"/>
    <x v="1"/>
  </r>
  <r>
    <x v="3"/>
    <x v="25"/>
    <n v="483"/>
    <x v="1"/>
    <x v="1"/>
  </r>
  <r>
    <x v="3"/>
    <x v="26"/>
    <n v="450"/>
    <x v="1"/>
    <x v="1"/>
  </r>
  <r>
    <x v="3"/>
    <x v="27"/>
    <n v="148"/>
    <x v="1"/>
    <x v="1"/>
  </r>
  <r>
    <x v="3"/>
    <x v="28"/>
    <n v="426"/>
    <x v="1"/>
    <x v="1"/>
  </r>
  <r>
    <x v="3"/>
    <x v="29"/>
    <n v="580"/>
    <x v="1"/>
    <x v="1"/>
  </r>
  <r>
    <x v="3"/>
    <x v="30"/>
    <n v="365"/>
    <x v="1"/>
    <x v="1"/>
  </r>
  <r>
    <x v="3"/>
    <x v="31"/>
    <n v="1019"/>
    <x v="1"/>
    <x v="1"/>
  </r>
  <r>
    <x v="3"/>
    <x v="32"/>
    <n v="407"/>
    <x v="1"/>
    <x v="1"/>
  </r>
  <r>
    <x v="3"/>
    <x v="33"/>
    <n v="535"/>
    <x v="1"/>
    <x v="1"/>
  </r>
  <r>
    <x v="3"/>
    <x v="34"/>
    <n v="279"/>
    <x v="1"/>
    <x v="1"/>
  </r>
  <r>
    <x v="3"/>
    <x v="35"/>
    <n v="442"/>
    <x v="1"/>
    <x v="1"/>
  </r>
  <r>
    <x v="3"/>
    <x v="36"/>
    <n v="237"/>
    <x v="1"/>
    <x v="1"/>
  </r>
  <r>
    <x v="3"/>
    <x v="37"/>
    <n v="1005"/>
    <x v="1"/>
    <x v="1"/>
  </r>
  <r>
    <x v="3"/>
    <x v="38"/>
    <n v="547"/>
    <x v="1"/>
    <x v="1"/>
  </r>
  <r>
    <x v="3"/>
    <x v="39"/>
    <n v="513"/>
    <x v="1"/>
    <x v="1"/>
  </r>
  <r>
    <x v="3"/>
    <x v="40"/>
    <n v="845"/>
    <x v="1"/>
    <x v="1"/>
  </r>
  <r>
    <x v="3"/>
    <x v="41"/>
    <n v="565"/>
    <x v="1"/>
    <x v="1"/>
  </r>
  <r>
    <x v="3"/>
    <x v="42"/>
    <n v="608"/>
    <x v="1"/>
    <x v="1"/>
  </r>
  <r>
    <x v="3"/>
    <x v="43"/>
    <n v="622"/>
    <x v="1"/>
    <x v="1"/>
  </r>
  <r>
    <x v="3"/>
    <x v="44"/>
    <n v="756"/>
    <x v="1"/>
    <x v="1"/>
  </r>
  <r>
    <x v="3"/>
    <x v="45"/>
    <n v="85"/>
    <x v="1"/>
    <x v="1"/>
  </r>
  <r>
    <x v="3"/>
    <x v="46"/>
    <n v="285"/>
    <x v="1"/>
    <x v="1"/>
  </r>
  <r>
    <x v="3"/>
    <x v="47"/>
    <n v="393"/>
    <x v="1"/>
    <x v="1"/>
  </r>
  <r>
    <x v="3"/>
    <x v="48"/>
    <n v="312"/>
    <x v="1"/>
    <x v="1"/>
  </r>
  <r>
    <x v="3"/>
    <x v="49"/>
    <n v="430"/>
    <x v="1"/>
    <x v="1"/>
  </r>
  <r>
    <x v="3"/>
    <x v="50"/>
    <n v="244"/>
    <x v="1"/>
    <x v="1"/>
  </r>
  <r>
    <x v="3"/>
    <x v="51"/>
    <n v="1351"/>
    <x v="1"/>
    <x v="1"/>
  </r>
  <r>
    <x v="1"/>
    <x v="0"/>
    <n v="141"/>
    <x v="1"/>
    <x v="1"/>
  </r>
  <r>
    <x v="1"/>
    <x v="1"/>
    <n v="181"/>
    <x v="1"/>
    <x v="1"/>
  </r>
  <r>
    <x v="1"/>
    <x v="2"/>
    <n v="124"/>
    <x v="1"/>
    <x v="1"/>
  </r>
  <r>
    <x v="1"/>
    <x v="3"/>
    <n v="191"/>
    <x v="1"/>
    <x v="1"/>
  </r>
  <r>
    <x v="1"/>
    <x v="4"/>
    <n v="145"/>
    <x v="1"/>
    <x v="1"/>
  </r>
  <r>
    <x v="1"/>
    <x v="5"/>
    <n v="223"/>
    <x v="1"/>
    <x v="1"/>
  </r>
  <r>
    <x v="1"/>
    <x v="6"/>
    <n v="151"/>
    <x v="1"/>
    <x v="1"/>
  </r>
  <r>
    <x v="1"/>
    <x v="7"/>
    <n v="167"/>
    <x v="1"/>
    <x v="1"/>
  </r>
  <r>
    <x v="1"/>
    <x v="8"/>
    <n v="198"/>
    <x v="1"/>
    <x v="1"/>
  </r>
  <r>
    <x v="1"/>
    <x v="9"/>
    <n v="86"/>
    <x v="1"/>
    <x v="1"/>
  </r>
  <r>
    <x v="1"/>
    <x v="10"/>
    <n v="111"/>
    <x v="1"/>
    <x v="1"/>
  </r>
  <r>
    <x v="1"/>
    <x v="11"/>
    <n v="305"/>
    <x v="1"/>
    <x v="1"/>
  </r>
  <r>
    <x v="1"/>
    <x v="12"/>
    <n v="67"/>
    <x v="1"/>
    <x v="1"/>
  </r>
  <r>
    <x v="1"/>
    <x v="13"/>
    <n v="145"/>
    <x v="1"/>
    <x v="1"/>
  </r>
  <r>
    <x v="1"/>
    <x v="14"/>
    <n v="176"/>
    <x v="1"/>
    <x v="1"/>
  </r>
  <r>
    <x v="1"/>
    <x v="15"/>
    <n v="151"/>
    <x v="1"/>
    <x v="1"/>
  </r>
  <r>
    <x v="1"/>
    <x v="16"/>
    <n v="122"/>
    <x v="1"/>
    <x v="1"/>
  </r>
  <r>
    <x v="1"/>
    <x v="17"/>
    <n v="326"/>
    <x v="1"/>
    <x v="1"/>
  </r>
  <r>
    <x v="1"/>
    <x v="18"/>
    <n v="71"/>
    <x v="1"/>
    <x v="1"/>
  </r>
  <r>
    <x v="1"/>
    <x v="19"/>
    <n v="326"/>
    <x v="1"/>
    <x v="1"/>
  </r>
  <r>
    <x v="1"/>
    <x v="20"/>
    <n v="147"/>
    <x v="1"/>
    <x v="1"/>
  </r>
  <r>
    <x v="1"/>
    <x v="21"/>
    <n v="344"/>
    <x v="1"/>
    <x v="1"/>
  </r>
  <r>
    <x v="1"/>
    <x v="22"/>
    <n v="195"/>
    <x v="1"/>
    <x v="1"/>
  </r>
  <r>
    <x v="1"/>
    <x v="23"/>
    <n v="220"/>
    <x v="1"/>
    <x v="1"/>
  </r>
  <r>
    <x v="1"/>
    <x v="24"/>
    <n v="271"/>
    <x v="1"/>
    <x v="1"/>
  </r>
  <r>
    <x v="1"/>
    <x v="25"/>
    <n v="166"/>
    <x v="1"/>
    <x v="1"/>
  </r>
  <r>
    <x v="1"/>
    <x v="26"/>
    <n v="122"/>
    <x v="1"/>
    <x v="1"/>
  </r>
  <r>
    <x v="1"/>
    <x v="27"/>
    <n v="120"/>
    <x v="1"/>
    <x v="1"/>
  </r>
  <r>
    <x v="1"/>
    <x v="28"/>
    <n v="417"/>
    <x v="1"/>
    <x v="1"/>
  </r>
  <r>
    <x v="1"/>
    <x v="29"/>
    <n v="339"/>
    <x v="1"/>
    <x v="1"/>
  </r>
  <r>
    <x v="1"/>
    <x v="30"/>
    <n v="106"/>
    <x v="1"/>
    <x v="1"/>
  </r>
  <r>
    <x v="1"/>
    <x v="31"/>
    <n v="307"/>
    <x v="1"/>
    <x v="1"/>
  </r>
  <r>
    <x v="1"/>
    <x v="32"/>
    <n v="273"/>
    <x v="1"/>
    <x v="1"/>
  </r>
  <r>
    <x v="1"/>
    <x v="33"/>
    <n v="329"/>
    <x v="1"/>
    <x v="1"/>
  </r>
  <r>
    <x v="1"/>
    <x v="34"/>
    <n v="240"/>
    <x v="1"/>
    <x v="1"/>
  </r>
  <r>
    <x v="1"/>
    <x v="35"/>
    <n v="118"/>
    <x v="1"/>
    <x v="1"/>
  </r>
  <r>
    <x v="1"/>
    <x v="36"/>
    <n v="240"/>
    <x v="1"/>
    <x v="1"/>
  </r>
  <r>
    <x v="1"/>
    <x v="37"/>
    <n v="305"/>
    <x v="1"/>
    <x v="1"/>
  </r>
  <r>
    <x v="1"/>
    <x v="38"/>
    <n v="222"/>
    <x v="1"/>
    <x v="1"/>
  </r>
  <r>
    <x v="1"/>
    <x v="39"/>
    <n v="226"/>
    <x v="1"/>
    <x v="1"/>
  </r>
  <r>
    <x v="1"/>
    <x v="40"/>
    <n v="131"/>
    <x v="1"/>
    <x v="1"/>
  </r>
  <r>
    <x v="1"/>
    <x v="41"/>
    <n v="208"/>
    <x v="1"/>
    <x v="1"/>
  </r>
  <r>
    <x v="1"/>
    <x v="42"/>
    <n v="235"/>
    <x v="1"/>
    <x v="1"/>
  </r>
  <r>
    <x v="1"/>
    <x v="43"/>
    <n v="385"/>
    <x v="1"/>
    <x v="1"/>
  </r>
  <r>
    <x v="1"/>
    <x v="44"/>
    <n v="180"/>
    <x v="1"/>
    <x v="1"/>
  </r>
  <r>
    <x v="1"/>
    <x v="45"/>
    <n v="385"/>
    <x v="1"/>
    <x v="1"/>
  </r>
  <r>
    <x v="1"/>
    <x v="46"/>
    <n v="165"/>
    <x v="1"/>
    <x v="1"/>
  </r>
  <r>
    <x v="1"/>
    <x v="47"/>
    <n v="141"/>
    <x v="1"/>
    <x v="1"/>
  </r>
  <r>
    <x v="1"/>
    <x v="48"/>
    <n v="170"/>
    <x v="1"/>
    <x v="1"/>
  </r>
  <r>
    <x v="1"/>
    <x v="49"/>
    <n v="98"/>
    <x v="1"/>
    <x v="1"/>
  </r>
  <r>
    <x v="1"/>
    <x v="50"/>
    <n v="306"/>
    <x v="1"/>
    <x v="1"/>
  </r>
  <r>
    <x v="1"/>
    <x v="51"/>
    <n v="458"/>
    <x v="1"/>
    <x v="1"/>
  </r>
  <r>
    <x v="2"/>
    <x v="0"/>
    <n v="28"/>
    <x v="1"/>
    <x v="1"/>
  </r>
  <r>
    <x v="2"/>
    <x v="1"/>
    <n v="28"/>
    <x v="1"/>
    <x v="1"/>
  </r>
  <r>
    <x v="2"/>
    <x v="2"/>
    <n v="54"/>
    <x v="1"/>
    <x v="1"/>
  </r>
  <r>
    <x v="2"/>
    <x v="3"/>
    <n v="48"/>
    <x v="1"/>
    <x v="1"/>
  </r>
  <r>
    <x v="2"/>
    <x v="4"/>
    <n v="63"/>
    <x v="1"/>
    <x v="1"/>
  </r>
  <r>
    <x v="2"/>
    <x v="5"/>
    <n v="38"/>
    <x v="1"/>
    <x v="1"/>
  </r>
  <r>
    <x v="2"/>
    <x v="6"/>
    <n v="108"/>
    <x v="1"/>
    <x v="1"/>
  </r>
  <r>
    <x v="2"/>
    <x v="7"/>
    <n v="105"/>
    <x v="1"/>
    <x v="1"/>
  </r>
  <r>
    <x v="2"/>
    <x v="8"/>
    <n v="39"/>
    <x v="1"/>
    <x v="1"/>
  </r>
  <r>
    <x v="2"/>
    <x v="9"/>
    <n v="70"/>
    <x v="1"/>
    <x v="1"/>
  </r>
  <r>
    <x v="2"/>
    <x v="10"/>
    <n v="96"/>
    <x v="1"/>
    <x v="1"/>
  </r>
  <r>
    <x v="2"/>
    <x v="11"/>
    <n v="35"/>
    <x v="1"/>
    <x v="1"/>
  </r>
  <r>
    <x v="2"/>
    <x v="12"/>
    <n v="72"/>
    <x v="1"/>
    <x v="1"/>
  </r>
  <r>
    <x v="2"/>
    <x v="13"/>
    <n v="23"/>
    <x v="1"/>
    <x v="1"/>
  </r>
  <r>
    <x v="2"/>
    <x v="14"/>
    <n v="116"/>
    <x v="1"/>
    <x v="1"/>
  </r>
  <r>
    <x v="2"/>
    <x v="15"/>
    <n v="129"/>
    <x v="1"/>
    <x v="1"/>
  </r>
  <r>
    <x v="2"/>
    <x v="16"/>
    <n v="104"/>
    <x v="1"/>
    <x v="1"/>
  </r>
  <r>
    <x v="2"/>
    <x v="17"/>
    <n v="59"/>
    <x v="1"/>
    <x v="1"/>
  </r>
  <r>
    <x v="2"/>
    <x v="18"/>
    <n v="35"/>
    <x v="1"/>
    <x v="1"/>
  </r>
  <r>
    <x v="2"/>
    <x v="19"/>
    <n v="57"/>
    <x v="1"/>
    <x v="1"/>
  </r>
  <r>
    <x v="2"/>
    <x v="20"/>
    <n v="86"/>
    <x v="1"/>
    <x v="1"/>
  </r>
  <r>
    <x v="2"/>
    <x v="21"/>
    <n v="127"/>
    <x v="1"/>
    <x v="1"/>
  </r>
  <r>
    <x v="2"/>
    <x v="22"/>
    <n v="129"/>
    <x v="1"/>
    <x v="1"/>
  </r>
  <r>
    <x v="2"/>
    <x v="23"/>
    <n v="69"/>
    <x v="1"/>
    <x v="1"/>
  </r>
  <r>
    <x v="2"/>
    <x v="24"/>
    <n v="115"/>
    <x v="1"/>
    <x v="1"/>
  </r>
  <r>
    <x v="2"/>
    <x v="25"/>
    <n v="109"/>
    <x v="1"/>
    <x v="1"/>
  </r>
  <r>
    <x v="2"/>
    <x v="26"/>
    <n v="61"/>
    <x v="1"/>
    <x v="1"/>
  </r>
  <r>
    <x v="2"/>
    <x v="27"/>
    <n v="109"/>
    <x v="1"/>
    <x v="1"/>
  </r>
  <r>
    <x v="2"/>
    <x v="28"/>
    <n v="94"/>
    <x v="1"/>
    <x v="1"/>
  </r>
  <r>
    <x v="2"/>
    <x v="29"/>
    <n v="72"/>
    <x v="1"/>
    <x v="1"/>
  </r>
  <r>
    <x v="2"/>
    <x v="30"/>
    <n v="119"/>
    <x v="1"/>
    <x v="1"/>
  </r>
  <r>
    <x v="2"/>
    <x v="31"/>
    <n v="175"/>
    <x v="1"/>
    <x v="1"/>
  </r>
  <r>
    <x v="2"/>
    <x v="32"/>
    <n v="61"/>
    <x v="1"/>
    <x v="1"/>
  </r>
  <r>
    <x v="2"/>
    <x v="33"/>
    <n v="195"/>
    <x v="1"/>
    <x v="1"/>
  </r>
  <r>
    <x v="2"/>
    <x v="34"/>
    <n v="131"/>
    <x v="1"/>
    <x v="1"/>
  </r>
  <r>
    <x v="2"/>
    <x v="35"/>
    <n v="139"/>
    <x v="1"/>
    <x v="1"/>
  </r>
  <r>
    <x v="2"/>
    <x v="36"/>
    <n v="87"/>
    <x v="1"/>
    <x v="1"/>
  </r>
  <r>
    <x v="2"/>
    <x v="37"/>
    <n v="141"/>
    <x v="1"/>
    <x v="1"/>
  </r>
  <r>
    <x v="2"/>
    <x v="38"/>
    <n v="263"/>
    <x v="1"/>
    <x v="1"/>
  </r>
  <r>
    <x v="2"/>
    <x v="39"/>
    <n v="160"/>
    <x v="1"/>
    <x v="1"/>
  </r>
  <r>
    <x v="2"/>
    <x v="40"/>
    <n v="221"/>
    <x v="1"/>
    <x v="1"/>
  </r>
  <r>
    <x v="2"/>
    <x v="41"/>
    <n v="97"/>
    <x v="1"/>
    <x v="1"/>
  </r>
  <r>
    <x v="2"/>
    <x v="42"/>
    <n v="174"/>
    <x v="1"/>
    <x v="1"/>
  </r>
  <r>
    <x v="2"/>
    <x v="43"/>
    <n v="87"/>
    <x v="1"/>
    <x v="1"/>
  </r>
  <r>
    <x v="2"/>
    <x v="44"/>
    <n v="127"/>
    <x v="1"/>
    <x v="1"/>
  </r>
  <r>
    <x v="2"/>
    <x v="45"/>
    <n v="116"/>
    <x v="1"/>
    <x v="1"/>
  </r>
  <r>
    <x v="2"/>
    <x v="46"/>
    <n v="159"/>
    <x v="1"/>
    <x v="1"/>
  </r>
  <r>
    <x v="2"/>
    <x v="47"/>
    <n v="113"/>
    <x v="1"/>
    <x v="1"/>
  </r>
  <r>
    <x v="2"/>
    <x v="48"/>
    <n v="77"/>
    <x v="1"/>
    <x v="1"/>
  </r>
  <r>
    <x v="2"/>
    <x v="49"/>
    <n v="93"/>
    <x v="1"/>
    <x v="1"/>
  </r>
  <r>
    <x v="2"/>
    <x v="50"/>
    <n v="64"/>
    <x v="1"/>
    <x v="1"/>
  </r>
  <r>
    <x v="2"/>
    <x v="51"/>
    <n v="43"/>
    <x v="1"/>
    <x v="1"/>
  </r>
  <r>
    <x v="2"/>
    <x v="0"/>
    <n v="186"/>
    <x v="2"/>
    <x v="2"/>
  </r>
  <r>
    <x v="2"/>
    <x v="1"/>
    <n v="127"/>
    <x v="2"/>
    <x v="2"/>
  </r>
  <r>
    <x v="2"/>
    <x v="2"/>
    <n v="240"/>
    <x v="2"/>
    <x v="2"/>
  </r>
  <r>
    <x v="2"/>
    <x v="3"/>
    <n v="309"/>
    <x v="2"/>
    <x v="2"/>
  </r>
  <r>
    <x v="2"/>
    <x v="4"/>
    <n v="538"/>
    <x v="2"/>
    <x v="2"/>
  </r>
  <r>
    <x v="2"/>
    <x v="5"/>
    <n v="307"/>
    <x v="2"/>
    <x v="2"/>
  </r>
  <r>
    <x v="2"/>
    <x v="6"/>
    <n v="329"/>
    <x v="2"/>
    <x v="2"/>
  </r>
  <r>
    <x v="2"/>
    <x v="7"/>
    <n v="243"/>
    <x v="2"/>
    <x v="2"/>
  </r>
  <r>
    <x v="2"/>
    <x v="8"/>
    <n v="530"/>
    <x v="2"/>
    <x v="2"/>
  </r>
  <r>
    <x v="2"/>
    <x v="9"/>
    <n v="223"/>
    <x v="2"/>
    <x v="2"/>
  </r>
  <r>
    <x v="2"/>
    <x v="10"/>
    <n v="588"/>
    <x v="2"/>
    <x v="2"/>
  </r>
  <r>
    <x v="2"/>
    <x v="11"/>
    <n v="810"/>
    <x v="2"/>
    <x v="2"/>
  </r>
  <r>
    <x v="2"/>
    <x v="12"/>
    <n v="421"/>
    <x v="2"/>
    <x v="2"/>
  </r>
  <r>
    <x v="2"/>
    <x v="13"/>
    <n v="456"/>
    <x v="2"/>
    <x v="2"/>
  </r>
  <r>
    <x v="2"/>
    <x v="14"/>
    <n v="244"/>
    <x v="2"/>
    <x v="2"/>
  </r>
  <r>
    <x v="2"/>
    <x v="15"/>
    <n v="843"/>
    <x v="2"/>
    <x v="2"/>
  </r>
  <r>
    <x v="2"/>
    <x v="16"/>
    <n v="1023"/>
    <x v="2"/>
    <x v="2"/>
  </r>
  <r>
    <x v="2"/>
    <x v="17"/>
    <n v="297"/>
    <x v="2"/>
    <x v="2"/>
  </r>
  <r>
    <x v="2"/>
    <x v="18"/>
    <n v="866"/>
    <x v="2"/>
    <x v="2"/>
  </r>
  <r>
    <x v="2"/>
    <x v="19"/>
    <n v="271"/>
    <x v="2"/>
    <x v="2"/>
  </r>
  <r>
    <x v="2"/>
    <x v="20"/>
    <n v="862"/>
    <x v="2"/>
    <x v="2"/>
  </r>
  <r>
    <x v="2"/>
    <x v="21"/>
    <n v="384"/>
    <x v="2"/>
    <x v="2"/>
  </r>
  <r>
    <x v="2"/>
    <x v="22"/>
    <n v="704"/>
    <x v="2"/>
    <x v="2"/>
  </r>
  <r>
    <x v="2"/>
    <x v="23"/>
    <n v="300"/>
    <x v="2"/>
    <x v="2"/>
  </r>
  <r>
    <x v="2"/>
    <x v="24"/>
    <n v="498"/>
    <x v="2"/>
    <x v="2"/>
  </r>
  <r>
    <x v="2"/>
    <x v="25"/>
    <n v="1123"/>
    <x v="2"/>
    <x v="2"/>
  </r>
  <r>
    <x v="2"/>
    <x v="26"/>
    <n v="416"/>
    <x v="2"/>
    <x v="2"/>
  </r>
  <r>
    <x v="2"/>
    <x v="27"/>
    <n v="466"/>
    <x v="2"/>
    <x v="2"/>
  </r>
  <r>
    <x v="2"/>
    <x v="28"/>
    <n v="733"/>
    <x v="2"/>
    <x v="2"/>
  </r>
  <r>
    <x v="2"/>
    <x v="29"/>
    <n v="213"/>
    <x v="2"/>
    <x v="2"/>
  </r>
  <r>
    <x v="2"/>
    <x v="30"/>
    <n v="1168"/>
    <x v="2"/>
    <x v="2"/>
  </r>
  <r>
    <x v="2"/>
    <x v="31"/>
    <n v="290"/>
    <x v="2"/>
    <x v="2"/>
  </r>
  <r>
    <x v="2"/>
    <x v="32"/>
    <n v="1175"/>
    <x v="2"/>
    <x v="2"/>
  </r>
  <r>
    <x v="2"/>
    <x v="33"/>
    <n v="1029"/>
    <x v="2"/>
    <x v="2"/>
  </r>
  <r>
    <x v="2"/>
    <x v="34"/>
    <n v="473"/>
    <x v="2"/>
    <x v="2"/>
  </r>
  <r>
    <x v="2"/>
    <x v="35"/>
    <n v="1253"/>
    <x v="2"/>
    <x v="2"/>
  </r>
  <r>
    <x v="2"/>
    <x v="36"/>
    <n v="510"/>
    <x v="2"/>
    <x v="2"/>
  </r>
  <r>
    <x v="2"/>
    <x v="37"/>
    <n v="1041"/>
    <x v="2"/>
    <x v="2"/>
  </r>
  <r>
    <x v="2"/>
    <x v="38"/>
    <n v="448"/>
    <x v="2"/>
    <x v="2"/>
  </r>
  <r>
    <x v="2"/>
    <x v="39"/>
    <n v="954"/>
    <x v="2"/>
    <x v="2"/>
  </r>
  <r>
    <x v="2"/>
    <x v="40"/>
    <n v="263"/>
    <x v="2"/>
    <x v="2"/>
  </r>
  <r>
    <x v="2"/>
    <x v="41"/>
    <n v="581"/>
    <x v="2"/>
    <x v="2"/>
  </r>
  <r>
    <x v="2"/>
    <x v="42"/>
    <n v="1005"/>
    <x v="2"/>
    <x v="2"/>
  </r>
  <r>
    <x v="2"/>
    <x v="43"/>
    <n v="880"/>
    <x v="2"/>
    <x v="2"/>
  </r>
  <r>
    <x v="2"/>
    <x v="44"/>
    <n v="777"/>
    <x v="2"/>
    <x v="2"/>
  </r>
  <r>
    <x v="2"/>
    <x v="45"/>
    <n v="284"/>
    <x v="2"/>
    <x v="2"/>
  </r>
  <r>
    <x v="2"/>
    <x v="46"/>
    <n v="576"/>
    <x v="2"/>
    <x v="2"/>
  </r>
  <r>
    <x v="2"/>
    <x v="47"/>
    <n v="145"/>
    <x v="2"/>
    <x v="2"/>
  </r>
  <r>
    <x v="2"/>
    <x v="48"/>
    <n v="401"/>
    <x v="2"/>
    <x v="2"/>
  </r>
  <r>
    <x v="2"/>
    <x v="49"/>
    <n v="725"/>
    <x v="2"/>
    <x v="2"/>
  </r>
  <r>
    <x v="2"/>
    <x v="50"/>
    <n v="674"/>
    <x v="2"/>
    <x v="2"/>
  </r>
  <r>
    <x v="2"/>
    <x v="51"/>
    <n v="488"/>
    <x v="2"/>
    <x v="2"/>
  </r>
  <r>
    <x v="0"/>
    <x v="0"/>
    <n v="80"/>
    <x v="2"/>
    <x v="2"/>
  </r>
  <r>
    <x v="0"/>
    <x v="1"/>
    <n v="204"/>
    <x v="2"/>
    <x v="2"/>
  </r>
  <r>
    <x v="0"/>
    <x v="2"/>
    <n v="165"/>
    <x v="2"/>
    <x v="2"/>
  </r>
  <r>
    <x v="0"/>
    <x v="3"/>
    <n v="213"/>
    <x v="2"/>
    <x v="2"/>
  </r>
  <r>
    <x v="0"/>
    <x v="4"/>
    <n v="100"/>
    <x v="2"/>
    <x v="2"/>
  </r>
  <r>
    <x v="0"/>
    <x v="5"/>
    <n v="134"/>
    <x v="2"/>
    <x v="2"/>
  </r>
  <r>
    <x v="0"/>
    <x v="6"/>
    <n v="185"/>
    <x v="2"/>
    <x v="2"/>
  </r>
  <r>
    <x v="0"/>
    <x v="7"/>
    <n v="219"/>
    <x v="2"/>
    <x v="2"/>
  </r>
  <r>
    <x v="0"/>
    <x v="8"/>
    <n v="266"/>
    <x v="2"/>
    <x v="2"/>
  </r>
  <r>
    <x v="0"/>
    <x v="9"/>
    <n v="106"/>
    <x v="2"/>
    <x v="2"/>
  </r>
  <r>
    <x v="0"/>
    <x v="10"/>
    <n v="150"/>
    <x v="2"/>
    <x v="2"/>
  </r>
  <r>
    <x v="0"/>
    <x v="11"/>
    <n v="126"/>
    <x v="2"/>
    <x v="2"/>
  </r>
  <r>
    <x v="0"/>
    <x v="12"/>
    <n v="175"/>
    <x v="2"/>
    <x v="2"/>
  </r>
  <r>
    <x v="0"/>
    <x v="13"/>
    <n v="48"/>
    <x v="2"/>
    <x v="2"/>
  </r>
  <r>
    <x v="0"/>
    <x v="14"/>
    <n v="123"/>
    <x v="2"/>
    <x v="2"/>
  </r>
  <r>
    <x v="0"/>
    <x v="15"/>
    <n v="85"/>
    <x v="2"/>
    <x v="2"/>
  </r>
  <r>
    <x v="0"/>
    <x v="16"/>
    <n v="214"/>
    <x v="2"/>
    <x v="2"/>
  </r>
  <r>
    <x v="0"/>
    <x v="17"/>
    <n v="387"/>
    <x v="2"/>
    <x v="2"/>
  </r>
  <r>
    <x v="0"/>
    <x v="18"/>
    <n v="85"/>
    <x v="2"/>
    <x v="2"/>
  </r>
  <r>
    <x v="0"/>
    <x v="19"/>
    <n v="158"/>
    <x v="2"/>
    <x v="2"/>
  </r>
  <r>
    <x v="0"/>
    <x v="20"/>
    <n v="333"/>
    <x v="2"/>
    <x v="2"/>
  </r>
  <r>
    <x v="0"/>
    <x v="21"/>
    <n v="174"/>
    <x v="2"/>
    <x v="2"/>
  </r>
  <r>
    <x v="0"/>
    <x v="22"/>
    <n v="71"/>
    <x v="2"/>
    <x v="2"/>
  </r>
  <r>
    <x v="0"/>
    <x v="23"/>
    <n v="55"/>
    <x v="2"/>
    <x v="2"/>
  </r>
  <r>
    <x v="0"/>
    <x v="24"/>
    <n v="261"/>
    <x v="2"/>
    <x v="2"/>
  </r>
  <r>
    <x v="0"/>
    <x v="25"/>
    <n v="84"/>
    <x v="2"/>
    <x v="2"/>
  </r>
  <r>
    <x v="0"/>
    <x v="26"/>
    <n v="320"/>
    <x v="2"/>
    <x v="2"/>
  </r>
  <r>
    <x v="0"/>
    <x v="27"/>
    <n v="365"/>
    <x v="2"/>
    <x v="2"/>
  </r>
  <r>
    <x v="0"/>
    <x v="28"/>
    <n v="51"/>
    <x v="2"/>
    <x v="2"/>
  </r>
  <r>
    <x v="0"/>
    <x v="29"/>
    <n v="237"/>
    <x v="2"/>
    <x v="2"/>
  </r>
  <r>
    <x v="0"/>
    <x v="30"/>
    <n v="86"/>
    <x v="2"/>
    <x v="2"/>
  </r>
  <r>
    <x v="0"/>
    <x v="31"/>
    <n v="132"/>
    <x v="2"/>
    <x v="2"/>
  </r>
  <r>
    <x v="0"/>
    <x v="32"/>
    <n v="144"/>
    <x v="2"/>
    <x v="2"/>
  </r>
  <r>
    <x v="0"/>
    <x v="33"/>
    <n v="373"/>
    <x v="2"/>
    <x v="2"/>
  </r>
  <r>
    <x v="0"/>
    <x v="34"/>
    <n v="308"/>
    <x v="2"/>
    <x v="2"/>
  </r>
  <r>
    <x v="0"/>
    <x v="35"/>
    <n v="130"/>
    <x v="2"/>
    <x v="2"/>
  </r>
  <r>
    <x v="0"/>
    <x v="36"/>
    <n v="200"/>
    <x v="2"/>
    <x v="2"/>
  </r>
  <r>
    <x v="0"/>
    <x v="37"/>
    <n v="128"/>
    <x v="2"/>
    <x v="2"/>
  </r>
  <r>
    <x v="0"/>
    <x v="38"/>
    <n v="258"/>
    <x v="2"/>
    <x v="2"/>
  </r>
  <r>
    <x v="0"/>
    <x v="39"/>
    <n v="273"/>
    <x v="2"/>
    <x v="2"/>
  </r>
  <r>
    <x v="0"/>
    <x v="40"/>
    <n v="432"/>
    <x v="2"/>
    <x v="2"/>
  </r>
  <r>
    <x v="0"/>
    <x v="41"/>
    <n v="231"/>
    <x v="2"/>
    <x v="2"/>
  </r>
  <r>
    <x v="0"/>
    <x v="42"/>
    <n v="162"/>
    <x v="2"/>
    <x v="2"/>
  </r>
  <r>
    <x v="0"/>
    <x v="43"/>
    <n v="176"/>
    <x v="2"/>
    <x v="2"/>
  </r>
  <r>
    <x v="0"/>
    <x v="44"/>
    <n v="290"/>
    <x v="2"/>
    <x v="2"/>
  </r>
  <r>
    <x v="0"/>
    <x v="45"/>
    <n v="316"/>
    <x v="2"/>
    <x v="2"/>
  </r>
  <r>
    <x v="0"/>
    <x v="46"/>
    <n v="169"/>
    <x v="2"/>
    <x v="2"/>
  </r>
  <r>
    <x v="0"/>
    <x v="47"/>
    <n v="85"/>
    <x v="2"/>
    <x v="2"/>
  </r>
  <r>
    <x v="0"/>
    <x v="48"/>
    <n v="241"/>
    <x v="2"/>
    <x v="2"/>
  </r>
  <r>
    <x v="0"/>
    <x v="49"/>
    <n v="349"/>
    <x v="2"/>
    <x v="2"/>
  </r>
  <r>
    <x v="0"/>
    <x v="50"/>
    <n v="403"/>
    <x v="2"/>
    <x v="2"/>
  </r>
  <r>
    <x v="0"/>
    <x v="51"/>
    <n v="177"/>
    <x v="2"/>
    <x v="2"/>
  </r>
  <r>
    <x v="1"/>
    <x v="0"/>
    <n v="269"/>
    <x v="2"/>
    <x v="2"/>
  </r>
  <r>
    <x v="1"/>
    <x v="1"/>
    <n v="229"/>
    <x v="2"/>
    <x v="2"/>
  </r>
  <r>
    <x v="1"/>
    <x v="2"/>
    <n v="539"/>
    <x v="2"/>
    <x v="2"/>
  </r>
  <r>
    <x v="1"/>
    <x v="3"/>
    <n v="460"/>
    <x v="2"/>
    <x v="2"/>
  </r>
  <r>
    <x v="1"/>
    <x v="4"/>
    <n v="127"/>
    <x v="2"/>
    <x v="2"/>
  </r>
  <r>
    <x v="1"/>
    <x v="5"/>
    <n v="296"/>
    <x v="2"/>
    <x v="2"/>
  </r>
  <r>
    <x v="1"/>
    <x v="6"/>
    <n v="586"/>
    <x v="2"/>
    <x v="2"/>
  </r>
  <r>
    <x v="1"/>
    <x v="7"/>
    <n v="381"/>
    <x v="2"/>
    <x v="2"/>
  </r>
  <r>
    <x v="1"/>
    <x v="8"/>
    <n v="229"/>
    <x v="2"/>
    <x v="2"/>
  </r>
  <r>
    <x v="1"/>
    <x v="9"/>
    <n v="477"/>
    <x v="2"/>
    <x v="2"/>
  </r>
  <r>
    <x v="1"/>
    <x v="10"/>
    <n v="406"/>
    <x v="2"/>
    <x v="2"/>
  </r>
  <r>
    <x v="1"/>
    <x v="11"/>
    <n v="209"/>
    <x v="2"/>
    <x v="2"/>
  </r>
  <r>
    <x v="1"/>
    <x v="12"/>
    <n v="528"/>
    <x v="2"/>
    <x v="2"/>
  </r>
  <r>
    <x v="1"/>
    <x v="13"/>
    <n v="362"/>
    <x v="2"/>
    <x v="2"/>
  </r>
  <r>
    <x v="1"/>
    <x v="14"/>
    <n v="509"/>
    <x v="2"/>
    <x v="2"/>
  </r>
  <r>
    <x v="1"/>
    <x v="15"/>
    <n v="178"/>
    <x v="2"/>
    <x v="2"/>
  </r>
  <r>
    <x v="1"/>
    <x v="16"/>
    <n v="566"/>
    <x v="2"/>
    <x v="2"/>
  </r>
  <r>
    <x v="1"/>
    <x v="17"/>
    <n v="686"/>
    <x v="2"/>
    <x v="2"/>
  </r>
  <r>
    <x v="1"/>
    <x v="18"/>
    <n v="191"/>
    <x v="2"/>
    <x v="2"/>
  </r>
  <r>
    <x v="1"/>
    <x v="19"/>
    <n v="298"/>
    <x v="2"/>
    <x v="2"/>
  </r>
  <r>
    <x v="1"/>
    <x v="20"/>
    <n v="243"/>
    <x v="2"/>
    <x v="2"/>
  </r>
  <r>
    <x v="1"/>
    <x v="21"/>
    <n v="360"/>
    <x v="2"/>
    <x v="2"/>
  </r>
  <r>
    <x v="1"/>
    <x v="22"/>
    <n v="271"/>
    <x v="2"/>
    <x v="2"/>
  </r>
  <r>
    <x v="1"/>
    <x v="23"/>
    <n v="561"/>
    <x v="2"/>
    <x v="2"/>
  </r>
  <r>
    <x v="1"/>
    <x v="24"/>
    <n v="347"/>
    <x v="2"/>
    <x v="2"/>
  </r>
  <r>
    <x v="1"/>
    <x v="25"/>
    <n v="191"/>
    <x v="2"/>
    <x v="2"/>
  </r>
  <r>
    <x v="1"/>
    <x v="26"/>
    <n v="275"/>
    <x v="2"/>
    <x v="2"/>
  </r>
  <r>
    <x v="1"/>
    <x v="27"/>
    <n v="815"/>
    <x v="2"/>
    <x v="2"/>
  </r>
  <r>
    <x v="1"/>
    <x v="28"/>
    <n v="978"/>
    <x v="2"/>
    <x v="2"/>
  </r>
  <r>
    <x v="1"/>
    <x v="29"/>
    <n v="832"/>
    <x v="2"/>
    <x v="2"/>
  </r>
  <r>
    <x v="1"/>
    <x v="30"/>
    <n v="757"/>
    <x v="2"/>
    <x v="2"/>
  </r>
  <r>
    <x v="1"/>
    <x v="31"/>
    <n v="489"/>
    <x v="2"/>
    <x v="2"/>
  </r>
  <r>
    <x v="1"/>
    <x v="32"/>
    <n v="461"/>
    <x v="2"/>
    <x v="2"/>
  </r>
  <r>
    <x v="1"/>
    <x v="33"/>
    <n v="462"/>
    <x v="2"/>
    <x v="2"/>
  </r>
  <r>
    <x v="1"/>
    <x v="34"/>
    <n v="196"/>
    <x v="2"/>
    <x v="2"/>
  </r>
  <r>
    <x v="1"/>
    <x v="35"/>
    <n v="688"/>
    <x v="2"/>
    <x v="2"/>
  </r>
  <r>
    <x v="1"/>
    <x v="36"/>
    <n v="338"/>
    <x v="2"/>
    <x v="2"/>
  </r>
  <r>
    <x v="1"/>
    <x v="37"/>
    <n v="723"/>
    <x v="2"/>
    <x v="2"/>
  </r>
  <r>
    <x v="1"/>
    <x v="38"/>
    <n v="1356"/>
    <x v="2"/>
    <x v="2"/>
  </r>
  <r>
    <x v="1"/>
    <x v="39"/>
    <n v="631"/>
    <x v="2"/>
    <x v="2"/>
  </r>
  <r>
    <x v="1"/>
    <x v="40"/>
    <n v="481"/>
    <x v="2"/>
    <x v="2"/>
  </r>
  <r>
    <x v="1"/>
    <x v="41"/>
    <n v="226"/>
    <x v="2"/>
    <x v="2"/>
  </r>
  <r>
    <x v="1"/>
    <x v="42"/>
    <n v="570"/>
    <x v="2"/>
    <x v="2"/>
  </r>
  <r>
    <x v="1"/>
    <x v="43"/>
    <n v="644"/>
    <x v="2"/>
    <x v="2"/>
  </r>
  <r>
    <x v="1"/>
    <x v="44"/>
    <n v="656"/>
    <x v="2"/>
    <x v="2"/>
  </r>
  <r>
    <x v="1"/>
    <x v="45"/>
    <n v="864"/>
    <x v="2"/>
    <x v="2"/>
  </r>
  <r>
    <x v="1"/>
    <x v="46"/>
    <n v="661"/>
    <x v="2"/>
    <x v="2"/>
  </r>
  <r>
    <x v="1"/>
    <x v="47"/>
    <n v="153"/>
    <x v="2"/>
    <x v="2"/>
  </r>
  <r>
    <x v="1"/>
    <x v="48"/>
    <n v="245"/>
    <x v="2"/>
    <x v="2"/>
  </r>
  <r>
    <x v="1"/>
    <x v="49"/>
    <n v="213"/>
    <x v="2"/>
    <x v="2"/>
  </r>
  <r>
    <x v="1"/>
    <x v="50"/>
    <n v="378"/>
    <x v="2"/>
    <x v="2"/>
  </r>
  <r>
    <x v="1"/>
    <x v="51"/>
    <n v="387"/>
    <x v="2"/>
    <x v="2"/>
  </r>
  <r>
    <x v="1"/>
    <x v="0"/>
    <n v="365"/>
    <x v="3"/>
    <x v="3"/>
  </r>
  <r>
    <x v="1"/>
    <x v="1"/>
    <n v="86"/>
    <x v="3"/>
    <x v="3"/>
  </r>
  <r>
    <x v="1"/>
    <x v="2"/>
    <n v="303"/>
    <x v="3"/>
    <x v="3"/>
  </r>
  <r>
    <x v="1"/>
    <x v="3"/>
    <n v="280"/>
    <x v="3"/>
    <x v="3"/>
  </r>
  <r>
    <x v="1"/>
    <x v="4"/>
    <n v="405"/>
    <x v="3"/>
    <x v="3"/>
  </r>
  <r>
    <x v="1"/>
    <x v="5"/>
    <n v="96"/>
    <x v="3"/>
    <x v="3"/>
  </r>
  <r>
    <x v="1"/>
    <x v="6"/>
    <n v="271"/>
    <x v="3"/>
    <x v="3"/>
  </r>
  <r>
    <x v="1"/>
    <x v="7"/>
    <n v="383"/>
    <x v="3"/>
    <x v="3"/>
  </r>
  <r>
    <x v="1"/>
    <x v="8"/>
    <n v="443"/>
    <x v="3"/>
    <x v="3"/>
  </r>
  <r>
    <x v="1"/>
    <x v="9"/>
    <n v="358"/>
    <x v="3"/>
    <x v="3"/>
  </r>
  <r>
    <x v="1"/>
    <x v="10"/>
    <n v="127"/>
    <x v="3"/>
    <x v="3"/>
  </r>
  <r>
    <x v="1"/>
    <x v="11"/>
    <n v="446"/>
    <x v="3"/>
    <x v="3"/>
  </r>
  <r>
    <x v="1"/>
    <x v="12"/>
    <n v="376"/>
    <x v="3"/>
    <x v="3"/>
  </r>
  <r>
    <x v="1"/>
    <x v="13"/>
    <n v="229"/>
    <x v="3"/>
    <x v="3"/>
  </r>
  <r>
    <x v="1"/>
    <x v="14"/>
    <n v="234"/>
    <x v="3"/>
    <x v="3"/>
  </r>
  <r>
    <x v="1"/>
    <x v="15"/>
    <n v="530"/>
    <x v="3"/>
    <x v="3"/>
  </r>
  <r>
    <x v="1"/>
    <x v="16"/>
    <n v="422"/>
    <x v="3"/>
    <x v="3"/>
  </r>
  <r>
    <x v="1"/>
    <x v="17"/>
    <n v="276"/>
    <x v="3"/>
    <x v="3"/>
  </r>
  <r>
    <x v="1"/>
    <x v="18"/>
    <n v="97"/>
    <x v="3"/>
    <x v="3"/>
  </r>
  <r>
    <x v="1"/>
    <x v="19"/>
    <n v="651"/>
    <x v="3"/>
    <x v="3"/>
  </r>
  <r>
    <x v="1"/>
    <x v="20"/>
    <n v="260"/>
    <x v="3"/>
    <x v="3"/>
  </r>
  <r>
    <x v="1"/>
    <x v="21"/>
    <n v="230"/>
    <x v="3"/>
    <x v="3"/>
  </r>
  <r>
    <x v="1"/>
    <x v="22"/>
    <n v="183"/>
    <x v="3"/>
    <x v="3"/>
  </r>
  <r>
    <x v="1"/>
    <x v="23"/>
    <n v="355"/>
    <x v="3"/>
    <x v="3"/>
  </r>
  <r>
    <x v="1"/>
    <x v="24"/>
    <n v="507"/>
    <x v="3"/>
    <x v="3"/>
  </r>
  <r>
    <x v="1"/>
    <x v="25"/>
    <n v="266"/>
    <x v="3"/>
    <x v="3"/>
  </r>
  <r>
    <x v="1"/>
    <x v="26"/>
    <n v="195"/>
    <x v="3"/>
    <x v="3"/>
  </r>
  <r>
    <x v="1"/>
    <x v="27"/>
    <n v="430"/>
    <x v="3"/>
    <x v="3"/>
  </r>
  <r>
    <x v="1"/>
    <x v="28"/>
    <n v="305"/>
    <x v="3"/>
    <x v="3"/>
  </r>
  <r>
    <x v="1"/>
    <x v="29"/>
    <n v="109"/>
    <x v="3"/>
    <x v="3"/>
  </r>
  <r>
    <x v="1"/>
    <x v="30"/>
    <n v="427"/>
    <x v="3"/>
    <x v="3"/>
  </r>
  <r>
    <x v="1"/>
    <x v="31"/>
    <n v="434"/>
    <x v="3"/>
    <x v="3"/>
  </r>
  <r>
    <x v="1"/>
    <x v="32"/>
    <n v="505"/>
    <x v="3"/>
    <x v="3"/>
  </r>
  <r>
    <x v="1"/>
    <x v="33"/>
    <n v="419"/>
    <x v="3"/>
    <x v="3"/>
  </r>
  <r>
    <x v="1"/>
    <x v="34"/>
    <n v="407"/>
    <x v="3"/>
    <x v="3"/>
  </r>
  <r>
    <x v="1"/>
    <x v="35"/>
    <n v="558"/>
    <x v="3"/>
    <x v="3"/>
  </r>
  <r>
    <x v="1"/>
    <x v="36"/>
    <n v="215"/>
    <x v="3"/>
    <x v="3"/>
  </r>
  <r>
    <x v="1"/>
    <x v="37"/>
    <n v="650"/>
    <x v="3"/>
    <x v="3"/>
  </r>
  <r>
    <x v="1"/>
    <x v="38"/>
    <n v="192"/>
    <x v="3"/>
    <x v="3"/>
  </r>
  <r>
    <x v="1"/>
    <x v="39"/>
    <n v="355"/>
    <x v="3"/>
    <x v="3"/>
  </r>
  <r>
    <x v="1"/>
    <x v="40"/>
    <n v="539"/>
    <x v="3"/>
    <x v="3"/>
  </r>
  <r>
    <x v="1"/>
    <x v="41"/>
    <n v="137"/>
    <x v="3"/>
    <x v="3"/>
  </r>
  <r>
    <x v="1"/>
    <x v="42"/>
    <n v="1083"/>
    <x v="3"/>
    <x v="3"/>
  </r>
  <r>
    <x v="1"/>
    <x v="43"/>
    <n v="381"/>
    <x v="3"/>
    <x v="3"/>
  </r>
  <r>
    <x v="1"/>
    <x v="44"/>
    <n v="224"/>
    <x v="3"/>
    <x v="3"/>
  </r>
  <r>
    <x v="1"/>
    <x v="45"/>
    <n v="718"/>
    <x v="3"/>
    <x v="3"/>
  </r>
  <r>
    <x v="1"/>
    <x v="46"/>
    <n v="368"/>
    <x v="3"/>
    <x v="3"/>
  </r>
  <r>
    <x v="1"/>
    <x v="47"/>
    <n v="883"/>
    <x v="3"/>
    <x v="3"/>
  </r>
  <r>
    <x v="1"/>
    <x v="48"/>
    <n v="169"/>
    <x v="3"/>
    <x v="3"/>
  </r>
  <r>
    <x v="1"/>
    <x v="49"/>
    <n v="481"/>
    <x v="3"/>
    <x v="3"/>
  </r>
  <r>
    <x v="1"/>
    <x v="50"/>
    <n v="553"/>
    <x v="3"/>
    <x v="3"/>
  </r>
  <r>
    <x v="1"/>
    <x v="51"/>
    <n v="106"/>
    <x v="3"/>
    <x v="3"/>
  </r>
  <r>
    <x v="2"/>
    <x v="0"/>
    <n v="96"/>
    <x v="3"/>
    <x v="3"/>
  </r>
  <r>
    <x v="2"/>
    <x v="1"/>
    <n v="226"/>
    <x v="3"/>
    <x v="3"/>
  </r>
  <r>
    <x v="2"/>
    <x v="2"/>
    <n v="387"/>
    <x v="3"/>
    <x v="3"/>
  </r>
  <r>
    <x v="2"/>
    <x v="3"/>
    <n v="260"/>
    <x v="3"/>
    <x v="3"/>
  </r>
  <r>
    <x v="2"/>
    <x v="4"/>
    <n v="421"/>
    <x v="3"/>
    <x v="3"/>
  </r>
  <r>
    <x v="2"/>
    <x v="5"/>
    <n v="408"/>
    <x v="3"/>
    <x v="3"/>
  </r>
  <r>
    <x v="2"/>
    <x v="6"/>
    <n v="436"/>
    <x v="3"/>
    <x v="3"/>
  </r>
  <r>
    <x v="2"/>
    <x v="7"/>
    <n v="218"/>
    <x v="3"/>
    <x v="3"/>
  </r>
  <r>
    <x v="2"/>
    <x v="8"/>
    <n v="254"/>
    <x v="3"/>
    <x v="3"/>
  </r>
  <r>
    <x v="2"/>
    <x v="9"/>
    <n v="292"/>
    <x v="3"/>
    <x v="3"/>
  </r>
  <r>
    <x v="2"/>
    <x v="10"/>
    <n v="475"/>
    <x v="3"/>
    <x v="3"/>
  </r>
  <r>
    <x v="2"/>
    <x v="11"/>
    <n v="546"/>
    <x v="3"/>
    <x v="3"/>
  </r>
  <r>
    <x v="2"/>
    <x v="12"/>
    <n v="673"/>
    <x v="3"/>
    <x v="3"/>
  </r>
  <r>
    <x v="2"/>
    <x v="13"/>
    <n v="308"/>
    <x v="3"/>
    <x v="3"/>
  </r>
  <r>
    <x v="2"/>
    <x v="14"/>
    <n v="487"/>
    <x v="3"/>
    <x v="3"/>
  </r>
  <r>
    <x v="2"/>
    <x v="15"/>
    <n v="471"/>
    <x v="3"/>
    <x v="3"/>
  </r>
  <r>
    <x v="2"/>
    <x v="16"/>
    <n v="470"/>
    <x v="3"/>
    <x v="3"/>
  </r>
  <r>
    <x v="2"/>
    <x v="17"/>
    <n v="512"/>
    <x v="3"/>
    <x v="3"/>
  </r>
  <r>
    <x v="2"/>
    <x v="18"/>
    <n v="537"/>
    <x v="3"/>
    <x v="3"/>
  </r>
  <r>
    <x v="2"/>
    <x v="19"/>
    <n v="305"/>
    <x v="3"/>
    <x v="3"/>
  </r>
  <r>
    <x v="2"/>
    <x v="20"/>
    <n v="396"/>
    <x v="3"/>
    <x v="3"/>
  </r>
  <r>
    <x v="2"/>
    <x v="21"/>
    <n v="413"/>
    <x v="3"/>
    <x v="3"/>
  </r>
  <r>
    <x v="2"/>
    <x v="22"/>
    <n v="247"/>
    <x v="3"/>
    <x v="3"/>
  </r>
  <r>
    <x v="2"/>
    <x v="23"/>
    <n v="174"/>
    <x v="3"/>
    <x v="3"/>
  </r>
  <r>
    <x v="2"/>
    <x v="24"/>
    <n v="547"/>
    <x v="3"/>
    <x v="3"/>
  </r>
  <r>
    <x v="2"/>
    <x v="25"/>
    <n v="424"/>
    <x v="3"/>
    <x v="3"/>
  </r>
  <r>
    <x v="2"/>
    <x v="26"/>
    <n v="143"/>
    <x v="3"/>
    <x v="3"/>
  </r>
  <r>
    <x v="2"/>
    <x v="27"/>
    <n v="582"/>
    <x v="3"/>
    <x v="3"/>
  </r>
  <r>
    <x v="2"/>
    <x v="28"/>
    <n v="244"/>
    <x v="3"/>
    <x v="3"/>
  </r>
  <r>
    <x v="2"/>
    <x v="29"/>
    <n v="362"/>
    <x v="3"/>
    <x v="3"/>
  </r>
  <r>
    <x v="2"/>
    <x v="30"/>
    <n v="252"/>
    <x v="3"/>
    <x v="3"/>
  </r>
  <r>
    <x v="2"/>
    <x v="31"/>
    <n v="439"/>
    <x v="3"/>
    <x v="3"/>
  </r>
  <r>
    <x v="2"/>
    <x v="32"/>
    <n v="288"/>
    <x v="3"/>
    <x v="3"/>
  </r>
  <r>
    <x v="2"/>
    <x v="33"/>
    <n v="189"/>
    <x v="3"/>
    <x v="3"/>
  </r>
  <r>
    <x v="2"/>
    <x v="34"/>
    <n v="576"/>
    <x v="3"/>
    <x v="3"/>
  </r>
  <r>
    <x v="2"/>
    <x v="35"/>
    <n v="363"/>
    <x v="3"/>
    <x v="3"/>
  </r>
  <r>
    <x v="2"/>
    <x v="36"/>
    <n v="146"/>
    <x v="3"/>
    <x v="3"/>
  </r>
  <r>
    <x v="2"/>
    <x v="37"/>
    <n v="182"/>
    <x v="3"/>
    <x v="3"/>
  </r>
  <r>
    <x v="2"/>
    <x v="38"/>
    <n v="364"/>
    <x v="3"/>
    <x v="3"/>
  </r>
  <r>
    <x v="2"/>
    <x v="39"/>
    <n v="713"/>
    <x v="3"/>
    <x v="3"/>
  </r>
  <r>
    <x v="2"/>
    <x v="40"/>
    <n v="397"/>
    <x v="3"/>
    <x v="3"/>
  </r>
  <r>
    <x v="2"/>
    <x v="41"/>
    <n v="806"/>
    <x v="3"/>
    <x v="3"/>
  </r>
  <r>
    <x v="2"/>
    <x v="42"/>
    <n v="163"/>
    <x v="3"/>
    <x v="3"/>
  </r>
  <r>
    <x v="2"/>
    <x v="43"/>
    <n v="619"/>
    <x v="3"/>
    <x v="3"/>
  </r>
  <r>
    <x v="2"/>
    <x v="44"/>
    <n v="292"/>
    <x v="3"/>
    <x v="3"/>
  </r>
  <r>
    <x v="2"/>
    <x v="45"/>
    <n v="572"/>
    <x v="3"/>
    <x v="3"/>
  </r>
  <r>
    <x v="2"/>
    <x v="46"/>
    <n v="224"/>
    <x v="3"/>
    <x v="3"/>
  </r>
  <r>
    <x v="2"/>
    <x v="47"/>
    <n v="385"/>
    <x v="3"/>
    <x v="3"/>
  </r>
  <r>
    <x v="2"/>
    <x v="48"/>
    <n v="732"/>
    <x v="3"/>
    <x v="3"/>
  </r>
  <r>
    <x v="2"/>
    <x v="49"/>
    <n v="778"/>
    <x v="3"/>
    <x v="3"/>
  </r>
  <r>
    <x v="2"/>
    <x v="50"/>
    <n v="385"/>
    <x v="3"/>
    <x v="3"/>
  </r>
  <r>
    <x v="2"/>
    <x v="51"/>
    <n v="632"/>
    <x v="3"/>
    <x v="3"/>
  </r>
  <r>
    <x v="3"/>
    <x v="0"/>
    <n v="323"/>
    <x v="3"/>
    <x v="3"/>
  </r>
  <r>
    <x v="3"/>
    <x v="1"/>
    <n v="317"/>
    <x v="3"/>
    <x v="3"/>
  </r>
  <r>
    <x v="3"/>
    <x v="2"/>
    <n v="400"/>
    <x v="3"/>
    <x v="3"/>
  </r>
  <r>
    <x v="3"/>
    <x v="3"/>
    <n v="440"/>
    <x v="3"/>
    <x v="3"/>
  </r>
  <r>
    <x v="3"/>
    <x v="4"/>
    <n v="267"/>
    <x v="3"/>
    <x v="3"/>
  </r>
  <r>
    <x v="3"/>
    <x v="5"/>
    <n v="328"/>
    <x v="3"/>
    <x v="3"/>
  </r>
  <r>
    <x v="3"/>
    <x v="6"/>
    <n v="463"/>
    <x v="3"/>
    <x v="3"/>
  </r>
  <r>
    <x v="3"/>
    <x v="7"/>
    <n v="519"/>
    <x v="3"/>
    <x v="3"/>
  </r>
  <r>
    <x v="3"/>
    <x v="8"/>
    <n v="578"/>
    <x v="3"/>
    <x v="3"/>
  </r>
  <r>
    <x v="3"/>
    <x v="9"/>
    <n v="306"/>
    <x v="3"/>
    <x v="3"/>
  </r>
  <r>
    <x v="3"/>
    <x v="10"/>
    <n v="496"/>
    <x v="3"/>
    <x v="3"/>
  </r>
  <r>
    <x v="3"/>
    <x v="11"/>
    <n v="397"/>
    <x v="3"/>
    <x v="3"/>
  </r>
  <r>
    <x v="3"/>
    <x v="12"/>
    <n v="333"/>
    <x v="3"/>
    <x v="3"/>
  </r>
  <r>
    <x v="3"/>
    <x v="13"/>
    <n v="486"/>
    <x v="3"/>
    <x v="3"/>
  </r>
  <r>
    <x v="3"/>
    <x v="14"/>
    <n v="101"/>
    <x v="3"/>
    <x v="3"/>
  </r>
  <r>
    <x v="3"/>
    <x v="15"/>
    <n v="219"/>
    <x v="3"/>
    <x v="3"/>
  </r>
  <r>
    <x v="3"/>
    <x v="16"/>
    <n v="221"/>
    <x v="3"/>
    <x v="3"/>
  </r>
  <r>
    <x v="3"/>
    <x v="17"/>
    <n v="581"/>
    <x v="3"/>
    <x v="3"/>
  </r>
  <r>
    <x v="3"/>
    <x v="18"/>
    <n v="690"/>
    <x v="3"/>
    <x v="3"/>
  </r>
  <r>
    <x v="3"/>
    <x v="19"/>
    <n v="420"/>
    <x v="3"/>
    <x v="3"/>
  </r>
  <r>
    <x v="3"/>
    <x v="20"/>
    <n v="603"/>
    <x v="3"/>
    <x v="3"/>
  </r>
  <r>
    <x v="3"/>
    <x v="21"/>
    <n v="535"/>
    <x v="3"/>
    <x v="3"/>
  </r>
  <r>
    <x v="3"/>
    <x v="22"/>
    <n v="209"/>
    <x v="3"/>
    <x v="3"/>
  </r>
  <r>
    <x v="3"/>
    <x v="23"/>
    <n v="614"/>
    <x v="3"/>
    <x v="3"/>
  </r>
  <r>
    <x v="3"/>
    <x v="24"/>
    <n v="765"/>
    <x v="3"/>
    <x v="3"/>
  </r>
  <r>
    <x v="3"/>
    <x v="25"/>
    <n v="152"/>
    <x v="3"/>
    <x v="3"/>
  </r>
  <r>
    <x v="3"/>
    <x v="26"/>
    <n v="380"/>
    <x v="3"/>
    <x v="3"/>
  </r>
  <r>
    <x v="3"/>
    <x v="27"/>
    <n v="288"/>
    <x v="3"/>
    <x v="3"/>
  </r>
  <r>
    <x v="3"/>
    <x v="28"/>
    <n v="402"/>
    <x v="3"/>
    <x v="3"/>
  </r>
  <r>
    <x v="3"/>
    <x v="29"/>
    <n v="462"/>
    <x v="3"/>
    <x v="3"/>
  </r>
  <r>
    <x v="3"/>
    <x v="30"/>
    <n v="709"/>
    <x v="3"/>
    <x v="3"/>
  </r>
  <r>
    <x v="3"/>
    <x v="31"/>
    <n v="260"/>
    <x v="3"/>
    <x v="3"/>
  </r>
  <r>
    <x v="3"/>
    <x v="32"/>
    <n v="166"/>
    <x v="3"/>
    <x v="3"/>
  </r>
  <r>
    <x v="3"/>
    <x v="33"/>
    <n v="1113"/>
    <x v="3"/>
    <x v="3"/>
  </r>
  <r>
    <x v="3"/>
    <x v="34"/>
    <n v="594"/>
    <x v="3"/>
    <x v="3"/>
  </r>
  <r>
    <x v="3"/>
    <x v="35"/>
    <n v="284"/>
    <x v="3"/>
    <x v="3"/>
  </r>
  <r>
    <x v="3"/>
    <x v="36"/>
    <n v="467"/>
    <x v="3"/>
    <x v="3"/>
  </r>
  <r>
    <x v="3"/>
    <x v="37"/>
    <n v="949"/>
    <x v="3"/>
    <x v="3"/>
  </r>
  <r>
    <x v="3"/>
    <x v="38"/>
    <n v="508"/>
    <x v="3"/>
    <x v="3"/>
  </r>
  <r>
    <x v="3"/>
    <x v="39"/>
    <n v="189"/>
    <x v="3"/>
    <x v="3"/>
  </r>
  <r>
    <x v="3"/>
    <x v="40"/>
    <n v="452"/>
    <x v="3"/>
    <x v="3"/>
  </r>
  <r>
    <x v="3"/>
    <x v="41"/>
    <n v="275"/>
    <x v="3"/>
    <x v="3"/>
  </r>
  <r>
    <x v="3"/>
    <x v="42"/>
    <n v="519"/>
    <x v="3"/>
    <x v="3"/>
  </r>
  <r>
    <x v="3"/>
    <x v="43"/>
    <n v="306"/>
    <x v="3"/>
    <x v="3"/>
  </r>
  <r>
    <x v="3"/>
    <x v="44"/>
    <n v="844"/>
    <x v="3"/>
    <x v="3"/>
  </r>
  <r>
    <x v="3"/>
    <x v="45"/>
    <n v="209"/>
    <x v="3"/>
    <x v="3"/>
  </r>
  <r>
    <x v="3"/>
    <x v="46"/>
    <n v="817"/>
    <x v="3"/>
    <x v="3"/>
  </r>
  <r>
    <x v="3"/>
    <x v="47"/>
    <n v="155"/>
    <x v="3"/>
    <x v="3"/>
  </r>
  <r>
    <x v="3"/>
    <x v="48"/>
    <n v="128"/>
    <x v="3"/>
    <x v="3"/>
  </r>
  <r>
    <x v="3"/>
    <x v="49"/>
    <n v="289"/>
    <x v="3"/>
    <x v="3"/>
  </r>
  <r>
    <x v="3"/>
    <x v="50"/>
    <n v="227"/>
    <x v="3"/>
    <x v="3"/>
  </r>
  <r>
    <x v="3"/>
    <x v="51"/>
    <n v="666"/>
    <x v="3"/>
    <x v="3"/>
  </r>
  <r>
    <x v="2"/>
    <x v="0"/>
    <n v="265"/>
    <x v="4"/>
    <x v="4"/>
  </r>
  <r>
    <x v="2"/>
    <x v="1"/>
    <n v="59"/>
    <x v="4"/>
    <x v="4"/>
  </r>
  <r>
    <x v="2"/>
    <x v="2"/>
    <n v="229"/>
    <x v="4"/>
    <x v="4"/>
  </r>
  <r>
    <x v="2"/>
    <x v="3"/>
    <n v="299"/>
    <x v="4"/>
    <x v="4"/>
  </r>
  <r>
    <x v="2"/>
    <x v="4"/>
    <n v="201"/>
    <x v="4"/>
    <x v="4"/>
  </r>
  <r>
    <x v="2"/>
    <x v="5"/>
    <n v="291"/>
    <x v="4"/>
    <x v="4"/>
  </r>
  <r>
    <x v="2"/>
    <x v="6"/>
    <n v="83"/>
    <x v="4"/>
    <x v="4"/>
  </r>
  <r>
    <x v="2"/>
    <x v="7"/>
    <n v="268"/>
    <x v="4"/>
    <x v="4"/>
  </r>
  <r>
    <x v="2"/>
    <x v="8"/>
    <n v="363"/>
    <x v="4"/>
    <x v="4"/>
  </r>
  <r>
    <x v="2"/>
    <x v="9"/>
    <n v="137"/>
    <x v="4"/>
    <x v="4"/>
  </r>
  <r>
    <x v="2"/>
    <x v="10"/>
    <n v="156"/>
    <x v="4"/>
    <x v="4"/>
  </r>
  <r>
    <x v="2"/>
    <x v="11"/>
    <n v="111"/>
    <x v="4"/>
    <x v="4"/>
  </r>
  <r>
    <x v="2"/>
    <x v="12"/>
    <n v="417"/>
    <x v="4"/>
    <x v="4"/>
  </r>
  <r>
    <x v="2"/>
    <x v="13"/>
    <n v="328"/>
    <x v="4"/>
    <x v="4"/>
  </r>
  <r>
    <x v="2"/>
    <x v="14"/>
    <n v="286"/>
    <x v="4"/>
    <x v="4"/>
  </r>
  <r>
    <x v="2"/>
    <x v="15"/>
    <n v="333"/>
    <x v="4"/>
    <x v="4"/>
  </r>
  <r>
    <x v="2"/>
    <x v="16"/>
    <n v="124"/>
    <x v="4"/>
    <x v="4"/>
  </r>
  <r>
    <x v="2"/>
    <x v="17"/>
    <n v="88"/>
    <x v="4"/>
    <x v="4"/>
  </r>
  <r>
    <x v="2"/>
    <x v="18"/>
    <n v="194"/>
    <x v="4"/>
    <x v="4"/>
  </r>
  <r>
    <x v="2"/>
    <x v="19"/>
    <n v="297"/>
    <x v="4"/>
    <x v="4"/>
  </r>
  <r>
    <x v="2"/>
    <x v="20"/>
    <n v="388"/>
    <x v="4"/>
    <x v="4"/>
  </r>
  <r>
    <x v="2"/>
    <x v="21"/>
    <n v="67"/>
    <x v="4"/>
    <x v="4"/>
  </r>
  <r>
    <x v="2"/>
    <x v="22"/>
    <n v="89"/>
    <x v="4"/>
    <x v="4"/>
  </r>
  <r>
    <x v="2"/>
    <x v="23"/>
    <n v="166"/>
    <x v="4"/>
    <x v="4"/>
  </r>
  <r>
    <x v="2"/>
    <x v="24"/>
    <n v="216"/>
    <x v="4"/>
    <x v="4"/>
  </r>
  <r>
    <x v="2"/>
    <x v="25"/>
    <n v="230"/>
    <x v="4"/>
    <x v="4"/>
  </r>
  <r>
    <x v="2"/>
    <x v="26"/>
    <n v="111"/>
    <x v="4"/>
    <x v="4"/>
  </r>
  <r>
    <x v="2"/>
    <x v="27"/>
    <n v="396"/>
    <x v="4"/>
    <x v="4"/>
  </r>
  <r>
    <x v="2"/>
    <x v="28"/>
    <n v="390"/>
    <x v="4"/>
    <x v="4"/>
  </r>
  <r>
    <x v="2"/>
    <x v="29"/>
    <n v="168"/>
    <x v="4"/>
    <x v="4"/>
  </r>
  <r>
    <x v="2"/>
    <x v="30"/>
    <n v="348"/>
    <x v="4"/>
    <x v="4"/>
  </r>
  <r>
    <x v="2"/>
    <x v="31"/>
    <n v="552"/>
    <x v="4"/>
    <x v="4"/>
  </r>
  <r>
    <x v="2"/>
    <x v="32"/>
    <n v="281"/>
    <x v="4"/>
    <x v="4"/>
  </r>
  <r>
    <x v="2"/>
    <x v="33"/>
    <n v="656"/>
    <x v="4"/>
    <x v="4"/>
  </r>
  <r>
    <x v="2"/>
    <x v="34"/>
    <n v="74"/>
    <x v="4"/>
    <x v="4"/>
  </r>
  <r>
    <x v="2"/>
    <x v="35"/>
    <n v="481"/>
    <x v="4"/>
    <x v="4"/>
  </r>
  <r>
    <x v="2"/>
    <x v="36"/>
    <n v="63"/>
    <x v="4"/>
    <x v="4"/>
  </r>
  <r>
    <x v="2"/>
    <x v="37"/>
    <n v="501"/>
    <x v="4"/>
    <x v="4"/>
  </r>
  <r>
    <x v="2"/>
    <x v="38"/>
    <n v="308"/>
    <x v="4"/>
    <x v="4"/>
  </r>
  <r>
    <x v="2"/>
    <x v="39"/>
    <n v="484"/>
    <x v="4"/>
    <x v="4"/>
  </r>
  <r>
    <x v="2"/>
    <x v="40"/>
    <n v="103"/>
    <x v="4"/>
    <x v="4"/>
  </r>
  <r>
    <x v="2"/>
    <x v="41"/>
    <n v="163"/>
    <x v="4"/>
    <x v="4"/>
  </r>
  <r>
    <x v="2"/>
    <x v="42"/>
    <n v="255"/>
    <x v="4"/>
    <x v="4"/>
  </r>
  <r>
    <x v="2"/>
    <x v="43"/>
    <n v="358"/>
    <x v="4"/>
    <x v="4"/>
  </r>
  <r>
    <x v="2"/>
    <x v="44"/>
    <n v="378"/>
    <x v="4"/>
    <x v="4"/>
  </r>
  <r>
    <x v="2"/>
    <x v="45"/>
    <n v="272"/>
    <x v="4"/>
    <x v="4"/>
  </r>
  <r>
    <x v="2"/>
    <x v="46"/>
    <n v="173"/>
    <x v="4"/>
    <x v="4"/>
  </r>
  <r>
    <x v="2"/>
    <x v="47"/>
    <n v="280"/>
    <x v="4"/>
    <x v="4"/>
  </r>
  <r>
    <x v="2"/>
    <x v="48"/>
    <n v="216"/>
    <x v="4"/>
    <x v="4"/>
  </r>
  <r>
    <x v="2"/>
    <x v="49"/>
    <n v="581"/>
    <x v="4"/>
    <x v="4"/>
  </r>
  <r>
    <x v="2"/>
    <x v="50"/>
    <n v="493"/>
    <x v="4"/>
    <x v="4"/>
  </r>
  <r>
    <x v="2"/>
    <x v="51"/>
    <n v="283"/>
    <x v="4"/>
    <x v="4"/>
  </r>
  <r>
    <x v="3"/>
    <x v="0"/>
    <n v="54"/>
    <x v="4"/>
    <x v="4"/>
  </r>
  <r>
    <x v="3"/>
    <x v="1"/>
    <n v="27"/>
    <x v="4"/>
    <x v="4"/>
  </r>
  <r>
    <x v="3"/>
    <x v="2"/>
    <n v="31"/>
    <x v="4"/>
    <x v="4"/>
  </r>
  <r>
    <x v="3"/>
    <x v="3"/>
    <n v="148"/>
    <x v="4"/>
    <x v="4"/>
  </r>
  <r>
    <x v="3"/>
    <x v="4"/>
    <n v="137"/>
    <x v="4"/>
    <x v="4"/>
  </r>
  <r>
    <x v="3"/>
    <x v="5"/>
    <n v="142"/>
    <x v="4"/>
    <x v="4"/>
  </r>
  <r>
    <x v="3"/>
    <x v="6"/>
    <n v="131"/>
    <x v="4"/>
    <x v="4"/>
  </r>
  <r>
    <x v="3"/>
    <x v="7"/>
    <n v="102"/>
    <x v="4"/>
    <x v="4"/>
  </r>
  <r>
    <x v="3"/>
    <x v="8"/>
    <n v="65"/>
    <x v="4"/>
    <x v="4"/>
  </r>
  <r>
    <x v="3"/>
    <x v="9"/>
    <n v="134"/>
    <x v="4"/>
    <x v="4"/>
  </r>
  <r>
    <x v="3"/>
    <x v="10"/>
    <n v="70"/>
    <x v="4"/>
    <x v="4"/>
  </r>
  <r>
    <x v="3"/>
    <x v="11"/>
    <n v="45"/>
    <x v="4"/>
    <x v="4"/>
  </r>
  <r>
    <x v="3"/>
    <x v="12"/>
    <n v="68"/>
    <x v="4"/>
    <x v="4"/>
  </r>
  <r>
    <x v="3"/>
    <x v="13"/>
    <n v="186"/>
    <x v="4"/>
    <x v="4"/>
  </r>
  <r>
    <x v="3"/>
    <x v="14"/>
    <n v="44"/>
    <x v="4"/>
    <x v="4"/>
  </r>
  <r>
    <x v="3"/>
    <x v="15"/>
    <n v="172"/>
    <x v="4"/>
    <x v="4"/>
  </r>
  <r>
    <x v="3"/>
    <x v="16"/>
    <n v="156"/>
    <x v="4"/>
    <x v="4"/>
  </r>
  <r>
    <x v="3"/>
    <x v="17"/>
    <n v="126"/>
    <x v="4"/>
    <x v="4"/>
  </r>
  <r>
    <x v="3"/>
    <x v="18"/>
    <n v="33"/>
    <x v="4"/>
    <x v="4"/>
  </r>
  <r>
    <x v="3"/>
    <x v="19"/>
    <n v="180"/>
    <x v="4"/>
    <x v="4"/>
  </r>
  <r>
    <x v="3"/>
    <x v="20"/>
    <n v="241"/>
    <x v="4"/>
    <x v="4"/>
  </r>
  <r>
    <x v="3"/>
    <x v="21"/>
    <n v="200"/>
    <x v="4"/>
    <x v="4"/>
  </r>
  <r>
    <x v="3"/>
    <x v="22"/>
    <n v="67"/>
    <x v="4"/>
    <x v="4"/>
  </r>
  <r>
    <x v="3"/>
    <x v="23"/>
    <n v="205"/>
    <x v="4"/>
    <x v="4"/>
  </r>
  <r>
    <x v="3"/>
    <x v="24"/>
    <n v="51"/>
    <x v="4"/>
    <x v="4"/>
  </r>
  <r>
    <x v="3"/>
    <x v="25"/>
    <n v="327"/>
    <x v="4"/>
    <x v="4"/>
  </r>
  <r>
    <x v="3"/>
    <x v="26"/>
    <n v="166"/>
    <x v="4"/>
    <x v="4"/>
  </r>
  <r>
    <x v="3"/>
    <x v="27"/>
    <n v="302"/>
    <x v="4"/>
    <x v="4"/>
  </r>
  <r>
    <x v="3"/>
    <x v="28"/>
    <n v="297"/>
    <x v="4"/>
    <x v="4"/>
  </r>
  <r>
    <x v="3"/>
    <x v="29"/>
    <n v="81"/>
    <x v="4"/>
    <x v="4"/>
  </r>
  <r>
    <x v="3"/>
    <x v="30"/>
    <n v="37"/>
    <x v="4"/>
    <x v="4"/>
  </r>
  <r>
    <x v="3"/>
    <x v="31"/>
    <n v="137"/>
    <x v="4"/>
    <x v="4"/>
  </r>
  <r>
    <x v="3"/>
    <x v="32"/>
    <n v="238"/>
    <x v="4"/>
    <x v="4"/>
  </r>
  <r>
    <x v="3"/>
    <x v="33"/>
    <n v="337"/>
    <x v="4"/>
    <x v="4"/>
  </r>
  <r>
    <x v="3"/>
    <x v="34"/>
    <n v="141"/>
    <x v="4"/>
    <x v="4"/>
  </r>
  <r>
    <x v="3"/>
    <x v="35"/>
    <n v="136"/>
    <x v="4"/>
    <x v="4"/>
  </r>
  <r>
    <x v="3"/>
    <x v="36"/>
    <n v="110"/>
    <x v="4"/>
    <x v="4"/>
  </r>
  <r>
    <x v="3"/>
    <x v="37"/>
    <n v="180"/>
    <x v="4"/>
    <x v="4"/>
  </r>
  <r>
    <x v="3"/>
    <x v="38"/>
    <n v="264"/>
    <x v="4"/>
    <x v="4"/>
  </r>
  <r>
    <x v="3"/>
    <x v="39"/>
    <n v="182"/>
    <x v="4"/>
    <x v="4"/>
  </r>
  <r>
    <x v="3"/>
    <x v="40"/>
    <n v="76"/>
    <x v="4"/>
    <x v="4"/>
  </r>
  <r>
    <x v="3"/>
    <x v="41"/>
    <n v="180"/>
    <x v="4"/>
    <x v="4"/>
  </r>
  <r>
    <x v="3"/>
    <x v="42"/>
    <n v="310"/>
    <x v="4"/>
    <x v="4"/>
  </r>
  <r>
    <x v="3"/>
    <x v="43"/>
    <n v="81"/>
    <x v="4"/>
    <x v="4"/>
  </r>
  <r>
    <x v="3"/>
    <x v="44"/>
    <n v="209"/>
    <x v="4"/>
    <x v="4"/>
  </r>
  <r>
    <x v="3"/>
    <x v="45"/>
    <n v="120"/>
    <x v="4"/>
    <x v="4"/>
  </r>
  <r>
    <x v="3"/>
    <x v="46"/>
    <n v="207"/>
    <x v="4"/>
    <x v="4"/>
  </r>
  <r>
    <x v="3"/>
    <x v="47"/>
    <n v="162"/>
    <x v="4"/>
    <x v="4"/>
  </r>
  <r>
    <x v="3"/>
    <x v="48"/>
    <n v="210"/>
    <x v="4"/>
    <x v="4"/>
  </r>
  <r>
    <x v="3"/>
    <x v="49"/>
    <n v="69"/>
    <x v="4"/>
    <x v="4"/>
  </r>
  <r>
    <x v="3"/>
    <x v="50"/>
    <n v="230"/>
    <x v="4"/>
    <x v="4"/>
  </r>
  <r>
    <x v="3"/>
    <x v="51"/>
    <n v="72"/>
    <x v="4"/>
    <x v="4"/>
  </r>
  <r>
    <x v="4"/>
    <x v="0"/>
    <n v="101"/>
    <x v="4"/>
    <x v="4"/>
  </r>
  <r>
    <x v="4"/>
    <x v="1"/>
    <n v="76"/>
    <x v="4"/>
    <x v="4"/>
  </r>
  <r>
    <x v="4"/>
    <x v="2"/>
    <n v="132"/>
    <x v="4"/>
    <x v="4"/>
  </r>
  <r>
    <x v="4"/>
    <x v="3"/>
    <n v="63"/>
    <x v="4"/>
    <x v="4"/>
  </r>
  <r>
    <x v="4"/>
    <x v="4"/>
    <n v="58"/>
    <x v="4"/>
    <x v="4"/>
  </r>
  <r>
    <x v="4"/>
    <x v="5"/>
    <n v="130"/>
    <x v="4"/>
    <x v="4"/>
  </r>
  <r>
    <x v="4"/>
    <x v="6"/>
    <n v="32"/>
    <x v="4"/>
    <x v="4"/>
  </r>
  <r>
    <x v="4"/>
    <x v="7"/>
    <n v="116"/>
    <x v="4"/>
    <x v="4"/>
  </r>
  <r>
    <x v="4"/>
    <x v="8"/>
    <n v="163"/>
    <x v="4"/>
    <x v="4"/>
  </r>
  <r>
    <x v="4"/>
    <x v="9"/>
    <n v="29"/>
    <x v="4"/>
    <x v="4"/>
  </r>
  <r>
    <x v="4"/>
    <x v="10"/>
    <n v="113"/>
    <x v="4"/>
    <x v="4"/>
  </r>
  <r>
    <x v="4"/>
    <x v="11"/>
    <n v="152"/>
    <x v="4"/>
    <x v="4"/>
  </r>
  <r>
    <x v="4"/>
    <x v="12"/>
    <n v="73"/>
    <x v="4"/>
    <x v="4"/>
  </r>
  <r>
    <x v="4"/>
    <x v="13"/>
    <n v="119"/>
    <x v="4"/>
    <x v="4"/>
  </r>
  <r>
    <x v="4"/>
    <x v="14"/>
    <n v="188"/>
    <x v="4"/>
    <x v="4"/>
  </r>
  <r>
    <x v="4"/>
    <x v="15"/>
    <n v="99"/>
    <x v="4"/>
    <x v="4"/>
  </r>
  <r>
    <x v="4"/>
    <x v="16"/>
    <n v="58"/>
    <x v="4"/>
    <x v="4"/>
  </r>
  <r>
    <x v="4"/>
    <x v="17"/>
    <n v="129"/>
    <x v="4"/>
    <x v="4"/>
  </r>
  <r>
    <x v="4"/>
    <x v="18"/>
    <n v="190"/>
    <x v="4"/>
    <x v="4"/>
  </r>
  <r>
    <x v="4"/>
    <x v="19"/>
    <n v="113"/>
    <x v="4"/>
    <x v="4"/>
  </r>
  <r>
    <x v="4"/>
    <x v="20"/>
    <n v="81"/>
    <x v="4"/>
    <x v="4"/>
  </r>
  <r>
    <x v="4"/>
    <x v="21"/>
    <n v="262"/>
    <x v="4"/>
    <x v="4"/>
  </r>
  <r>
    <x v="4"/>
    <x v="22"/>
    <n v="204"/>
    <x v="4"/>
    <x v="4"/>
  </r>
  <r>
    <x v="4"/>
    <x v="23"/>
    <n v="63"/>
    <x v="4"/>
    <x v="4"/>
  </r>
  <r>
    <x v="4"/>
    <x v="24"/>
    <n v="49"/>
    <x v="4"/>
    <x v="4"/>
  </r>
  <r>
    <x v="4"/>
    <x v="25"/>
    <n v="216"/>
    <x v="4"/>
    <x v="4"/>
  </r>
  <r>
    <x v="4"/>
    <x v="26"/>
    <n v="71"/>
    <x v="4"/>
    <x v="4"/>
  </r>
  <r>
    <x v="4"/>
    <x v="27"/>
    <n v="109"/>
    <x v="4"/>
    <x v="4"/>
  </r>
  <r>
    <x v="4"/>
    <x v="28"/>
    <n v="236"/>
    <x v="4"/>
    <x v="4"/>
  </r>
  <r>
    <x v="4"/>
    <x v="29"/>
    <n v="92"/>
    <x v="4"/>
    <x v="4"/>
  </r>
  <r>
    <x v="4"/>
    <x v="30"/>
    <n v="159"/>
    <x v="4"/>
    <x v="4"/>
  </r>
  <r>
    <x v="4"/>
    <x v="31"/>
    <n v="182"/>
    <x v="4"/>
    <x v="4"/>
  </r>
  <r>
    <x v="4"/>
    <x v="32"/>
    <n v="221"/>
    <x v="4"/>
    <x v="4"/>
  </r>
  <r>
    <x v="4"/>
    <x v="33"/>
    <n v="60"/>
    <x v="4"/>
    <x v="4"/>
  </r>
  <r>
    <x v="4"/>
    <x v="34"/>
    <n v="219"/>
    <x v="4"/>
    <x v="4"/>
  </r>
  <r>
    <x v="4"/>
    <x v="35"/>
    <n v="106"/>
    <x v="4"/>
    <x v="4"/>
  </r>
  <r>
    <x v="4"/>
    <x v="36"/>
    <n v="51"/>
    <x v="4"/>
    <x v="4"/>
  </r>
  <r>
    <x v="4"/>
    <x v="37"/>
    <n v="151"/>
    <x v="4"/>
    <x v="4"/>
  </r>
  <r>
    <x v="4"/>
    <x v="38"/>
    <n v="82"/>
    <x v="4"/>
    <x v="4"/>
  </r>
  <r>
    <x v="4"/>
    <x v="39"/>
    <n v="219"/>
    <x v="4"/>
    <x v="4"/>
  </r>
  <r>
    <x v="4"/>
    <x v="40"/>
    <n v="31"/>
    <x v="4"/>
    <x v="4"/>
  </r>
  <r>
    <x v="4"/>
    <x v="41"/>
    <n v="218"/>
    <x v="4"/>
    <x v="4"/>
  </r>
  <r>
    <x v="4"/>
    <x v="42"/>
    <n v="137"/>
    <x v="4"/>
    <x v="4"/>
  </r>
  <r>
    <x v="4"/>
    <x v="43"/>
    <n v="253"/>
    <x v="4"/>
    <x v="4"/>
  </r>
  <r>
    <x v="4"/>
    <x v="44"/>
    <n v="388"/>
    <x v="4"/>
    <x v="4"/>
  </r>
  <r>
    <x v="4"/>
    <x v="45"/>
    <n v="225"/>
    <x v="4"/>
    <x v="4"/>
  </r>
  <r>
    <x v="4"/>
    <x v="46"/>
    <n v="28"/>
    <x v="4"/>
    <x v="4"/>
  </r>
  <r>
    <x v="4"/>
    <x v="47"/>
    <n v="371"/>
    <x v="4"/>
    <x v="4"/>
  </r>
  <r>
    <x v="4"/>
    <x v="48"/>
    <n v="309"/>
    <x v="4"/>
    <x v="4"/>
  </r>
  <r>
    <x v="4"/>
    <x v="49"/>
    <n v="167"/>
    <x v="4"/>
    <x v="4"/>
  </r>
  <r>
    <x v="4"/>
    <x v="50"/>
    <n v="141"/>
    <x v="4"/>
    <x v="4"/>
  </r>
  <r>
    <x v="4"/>
    <x v="51"/>
    <n v="256"/>
    <x v="4"/>
    <x v="4"/>
  </r>
  <r>
    <x v="4"/>
    <x v="0"/>
    <n v="88"/>
    <x v="5"/>
    <x v="5"/>
  </r>
  <r>
    <x v="4"/>
    <x v="1"/>
    <n v="158"/>
    <x v="5"/>
    <x v="5"/>
  </r>
  <r>
    <x v="4"/>
    <x v="2"/>
    <n v="122"/>
    <x v="5"/>
    <x v="5"/>
  </r>
  <r>
    <x v="4"/>
    <x v="3"/>
    <n v="33"/>
    <x v="5"/>
    <x v="5"/>
  </r>
  <r>
    <x v="4"/>
    <x v="4"/>
    <n v="99"/>
    <x v="5"/>
    <x v="5"/>
  </r>
  <r>
    <x v="4"/>
    <x v="5"/>
    <n v="89"/>
    <x v="5"/>
    <x v="5"/>
  </r>
  <r>
    <x v="4"/>
    <x v="6"/>
    <n v="134"/>
    <x v="5"/>
    <x v="5"/>
  </r>
  <r>
    <x v="4"/>
    <x v="7"/>
    <n v="85"/>
    <x v="5"/>
    <x v="5"/>
  </r>
  <r>
    <x v="4"/>
    <x v="8"/>
    <n v="162"/>
    <x v="5"/>
    <x v="5"/>
  </r>
  <r>
    <x v="4"/>
    <x v="9"/>
    <n v="190"/>
    <x v="5"/>
    <x v="5"/>
  </r>
  <r>
    <x v="4"/>
    <x v="10"/>
    <n v="157"/>
    <x v="5"/>
    <x v="5"/>
  </r>
  <r>
    <x v="4"/>
    <x v="11"/>
    <n v="163"/>
    <x v="5"/>
    <x v="5"/>
  </r>
  <r>
    <x v="4"/>
    <x v="12"/>
    <n v="194"/>
    <x v="5"/>
    <x v="5"/>
  </r>
  <r>
    <x v="4"/>
    <x v="13"/>
    <n v="131"/>
    <x v="5"/>
    <x v="5"/>
  </r>
  <r>
    <x v="4"/>
    <x v="14"/>
    <n v="226"/>
    <x v="5"/>
    <x v="5"/>
  </r>
  <r>
    <x v="4"/>
    <x v="15"/>
    <n v="53"/>
    <x v="5"/>
    <x v="5"/>
  </r>
  <r>
    <x v="4"/>
    <x v="16"/>
    <n v="159"/>
    <x v="5"/>
    <x v="5"/>
  </r>
  <r>
    <x v="4"/>
    <x v="17"/>
    <n v="162"/>
    <x v="5"/>
    <x v="5"/>
  </r>
  <r>
    <x v="4"/>
    <x v="18"/>
    <n v="77"/>
    <x v="5"/>
    <x v="5"/>
  </r>
  <r>
    <x v="4"/>
    <x v="19"/>
    <n v="239"/>
    <x v="5"/>
    <x v="5"/>
  </r>
  <r>
    <x v="4"/>
    <x v="20"/>
    <n v="44"/>
    <x v="5"/>
    <x v="5"/>
  </r>
  <r>
    <x v="4"/>
    <x v="21"/>
    <n v="83"/>
    <x v="5"/>
    <x v="5"/>
  </r>
  <r>
    <x v="4"/>
    <x v="22"/>
    <n v="357"/>
    <x v="5"/>
    <x v="5"/>
  </r>
  <r>
    <x v="4"/>
    <x v="23"/>
    <n v="59"/>
    <x v="5"/>
    <x v="5"/>
  </r>
  <r>
    <x v="4"/>
    <x v="24"/>
    <n v="179"/>
    <x v="5"/>
    <x v="5"/>
  </r>
  <r>
    <x v="4"/>
    <x v="25"/>
    <n v="235"/>
    <x v="5"/>
    <x v="5"/>
  </r>
  <r>
    <x v="4"/>
    <x v="26"/>
    <n v="243"/>
    <x v="5"/>
    <x v="5"/>
  </r>
  <r>
    <x v="4"/>
    <x v="27"/>
    <n v="50"/>
    <x v="5"/>
    <x v="5"/>
  </r>
  <r>
    <x v="4"/>
    <x v="28"/>
    <n v="304"/>
    <x v="5"/>
    <x v="5"/>
  </r>
  <r>
    <x v="4"/>
    <x v="29"/>
    <n v="110"/>
    <x v="5"/>
    <x v="5"/>
  </r>
  <r>
    <x v="4"/>
    <x v="30"/>
    <n v="327"/>
    <x v="5"/>
    <x v="5"/>
  </r>
  <r>
    <x v="4"/>
    <x v="31"/>
    <n v="346"/>
    <x v="5"/>
    <x v="5"/>
  </r>
  <r>
    <x v="4"/>
    <x v="32"/>
    <n v="440"/>
    <x v="5"/>
    <x v="5"/>
  </r>
  <r>
    <x v="4"/>
    <x v="33"/>
    <n v="168"/>
    <x v="5"/>
    <x v="5"/>
  </r>
  <r>
    <x v="4"/>
    <x v="34"/>
    <n v="303"/>
    <x v="5"/>
    <x v="5"/>
  </r>
  <r>
    <x v="4"/>
    <x v="35"/>
    <n v="244"/>
    <x v="5"/>
    <x v="5"/>
  </r>
  <r>
    <x v="4"/>
    <x v="36"/>
    <n v="331"/>
    <x v="5"/>
    <x v="5"/>
  </r>
  <r>
    <x v="4"/>
    <x v="37"/>
    <n v="331"/>
    <x v="5"/>
    <x v="5"/>
  </r>
  <r>
    <x v="4"/>
    <x v="38"/>
    <n v="153"/>
    <x v="5"/>
    <x v="5"/>
  </r>
  <r>
    <x v="4"/>
    <x v="39"/>
    <n v="65"/>
    <x v="5"/>
    <x v="5"/>
  </r>
  <r>
    <x v="4"/>
    <x v="40"/>
    <n v="377"/>
    <x v="5"/>
    <x v="5"/>
  </r>
  <r>
    <x v="4"/>
    <x v="41"/>
    <n v="118"/>
    <x v="5"/>
    <x v="5"/>
  </r>
  <r>
    <x v="4"/>
    <x v="42"/>
    <n v="252"/>
    <x v="5"/>
    <x v="5"/>
  </r>
  <r>
    <x v="4"/>
    <x v="43"/>
    <n v="398"/>
    <x v="5"/>
    <x v="5"/>
  </r>
  <r>
    <x v="4"/>
    <x v="44"/>
    <n v="274"/>
    <x v="5"/>
    <x v="5"/>
  </r>
  <r>
    <x v="4"/>
    <x v="45"/>
    <n v="178"/>
    <x v="5"/>
    <x v="5"/>
  </r>
  <r>
    <x v="4"/>
    <x v="46"/>
    <n v="88"/>
    <x v="5"/>
    <x v="5"/>
  </r>
  <r>
    <x v="4"/>
    <x v="47"/>
    <n v="200"/>
    <x v="5"/>
    <x v="5"/>
  </r>
  <r>
    <x v="4"/>
    <x v="48"/>
    <n v="340"/>
    <x v="5"/>
    <x v="5"/>
  </r>
  <r>
    <x v="4"/>
    <x v="49"/>
    <n v="268"/>
    <x v="5"/>
    <x v="5"/>
  </r>
  <r>
    <x v="4"/>
    <x v="50"/>
    <n v="179"/>
    <x v="5"/>
    <x v="5"/>
  </r>
  <r>
    <x v="4"/>
    <x v="51"/>
    <n v="123"/>
    <x v="5"/>
    <x v="5"/>
  </r>
  <r>
    <x v="2"/>
    <x v="0"/>
    <n v="21"/>
    <x v="5"/>
    <x v="5"/>
  </r>
  <r>
    <x v="2"/>
    <x v="1"/>
    <n v="12"/>
    <x v="5"/>
    <x v="5"/>
  </r>
  <r>
    <x v="2"/>
    <x v="2"/>
    <n v="25"/>
    <x v="5"/>
    <x v="5"/>
  </r>
  <r>
    <x v="2"/>
    <x v="3"/>
    <n v="43"/>
    <x v="5"/>
    <x v="5"/>
  </r>
  <r>
    <x v="2"/>
    <x v="4"/>
    <n v="61"/>
    <x v="5"/>
    <x v="5"/>
  </r>
  <r>
    <x v="2"/>
    <x v="5"/>
    <n v="40"/>
    <x v="5"/>
    <x v="5"/>
  </r>
  <r>
    <x v="2"/>
    <x v="6"/>
    <n v="23"/>
    <x v="5"/>
    <x v="5"/>
  </r>
  <r>
    <x v="2"/>
    <x v="7"/>
    <n v="17"/>
    <x v="5"/>
    <x v="5"/>
  </r>
  <r>
    <x v="2"/>
    <x v="8"/>
    <n v="68"/>
    <x v="5"/>
    <x v="5"/>
  </r>
  <r>
    <x v="2"/>
    <x v="9"/>
    <n v="16"/>
    <x v="5"/>
    <x v="5"/>
  </r>
  <r>
    <x v="2"/>
    <x v="10"/>
    <n v="38"/>
    <x v="5"/>
    <x v="5"/>
  </r>
  <r>
    <x v="2"/>
    <x v="11"/>
    <n v="35"/>
    <x v="5"/>
    <x v="5"/>
  </r>
  <r>
    <x v="2"/>
    <x v="12"/>
    <n v="70"/>
    <x v="5"/>
    <x v="5"/>
  </r>
  <r>
    <x v="2"/>
    <x v="13"/>
    <n v="59"/>
    <x v="5"/>
    <x v="5"/>
  </r>
  <r>
    <x v="2"/>
    <x v="14"/>
    <n v="54"/>
    <x v="5"/>
    <x v="5"/>
  </r>
  <r>
    <x v="2"/>
    <x v="15"/>
    <n v="19"/>
    <x v="5"/>
    <x v="5"/>
  </r>
  <r>
    <x v="2"/>
    <x v="16"/>
    <n v="31"/>
    <x v="5"/>
    <x v="5"/>
  </r>
  <r>
    <x v="2"/>
    <x v="17"/>
    <n v="54"/>
    <x v="5"/>
    <x v="5"/>
  </r>
  <r>
    <x v="2"/>
    <x v="18"/>
    <n v="49"/>
    <x v="5"/>
    <x v="5"/>
  </r>
  <r>
    <x v="2"/>
    <x v="19"/>
    <n v="11"/>
    <x v="5"/>
    <x v="5"/>
  </r>
  <r>
    <x v="2"/>
    <x v="20"/>
    <n v="105"/>
    <x v="5"/>
    <x v="5"/>
  </r>
  <r>
    <x v="2"/>
    <x v="21"/>
    <n v="53"/>
    <x v="5"/>
    <x v="5"/>
  </r>
  <r>
    <x v="2"/>
    <x v="22"/>
    <n v="102"/>
    <x v="5"/>
    <x v="5"/>
  </r>
  <r>
    <x v="2"/>
    <x v="23"/>
    <n v="25"/>
    <x v="5"/>
    <x v="5"/>
  </r>
  <r>
    <x v="2"/>
    <x v="24"/>
    <n v="108"/>
    <x v="5"/>
    <x v="5"/>
  </r>
  <r>
    <x v="2"/>
    <x v="25"/>
    <n v="14"/>
    <x v="5"/>
    <x v="5"/>
  </r>
  <r>
    <x v="2"/>
    <x v="26"/>
    <n v="19"/>
    <x v="5"/>
    <x v="5"/>
  </r>
  <r>
    <x v="2"/>
    <x v="27"/>
    <n v="35"/>
    <x v="5"/>
    <x v="5"/>
  </r>
  <r>
    <x v="2"/>
    <x v="28"/>
    <n v="64"/>
    <x v="5"/>
    <x v="5"/>
  </r>
  <r>
    <x v="2"/>
    <x v="29"/>
    <n v="34"/>
    <x v="5"/>
    <x v="5"/>
  </r>
  <r>
    <x v="2"/>
    <x v="30"/>
    <n v="84"/>
    <x v="5"/>
    <x v="5"/>
  </r>
  <r>
    <x v="2"/>
    <x v="31"/>
    <n v="16"/>
    <x v="5"/>
    <x v="5"/>
  </r>
  <r>
    <x v="2"/>
    <x v="32"/>
    <n v="92"/>
    <x v="5"/>
    <x v="5"/>
  </r>
  <r>
    <x v="2"/>
    <x v="33"/>
    <n v="54"/>
    <x v="5"/>
    <x v="5"/>
  </r>
  <r>
    <x v="2"/>
    <x v="34"/>
    <n v="128"/>
    <x v="5"/>
    <x v="5"/>
  </r>
  <r>
    <x v="2"/>
    <x v="35"/>
    <n v="89"/>
    <x v="5"/>
    <x v="5"/>
  </r>
  <r>
    <x v="2"/>
    <x v="36"/>
    <n v="158"/>
    <x v="5"/>
    <x v="5"/>
  </r>
  <r>
    <x v="2"/>
    <x v="37"/>
    <n v="52"/>
    <x v="5"/>
    <x v="5"/>
  </r>
  <r>
    <x v="2"/>
    <x v="38"/>
    <n v="34"/>
    <x v="5"/>
    <x v="5"/>
  </r>
  <r>
    <x v="2"/>
    <x v="39"/>
    <n v="83"/>
    <x v="5"/>
    <x v="5"/>
  </r>
  <r>
    <x v="2"/>
    <x v="40"/>
    <n v="71"/>
    <x v="5"/>
    <x v="5"/>
  </r>
  <r>
    <x v="2"/>
    <x v="41"/>
    <n v="137"/>
    <x v="5"/>
    <x v="5"/>
  </r>
  <r>
    <x v="2"/>
    <x v="42"/>
    <n v="29"/>
    <x v="5"/>
    <x v="5"/>
  </r>
  <r>
    <x v="2"/>
    <x v="43"/>
    <n v="128"/>
    <x v="5"/>
    <x v="5"/>
  </r>
  <r>
    <x v="2"/>
    <x v="44"/>
    <n v="62"/>
    <x v="5"/>
    <x v="5"/>
  </r>
  <r>
    <x v="2"/>
    <x v="45"/>
    <n v="172"/>
    <x v="5"/>
    <x v="5"/>
  </r>
  <r>
    <x v="2"/>
    <x v="46"/>
    <n v="130"/>
    <x v="5"/>
    <x v="5"/>
  </r>
  <r>
    <x v="2"/>
    <x v="47"/>
    <n v="38"/>
    <x v="5"/>
    <x v="5"/>
  </r>
  <r>
    <x v="2"/>
    <x v="48"/>
    <n v="105"/>
    <x v="5"/>
    <x v="5"/>
  </r>
  <r>
    <x v="2"/>
    <x v="49"/>
    <n v="54"/>
    <x v="5"/>
    <x v="5"/>
  </r>
  <r>
    <x v="2"/>
    <x v="50"/>
    <n v="70"/>
    <x v="5"/>
    <x v="5"/>
  </r>
  <r>
    <x v="2"/>
    <x v="51"/>
    <n v="66"/>
    <x v="5"/>
    <x v="5"/>
  </r>
  <r>
    <x v="3"/>
    <x v="0"/>
    <n v="284"/>
    <x v="5"/>
    <x v="5"/>
  </r>
  <r>
    <x v="3"/>
    <x v="1"/>
    <n v="299"/>
    <x v="5"/>
    <x v="5"/>
  </r>
  <r>
    <x v="3"/>
    <x v="2"/>
    <n v="249"/>
    <x v="5"/>
    <x v="5"/>
  </r>
  <r>
    <x v="3"/>
    <x v="3"/>
    <n v="276"/>
    <x v="5"/>
    <x v="5"/>
  </r>
  <r>
    <x v="3"/>
    <x v="4"/>
    <n v="231"/>
    <x v="5"/>
    <x v="5"/>
  </r>
  <r>
    <x v="3"/>
    <x v="5"/>
    <n v="260"/>
    <x v="5"/>
    <x v="5"/>
  </r>
  <r>
    <x v="3"/>
    <x v="6"/>
    <n v="165"/>
    <x v="5"/>
    <x v="5"/>
  </r>
  <r>
    <x v="3"/>
    <x v="7"/>
    <n v="333"/>
    <x v="5"/>
    <x v="5"/>
  </r>
  <r>
    <x v="3"/>
    <x v="8"/>
    <n v="163"/>
    <x v="5"/>
    <x v="5"/>
  </r>
  <r>
    <x v="3"/>
    <x v="9"/>
    <n v="94"/>
    <x v="5"/>
    <x v="5"/>
  </r>
  <r>
    <x v="3"/>
    <x v="10"/>
    <n v="210"/>
    <x v="5"/>
    <x v="5"/>
  </r>
  <r>
    <x v="3"/>
    <x v="11"/>
    <n v="183"/>
    <x v="5"/>
    <x v="5"/>
  </r>
  <r>
    <x v="3"/>
    <x v="12"/>
    <n v="394"/>
    <x v="5"/>
    <x v="5"/>
  </r>
  <r>
    <x v="3"/>
    <x v="13"/>
    <n v="434"/>
    <x v="5"/>
    <x v="5"/>
  </r>
  <r>
    <x v="3"/>
    <x v="14"/>
    <n v="428"/>
    <x v="5"/>
    <x v="5"/>
  </r>
  <r>
    <x v="3"/>
    <x v="15"/>
    <n v="485"/>
    <x v="5"/>
    <x v="5"/>
  </r>
  <r>
    <x v="3"/>
    <x v="16"/>
    <n v="161"/>
    <x v="5"/>
    <x v="5"/>
  </r>
  <r>
    <x v="3"/>
    <x v="17"/>
    <n v="95"/>
    <x v="5"/>
    <x v="5"/>
  </r>
  <r>
    <x v="3"/>
    <x v="18"/>
    <n v="477"/>
    <x v="5"/>
    <x v="5"/>
  </r>
  <r>
    <x v="3"/>
    <x v="19"/>
    <n v="211"/>
    <x v="5"/>
    <x v="5"/>
  </r>
  <r>
    <x v="3"/>
    <x v="20"/>
    <n v="509"/>
    <x v="5"/>
    <x v="5"/>
  </r>
  <r>
    <x v="3"/>
    <x v="21"/>
    <n v="280"/>
    <x v="5"/>
    <x v="5"/>
  </r>
  <r>
    <x v="3"/>
    <x v="22"/>
    <n v="175"/>
    <x v="5"/>
    <x v="5"/>
  </r>
  <r>
    <x v="3"/>
    <x v="23"/>
    <n v="338"/>
    <x v="5"/>
    <x v="5"/>
  </r>
  <r>
    <x v="3"/>
    <x v="24"/>
    <n v="280"/>
    <x v="5"/>
    <x v="5"/>
  </r>
  <r>
    <x v="3"/>
    <x v="25"/>
    <n v="533"/>
    <x v="5"/>
    <x v="5"/>
  </r>
  <r>
    <x v="3"/>
    <x v="26"/>
    <n v="96"/>
    <x v="5"/>
    <x v="5"/>
  </r>
  <r>
    <x v="3"/>
    <x v="27"/>
    <n v="472"/>
    <x v="5"/>
    <x v="5"/>
  </r>
  <r>
    <x v="3"/>
    <x v="28"/>
    <n v="211"/>
    <x v="5"/>
    <x v="5"/>
  </r>
  <r>
    <x v="3"/>
    <x v="29"/>
    <n v="269"/>
    <x v="5"/>
    <x v="5"/>
  </r>
  <r>
    <x v="3"/>
    <x v="30"/>
    <n v="223"/>
    <x v="5"/>
    <x v="5"/>
  </r>
  <r>
    <x v="3"/>
    <x v="31"/>
    <n v="452"/>
    <x v="5"/>
    <x v="5"/>
  </r>
  <r>
    <x v="3"/>
    <x v="32"/>
    <n v="506"/>
    <x v="5"/>
    <x v="5"/>
  </r>
  <r>
    <x v="3"/>
    <x v="33"/>
    <n v="137"/>
    <x v="5"/>
    <x v="5"/>
  </r>
  <r>
    <x v="3"/>
    <x v="34"/>
    <n v="370"/>
    <x v="5"/>
    <x v="5"/>
  </r>
  <r>
    <x v="3"/>
    <x v="35"/>
    <n v="337"/>
    <x v="5"/>
    <x v="5"/>
  </r>
  <r>
    <x v="3"/>
    <x v="36"/>
    <n v="550"/>
    <x v="5"/>
    <x v="5"/>
  </r>
  <r>
    <x v="3"/>
    <x v="37"/>
    <n v="94"/>
    <x v="5"/>
    <x v="5"/>
  </r>
  <r>
    <x v="3"/>
    <x v="38"/>
    <n v="253"/>
    <x v="5"/>
    <x v="5"/>
  </r>
  <r>
    <x v="3"/>
    <x v="39"/>
    <n v="610"/>
    <x v="5"/>
    <x v="5"/>
  </r>
  <r>
    <x v="3"/>
    <x v="40"/>
    <n v="730"/>
    <x v="5"/>
    <x v="5"/>
  </r>
  <r>
    <x v="3"/>
    <x v="41"/>
    <n v="776"/>
    <x v="5"/>
    <x v="5"/>
  </r>
  <r>
    <x v="3"/>
    <x v="42"/>
    <n v="355"/>
    <x v="5"/>
    <x v="5"/>
  </r>
  <r>
    <x v="3"/>
    <x v="43"/>
    <n v="118"/>
    <x v="5"/>
    <x v="5"/>
  </r>
  <r>
    <x v="3"/>
    <x v="44"/>
    <n v="737"/>
    <x v="5"/>
    <x v="5"/>
  </r>
  <r>
    <x v="3"/>
    <x v="45"/>
    <n v="684"/>
    <x v="5"/>
    <x v="5"/>
  </r>
  <r>
    <x v="3"/>
    <x v="46"/>
    <n v="217"/>
    <x v="5"/>
    <x v="5"/>
  </r>
  <r>
    <x v="3"/>
    <x v="47"/>
    <n v="533"/>
    <x v="5"/>
    <x v="5"/>
  </r>
  <r>
    <x v="3"/>
    <x v="48"/>
    <n v="352"/>
    <x v="5"/>
    <x v="5"/>
  </r>
  <r>
    <x v="3"/>
    <x v="49"/>
    <n v="679"/>
    <x v="5"/>
    <x v="5"/>
  </r>
  <r>
    <x v="3"/>
    <x v="50"/>
    <n v="249"/>
    <x v="5"/>
    <x v="5"/>
  </r>
  <r>
    <x v="3"/>
    <x v="51"/>
    <n v="394"/>
    <x v="5"/>
    <x v="5"/>
  </r>
  <r>
    <x v="3"/>
    <x v="0"/>
    <n v="330"/>
    <x v="6"/>
    <x v="6"/>
  </r>
  <r>
    <x v="3"/>
    <x v="1"/>
    <n v="100"/>
    <x v="6"/>
    <x v="6"/>
  </r>
  <r>
    <x v="3"/>
    <x v="2"/>
    <n v="279"/>
    <x v="6"/>
    <x v="6"/>
  </r>
  <r>
    <x v="3"/>
    <x v="3"/>
    <n v="235"/>
    <x v="6"/>
    <x v="6"/>
  </r>
  <r>
    <x v="3"/>
    <x v="4"/>
    <n v="405"/>
    <x v="6"/>
    <x v="6"/>
  </r>
  <r>
    <x v="3"/>
    <x v="5"/>
    <n v="184"/>
    <x v="6"/>
    <x v="6"/>
  </r>
  <r>
    <x v="3"/>
    <x v="6"/>
    <n v="252"/>
    <x v="6"/>
    <x v="6"/>
  </r>
  <r>
    <x v="3"/>
    <x v="7"/>
    <n v="150"/>
    <x v="6"/>
    <x v="6"/>
  </r>
  <r>
    <x v="3"/>
    <x v="8"/>
    <n v="272"/>
    <x v="6"/>
    <x v="6"/>
  </r>
  <r>
    <x v="3"/>
    <x v="9"/>
    <n v="532"/>
    <x v="6"/>
    <x v="6"/>
  </r>
  <r>
    <x v="3"/>
    <x v="10"/>
    <n v="414"/>
    <x v="6"/>
    <x v="6"/>
  </r>
  <r>
    <x v="3"/>
    <x v="11"/>
    <n v="393"/>
    <x v="6"/>
    <x v="6"/>
  </r>
  <r>
    <x v="3"/>
    <x v="12"/>
    <n v="493"/>
    <x v="6"/>
    <x v="6"/>
  </r>
  <r>
    <x v="3"/>
    <x v="13"/>
    <n v="619"/>
    <x v="6"/>
    <x v="6"/>
  </r>
  <r>
    <x v="3"/>
    <x v="14"/>
    <n v="201"/>
    <x v="6"/>
    <x v="6"/>
  </r>
  <r>
    <x v="3"/>
    <x v="15"/>
    <n v="192"/>
    <x v="6"/>
    <x v="6"/>
  </r>
  <r>
    <x v="3"/>
    <x v="16"/>
    <n v="682"/>
    <x v="6"/>
    <x v="6"/>
  </r>
  <r>
    <x v="3"/>
    <x v="17"/>
    <n v="531"/>
    <x v="6"/>
    <x v="6"/>
  </r>
  <r>
    <x v="3"/>
    <x v="18"/>
    <n v="589"/>
    <x v="6"/>
    <x v="6"/>
  </r>
  <r>
    <x v="3"/>
    <x v="19"/>
    <n v="473"/>
    <x v="6"/>
    <x v="6"/>
  </r>
  <r>
    <x v="3"/>
    <x v="20"/>
    <n v="302"/>
    <x v="6"/>
    <x v="6"/>
  </r>
  <r>
    <x v="3"/>
    <x v="21"/>
    <n v="560"/>
    <x v="6"/>
    <x v="6"/>
  </r>
  <r>
    <x v="3"/>
    <x v="22"/>
    <n v="692"/>
    <x v="6"/>
    <x v="6"/>
  </r>
  <r>
    <x v="3"/>
    <x v="23"/>
    <n v="461"/>
    <x v="6"/>
    <x v="6"/>
  </r>
  <r>
    <x v="3"/>
    <x v="24"/>
    <n v="788"/>
    <x v="6"/>
    <x v="6"/>
  </r>
  <r>
    <x v="3"/>
    <x v="25"/>
    <n v="458"/>
    <x v="6"/>
    <x v="6"/>
  </r>
  <r>
    <x v="3"/>
    <x v="26"/>
    <n v="488"/>
    <x v="6"/>
    <x v="6"/>
  </r>
  <r>
    <x v="3"/>
    <x v="27"/>
    <n v="772"/>
    <x v="6"/>
    <x v="6"/>
  </r>
  <r>
    <x v="3"/>
    <x v="28"/>
    <n v="1209"/>
    <x v="6"/>
    <x v="6"/>
  </r>
  <r>
    <x v="3"/>
    <x v="29"/>
    <n v="140"/>
    <x v="6"/>
    <x v="6"/>
  </r>
  <r>
    <x v="3"/>
    <x v="30"/>
    <n v="301"/>
    <x v="6"/>
    <x v="6"/>
  </r>
  <r>
    <x v="3"/>
    <x v="31"/>
    <n v="873"/>
    <x v="6"/>
    <x v="6"/>
  </r>
  <r>
    <x v="3"/>
    <x v="32"/>
    <n v="354"/>
    <x v="6"/>
    <x v="6"/>
  </r>
  <r>
    <x v="3"/>
    <x v="33"/>
    <n v="733"/>
    <x v="6"/>
    <x v="6"/>
  </r>
  <r>
    <x v="3"/>
    <x v="34"/>
    <n v="657"/>
    <x v="6"/>
    <x v="6"/>
  </r>
  <r>
    <x v="3"/>
    <x v="35"/>
    <n v="1060"/>
    <x v="6"/>
    <x v="6"/>
  </r>
  <r>
    <x v="3"/>
    <x v="36"/>
    <n v="873"/>
    <x v="6"/>
    <x v="6"/>
  </r>
  <r>
    <x v="3"/>
    <x v="37"/>
    <n v="492"/>
    <x v="6"/>
    <x v="6"/>
  </r>
  <r>
    <x v="3"/>
    <x v="38"/>
    <n v="132"/>
    <x v="6"/>
    <x v="6"/>
  </r>
  <r>
    <x v="3"/>
    <x v="39"/>
    <n v="857"/>
    <x v="6"/>
    <x v="6"/>
  </r>
  <r>
    <x v="3"/>
    <x v="40"/>
    <n v="661"/>
    <x v="6"/>
    <x v="6"/>
  </r>
  <r>
    <x v="3"/>
    <x v="41"/>
    <n v="986"/>
    <x v="6"/>
    <x v="6"/>
  </r>
  <r>
    <x v="3"/>
    <x v="42"/>
    <n v="390"/>
    <x v="6"/>
    <x v="6"/>
  </r>
  <r>
    <x v="3"/>
    <x v="43"/>
    <n v="771"/>
    <x v="6"/>
    <x v="6"/>
  </r>
  <r>
    <x v="3"/>
    <x v="44"/>
    <n v="1149"/>
    <x v="6"/>
    <x v="6"/>
  </r>
  <r>
    <x v="3"/>
    <x v="45"/>
    <n v="374"/>
    <x v="6"/>
    <x v="6"/>
  </r>
  <r>
    <x v="3"/>
    <x v="46"/>
    <n v="739"/>
    <x v="6"/>
    <x v="6"/>
  </r>
  <r>
    <x v="3"/>
    <x v="47"/>
    <n v="640"/>
    <x v="6"/>
    <x v="6"/>
  </r>
  <r>
    <x v="3"/>
    <x v="48"/>
    <n v="813"/>
    <x v="6"/>
    <x v="6"/>
  </r>
  <r>
    <x v="3"/>
    <x v="49"/>
    <n v="275"/>
    <x v="6"/>
    <x v="6"/>
  </r>
  <r>
    <x v="3"/>
    <x v="50"/>
    <n v="484"/>
    <x v="6"/>
    <x v="6"/>
  </r>
  <r>
    <x v="3"/>
    <x v="51"/>
    <n v="904"/>
    <x v="6"/>
    <x v="6"/>
  </r>
  <r>
    <x v="4"/>
    <x v="0"/>
    <n v="298"/>
    <x v="6"/>
    <x v="6"/>
  </r>
  <r>
    <x v="4"/>
    <x v="1"/>
    <n v="108"/>
    <x v="6"/>
    <x v="6"/>
  </r>
  <r>
    <x v="4"/>
    <x v="2"/>
    <n v="359"/>
    <x v="6"/>
    <x v="6"/>
  </r>
  <r>
    <x v="4"/>
    <x v="3"/>
    <n v="576"/>
    <x v="6"/>
    <x v="6"/>
  </r>
  <r>
    <x v="4"/>
    <x v="4"/>
    <n v="400"/>
    <x v="6"/>
    <x v="6"/>
  </r>
  <r>
    <x v="4"/>
    <x v="5"/>
    <n v="247"/>
    <x v="6"/>
    <x v="6"/>
  </r>
  <r>
    <x v="4"/>
    <x v="6"/>
    <n v="181"/>
    <x v="6"/>
    <x v="6"/>
  </r>
  <r>
    <x v="4"/>
    <x v="7"/>
    <n v="262"/>
    <x v="6"/>
    <x v="6"/>
  </r>
  <r>
    <x v="4"/>
    <x v="8"/>
    <n v="417"/>
    <x v="6"/>
    <x v="6"/>
  </r>
  <r>
    <x v="4"/>
    <x v="9"/>
    <n v="533"/>
    <x v="6"/>
    <x v="6"/>
  </r>
  <r>
    <x v="4"/>
    <x v="10"/>
    <n v="239"/>
    <x v="6"/>
    <x v="6"/>
  </r>
  <r>
    <x v="4"/>
    <x v="11"/>
    <n v="425"/>
    <x v="6"/>
    <x v="6"/>
  </r>
  <r>
    <x v="4"/>
    <x v="12"/>
    <n v="476"/>
    <x v="6"/>
    <x v="6"/>
  </r>
  <r>
    <x v="4"/>
    <x v="13"/>
    <n v="309"/>
    <x v="6"/>
    <x v="6"/>
  </r>
  <r>
    <x v="4"/>
    <x v="14"/>
    <n v="499"/>
    <x v="6"/>
    <x v="6"/>
  </r>
  <r>
    <x v="4"/>
    <x v="15"/>
    <n v="494"/>
    <x v="6"/>
    <x v="6"/>
  </r>
  <r>
    <x v="4"/>
    <x v="16"/>
    <n v="294"/>
    <x v="6"/>
    <x v="6"/>
  </r>
  <r>
    <x v="4"/>
    <x v="17"/>
    <n v="511"/>
    <x v="6"/>
    <x v="6"/>
  </r>
  <r>
    <x v="4"/>
    <x v="18"/>
    <n v="648"/>
    <x v="6"/>
    <x v="6"/>
  </r>
  <r>
    <x v="4"/>
    <x v="19"/>
    <n v="796"/>
    <x v="6"/>
    <x v="6"/>
  </r>
  <r>
    <x v="4"/>
    <x v="20"/>
    <n v="673"/>
    <x v="6"/>
    <x v="6"/>
  </r>
  <r>
    <x v="4"/>
    <x v="21"/>
    <n v="544"/>
    <x v="6"/>
    <x v="6"/>
  </r>
  <r>
    <x v="4"/>
    <x v="22"/>
    <n v="315"/>
    <x v="6"/>
    <x v="6"/>
  </r>
  <r>
    <x v="4"/>
    <x v="23"/>
    <n v="138"/>
    <x v="6"/>
    <x v="6"/>
  </r>
  <r>
    <x v="4"/>
    <x v="24"/>
    <n v="369"/>
    <x v="6"/>
    <x v="6"/>
  </r>
  <r>
    <x v="4"/>
    <x v="25"/>
    <n v="679"/>
    <x v="6"/>
    <x v="6"/>
  </r>
  <r>
    <x v="4"/>
    <x v="26"/>
    <n v="466"/>
    <x v="6"/>
    <x v="6"/>
  </r>
  <r>
    <x v="4"/>
    <x v="27"/>
    <n v="465"/>
    <x v="6"/>
    <x v="6"/>
  </r>
  <r>
    <x v="4"/>
    <x v="28"/>
    <n v="235"/>
    <x v="6"/>
    <x v="6"/>
  </r>
  <r>
    <x v="4"/>
    <x v="29"/>
    <n v="558"/>
    <x v="6"/>
    <x v="6"/>
  </r>
  <r>
    <x v="4"/>
    <x v="30"/>
    <n v="505"/>
    <x v="6"/>
    <x v="6"/>
  </r>
  <r>
    <x v="4"/>
    <x v="31"/>
    <n v="291"/>
    <x v="6"/>
    <x v="6"/>
  </r>
  <r>
    <x v="4"/>
    <x v="32"/>
    <n v="333"/>
    <x v="6"/>
    <x v="6"/>
  </r>
  <r>
    <x v="4"/>
    <x v="33"/>
    <n v="313"/>
    <x v="6"/>
    <x v="6"/>
  </r>
  <r>
    <x v="4"/>
    <x v="34"/>
    <n v="545"/>
    <x v="6"/>
    <x v="6"/>
  </r>
  <r>
    <x v="4"/>
    <x v="35"/>
    <n v="845"/>
    <x v="6"/>
    <x v="6"/>
  </r>
  <r>
    <x v="4"/>
    <x v="36"/>
    <n v="210"/>
    <x v="6"/>
    <x v="6"/>
  </r>
  <r>
    <x v="4"/>
    <x v="37"/>
    <n v="921"/>
    <x v="6"/>
    <x v="6"/>
  </r>
  <r>
    <x v="4"/>
    <x v="38"/>
    <n v="1144"/>
    <x v="6"/>
    <x v="6"/>
  </r>
  <r>
    <x v="4"/>
    <x v="39"/>
    <n v="458"/>
    <x v="6"/>
    <x v="6"/>
  </r>
  <r>
    <x v="4"/>
    <x v="40"/>
    <n v="308"/>
    <x v="6"/>
    <x v="6"/>
  </r>
  <r>
    <x v="4"/>
    <x v="41"/>
    <n v="469"/>
    <x v="6"/>
    <x v="6"/>
  </r>
  <r>
    <x v="4"/>
    <x v="42"/>
    <n v="537"/>
    <x v="6"/>
    <x v="6"/>
  </r>
  <r>
    <x v="4"/>
    <x v="43"/>
    <n v="609"/>
    <x v="6"/>
    <x v="6"/>
  </r>
  <r>
    <x v="4"/>
    <x v="44"/>
    <n v="886"/>
    <x v="6"/>
    <x v="6"/>
  </r>
  <r>
    <x v="4"/>
    <x v="45"/>
    <n v="859"/>
    <x v="6"/>
    <x v="6"/>
  </r>
  <r>
    <x v="4"/>
    <x v="46"/>
    <n v="1133"/>
    <x v="6"/>
    <x v="6"/>
  </r>
  <r>
    <x v="4"/>
    <x v="47"/>
    <n v="484"/>
    <x v="6"/>
    <x v="6"/>
  </r>
  <r>
    <x v="4"/>
    <x v="48"/>
    <n v="209"/>
    <x v="6"/>
    <x v="6"/>
  </r>
  <r>
    <x v="4"/>
    <x v="49"/>
    <n v="423"/>
    <x v="6"/>
    <x v="6"/>
  </r>
  <r>
    <x v="4"/>
    <x v="50"/>
    <n v="488"/>
    <x v="6"/>
    <x v="6"/>
  </r>
  <r>
    <x v="4"/>
    <x v="51"/>
    <n v="698"/>
    <x v="6"/>
    <x v="6"/>
  </r>
  <r>
    <x v="5"/>
    <x v="0"/>
    <n v="170"/>
    <x v="6"/>
    <x v="6"/>
  </r>
  <r>
    <x v="5"/>
    <x v="1"/>
    <n v="369"/>
    <x v="6"/>
    <x v="6"/>
  </r>
  <r>
    <x v="5"/>
    <x v="2"/>
    <n v="106"/>
    <x v="6"/>
    <x v="6"/>
  </r>
  <r>
    <x v="5"/>
    <x v="3"/>
    <n v="353"/>
    <x v="6"/>
    <x v="6"/>
  </r>
  <r>
    <x v="5"/>
    <x v="4"/>
    <n v="225"/>
    <x v="6"/>
    <x v="6"/>
  </r>
  <r>
    <x v="5"/>
    <x v="5"/>
    <n v="446"/>
    <x v="6"/>
    <x v="6"/>
  </r>
  <r>
    <x v="5"/>
    <x v="6"/>
    <n v="198"/>
    <x v="6"/>
    <x v="6"/>
  </r>
  <r>
    <x v="5"/>
    <x v="7"/>
    <n v="379"/>
    <x v="6"/>
    <x v="6"/>
  </r>
  <r>
    <x v="5"/>
    <x v="8"/>
    <n v="247"/>
    <x v="6"/>
    <x v="6"/>
  </r>
  <r>
    <x v="5"/>
    <x v="9"/>
    <n v="414"/>
    <x v="6"/>
    <x v="6"/>
  </r>
  <r>
    <x v="5"/>
    <x v="10"/>
    <n v="110"/>
    <x v="6"/>
    <x v="6"/>
  </r>
  <r>
    <x v="5"/>
    <x v="11"/>
    <n v="284"/>
    <x v="6"/>
    <x v="6"/>
  </r>
  <r>
    <x v="5"/>
    <x v="12"/>
    <n v="524"/>
    <x v="6"/>
    <x v="6"/>
  </r>
  <r>
    <x v="5"/>
    <x v="13"/>
    <n v="177"/>
    <x v="6"/>
    <x v="6"/>
  </r>
  <r>
    <x v="5"/>
    <x v="14"/>
    <n v="414"/>
    <x v="6"/>
    <x v="6"/>
  </r>
  <r>
    <x v="5"/>
    <x v="15"/>
    <n v="626"/>
    <x v="6"/>
    <x v="6"/>
  </r>
  <r>
    <x v="5"/>
    <x v="16"/>
    <n v="335"/>
    <x v="6"/>
    <x v="6"/>
  </r>
  <r>
    <x v="5"/>
    <x v="17"/>
    <n v="615"/>
    <x v="6"/>
    <x v="6"/>
  </r>
  <r>
    <x v="5"/>
    <x v="18"/>
    <n v="399"/>
    <x v="6"/>
    <x v="6"/>
  </r>
  <r>
    <x v="5"/>
    <x v="19"/>
    <n v="90"/>
    <x v="6"/>
    <x v="6"/>
  </r>
  <r>
    <x v="5"/>
    <x v="20"/>
    <n v="178"/>
    <x v="6"/>
    <x v="6"/>
  </r>
  <r>
    <x v="5"/>
    <x v="21"/>
    <n v="476"/>
    <x v="6"/>
    <x v="6"/>
  </r>
  <r>
    <x v="5"/>
    <x v="22"/>
    <n v="378"/>
    <x v="6"/>
    <x v="6"/>
  </r>
  <r>
    <x v="5"/>
    <x v="23"/>
    <n v="128"/>
    <x v="6"/>
    <x v="6"/>
  </r>
  <r>
    <x v="5"/>
    <x v="24"/>
    <n v="284"/>
    <x v="6"/>
    <x v="6"/>
  </r>
  <r>
    <x v="5"/>
    <x v="25"/>
    <n v="371"/>
    <x v="6"/>
    <x v="6"/>
  </r>
  <r>
    <x v="5"/>
    <x v="26"/>
    <n v="166"/>
    <x v="6"/>
    <x v="6"/>
  </r>
  <r>
    <x v="5"/>
    <x v="27"/>
    <n v="701"/>
    <x v="6"/>
    <x v="6"/>
  </r>
  <r>
    <x v="5"/>
    <x v="28"/>
    <n v="480"/>
    <x v="6"/>
    <x v="6"/>
  </r>
  <r>
    <x v="5"/>
    <x v="29"/>
    <n v="292"/>
    <x v="6"/>
    <x v="6"/>
  </r>
  <r>
    <x v="5"/>
    <x v="30"/>
    <n v="922"/>
    <x v="6"/>
    <x v="6"/>
  </r>
  <r>
    <x v="5"/>
    <x v="31"/>
    <n v="130"/>
    <x v="6"/>
    <x v="6"/>
  </r>
  <r>
    <x v="5"/>
    <x v="32"/>
    <n v="336"/>
    <x v="6"/>
    <x v="6"/>
  </r>
  <r>
    <x v="5"/>
    <x v="33"/>
    <n v="384"/>
    <x v="6"/>
    <x v="6"/>
  </r>
  <r>
    <x v="5"/>
    <x v="34"/>
    <n v="344"/>
    <x v="6"/>
    <x v="6"/>
  </r>
  <r>
    <x v="5"/>
    <x v="35"/>
    <n v="370"/>
    <x v="6"/>
    <x v="6"/>
  </r>
  <r>
    <x v="5"/>
    <x v="36"/>
    <n v="298"/>
    <x v="6"/>
    <x v="6"/>
  </r>
  <r>
    <x v="5"/>
    <x v="37"/>
    <n v="290"/>
    <x v="6"/>
    <x v="6"/>
  </r>
  <r>
    <x v="5"/>
    <x v="38"/>
    <n v="814"/>
    <x v="6"/>
    <x v="6"/>
  </r>
  <r>
    <x v="5"/>
    <x v="39"/>
    <n v="676"/>
    <x v="6"/>
    <x v="6"/>
  </r>
  <r>
    <x v="5"/>
    <x v="40"/>
    <n v="592"/>
    <x v="6"/>
    <x v="6"/>
  </r>
  <r>
    <x v="5"/>
    <x v="41"/>
    <n v="304"/>
    <x v="6"/>
    <x v="6"/>
  </r>
  <r>
    <x v="5"/>
    <x v="42"/>
    <n v="118"/>
    <x v="6"/>
    <x v="6"/>
  </r>
  <r>
    <x v="5"/>
    <x v="43"/>
    <n v="1132"/>
    <x v="6"/>
    <x v="6"/>
  </r>
  <r>
    <x v="5"/>
    <x v="44"/>
    <n v="525"/>
    <x v="6"/>
    <x v="6"/>
  </r>
  <r>
    <x v="5"/>
    <x v="45"/>
    <n v="742"/>
    <x v="6"/>
    <x v="6"/>
  </r>
  <r>
    <x v="5"/>
    <x v="46"/>
    <n v="836"/>
    <x v="6"/>
    <x v="6"/>
  </r>
  <r>
    <x v="5"/>
    <x v="47"/>
    <n v="993"/>
    <x v="6"/>
    <x v="6"/>
  </r>
  <r>
    <x v="5"/>
    <x v="48"/>
    <n v="347"/>
    <x v="6"/>
    <x v="6"/>
  </r>
  <r>
    <x v="5"/>
    <x v="49"/>
    <n v="519"/>
    <x v="6"/>
    <x v="6"/>
  </r>
  <r>
    <x v="5"/>
    <x v="50"/>
    <n v="441"/>
    <x v="6"/>
    <x v="6"/>
  </r>
  <r>
    <x v="5"/>
    <x v="51"/>
    <n v="188"/>
    <x v="6"/>
    <x v="6"/>
  </r>
  <r>
    <x v="5"/>
    <x v="0"/>
    <n v="217"/>
    <x v="7"/>
    <x v="7"/>
  </r>
  <r>
    <x v="5"/>
    <x v="1"/>
    <n v="232"/>
    <x v="7"/>
    <x v="7"/>
  </r>
  <r>
    <x v="5"/>
    <x v="2"/>
    <n v="78"/>
    <x v="7"/>
    <x v="7"/>
  </r>
  <r>
    <x v="5"/>
    <x v="3"/>
    <n v="277"/>
    <x v="7"/>
    <x v="7"/>
  </r>
  <r>
    <x v="5"/>
    <x v="4"/>
    <n v="119"/>
    <x v="7"/>
    <x v="7"/>
  </r>
  <r>
    <x v="5"/>
    <x v="5"/>
    <n v="318"/>
    <x v="7"/>
    <x v="7"/>
  </r>
  <r>
    <x v="5"/>
    <x v="6"/>
    <n v="216"/>
    <x v="7"/>
    <x v="7"/>
  </r>
  <r>
    <x v="5"/>
    <x v="7"/>
    <n v="202"/>
    <x v="7"/>
    <x v="7"/>
  </r>
  <r>
    <x v="5"/>
    <x v="8"/>
    <n v="165"/>
    <x v="7"/>
    <x v="7"/>
  </r>
  <r>
    <x v="5"/>
    <x v="9"/>
    <n v="413"/>
    <x v="7"/>
    <x v="7"/>
  </r>
  <r>
    <x v="5"/>
    <x v="10"/>
    <n v="147"/>
    <x v="7"/>
    <x v="7"/>
  </r>
  <r>
    <x v="5"/>
    <x v="11"/>
    <n v="334"/>
    <x v="7"/>
    <x v="7"/>
  </r>
  <r>
    <x v="5"/>
    <x v="12"/>
    <n v="422"/>
    <x v="7"/>
    <x v="7"/>
  </r>
  <r>
    <x v="5"/>
    <x v="13"/>
    <n v="103"/>
    <x v="7"/>
    <x v="7"/>
  </r>
  <r>
    <x v="5"/>
    <x v="14"/>
    <n v="527"/>
    <x v="7"/>
    <x v="7"/>
  </r>
  <r>
    <x v="5"/>
    <x v="15"/>
    <n v="302"/>
    <x v="7"/>
    <x v="7"/>
  </r>
  <r>
    <x v="5"/>
    <x v="16"/>
    <n v="188"/>
    <x v="7"/>
    <x v="7"/>
  </r>
  <r>
    <x v="5"/>
    <x v="17"/>
    <n v="238"/>
    <x v="7"/>
    <x v="7"/>
  </r>
  <r>
    <x v="5"/>
    <x v="18"/>
    <n v="141"/>
    <x v="7"/>
    <x v="7"/>
  </r>
  <r>
    <x v="5"/>
    <x v="19"/>
    <n v="395"/>
    <x v="7"/>
    <x v="7"/>
  </r>
  <r>
    <x v="5"/>
    <x v="20"/>
    <n v="211"/>
    <x v="7"/>
    <x v="7"/>
  </r>
  <r>
    <x v="5"/>
    <x v="21"/>
    <n v="150"/>
    <x v="7"/>
    <x v="7"/>
  </r>
  <r>
    <x v="5"/>
    <x v="22"/>
    <n v="435"/>
    <x v="7"/>
    <x v="7"/>
  </r>
  <r>
    <x v="5"/>
    <x v="23"/>
    <n v="269"/>
    <x v="7"/>
    <x v="7"/>
  </r>
  <r>
    <x v="5"/>
    <x v="24"/>
    <n v="676"/>
    <x v="7"/>
    <x v="7"/>
  </r>
  <r>
    <x v="5"/>
    <x v="25"/>
    <n v="582"/>
    <x v="7"/>
    <x v="7"/>
  </r>
  <r>
    <x v="5"/>
    <x v="26"/>
    <n v="276"/>
    <x v="7"/>
    <x v="7"/>
  </r>
  <r>
    <x v="5"/>
    <x v="27"/>
    <n v="369"/>
    <x v="7"/>
    <x v="7"/>
  </r>
  <r>
    <x v="5"/>
    <x v="28"/>
    <n v="362"/>
    <x v="7"/>
    <x v="7"/>
  </r>
  <r>
    <x v="5"/>
    <x v="29"/>
    <n v="478"/>
    <x v="7"/>
    <x v="7"/>
  </r>
  <r>
    <x v="5"/>
    <x v="30"/>
    <n v="428"/>
    <x v="7"/>
    <x v="7"/>
  </r>
  <r>
    <x v="5"/>
    <x v="31"/>
    <n v="492"/>
    <x v="7"/>
    <x v="7"/>
  </r>
  <r>
    <x v="5"/>
    <x v="32"/>
    <n v="355"/>
    <x v="7"/>
    <x v="7"/>
  </r>
  <r>
    <x v="5"/>
    <x v="33"/>
    <n v="197"/>
    <x v="7"/>
    <x v="7"/>
  </r>
  <r>
    <x v="5"/>
    <x v="34"/>
    <n v="94"/>
    <x v="7"/>
    <x v="7"/>
  </r>
  <r>
    <x v="5"/>
    <x v="35"/>
    <n v="152"/>
    <x v="7"/>
    <x v="7"/>
  </r>
  <r>
    <x v="5"/>
    <x v="36"/>
    <n v="678"/>
    <x v="7"/>
    <x v="7"/>
  </r>
  <r>
    <x v="5"/>
    <x v="37"/>
    <n v="335"/>
    <x v="7"/>
    <x v="7"/>
  </r>
  <r>
    <x v="5"/>
    <x v="38"/>
    <n v="306"/>
    <x v="7"/>
    <x v="7"/>
  </r>
  <r>
    <x v="5"/>
    <x v="39"/>
    <n v="743"/>
    <x v="7"/>
    <x v="7"/>
  </r>
  <r>
    <x v="5"/>
    <x v="40"/>
    <n v="375"/>
    <x v="7"/>
    <x v="7"/>
  </r>
  <r>
    <x v="5"/>
    <x v="41"/>
    <n v="270"/>
    <x v="7"/>
    <x v="7"/>
  </r>
  <r>
    <x v="5"/>
    <x v="42"/>
    <n v="326"/>
    <x v="7"/>
    <x v="7"/>
  </r>
  <r>
    <x v="5"/>
    <x v="43"/>
    <n v="432"/>
    <x v="7"/>
    <x v="7"/>
  </r>
  <r>
    <x v="5"/>
    <x v="44"/>
    <n v="600"/>
    <x v="7"/>
    <x v="7"/>
  </r>
  <r>
    <x v="5"/>
    <x v="45"/>
    <n v="301"/>
    <x v="7"/>
    <x v="7"/>
  </r>
  <r>
    <x v="5"/>
    <x v="46"/>
    <n v="541"/>
    <x v="7"/>
    <x v="7"/>
  </r>
  <r>
    <x v="5"/>
    <x v="47"/>
    <n v="274"/>
    <x v="7"/>
    <x v="7"/>
  </r>
  <r>
    <x v="5"/>
    <x v="48"/>
    <n v="503"/>
    <x v="7"/>
    <x v="7"/>
  </r>
  <r>
    <x v="5"/>
    <x v="49"/>
    <n v="280"/>
    <x v="7"/>
    <x v="7"/>
  </r>
  <r>
    <x v="5"/>
    <x v="50"/>
    <n v="219"/>
    <x v="7"/>
    <x v="7"/>
  </r>
  <r>
    <x v="5"/>
    <x v="51"/>
    <n v="541"/>
    <x v="7"/>
    <x v="7"/>
  </r>
  <r>
    <x v="3"/>
    <x v="0"/>
    <n v="46"/>
    <x v="7"/>
    <x v="7"/>
  </r>
  <r>
    <x v="3"/>
    <x v="1"/>
    <n v="72"/>
    <x v="7"/>
    <x v="7"/>
  </r>
  <r>
    <x v="3"/>
    <x v="2"/>
    <n v="57"/>
    <x v="7"/>
    <x v="7"/>
  </r>
  <r>
    <x v="3"/>
    <x v="3"/>
    <n v="45"/>
    <x v="7"/>
    <x v="7"/>
  </r>
  <r>
    <x v="3"/>
    <x v="4"/>
    <n v="32"/>
    <x v="7"/>
    <x v="7"/>
  </r>
  <r>
    <x v="3"/>
    <x v="5"/>
    <n v="59"/>
    <x v="7"/>
    <x v="7"/>
  </r>
  <r>
    <x v="3"/>
    <x v="6"/>
    <n v="62"/>
    <x v="7"/>
    <x v="7"/>
  </r>
  <r>
    <x v="3"/>
    <x v="7"/>
    <n v="46"/>
    <x v="7"/>
    <x v="7"/>
  </r>
  <r>
    <x v="3"/>
    <x v="8"/>
    <n v="26"/>
    <x v="7"/>
    <x v="7"/>
  </r>
  <r>
    <x v="3"/>
    <x v="9"/>
    <n v="49"/>
    <x v="7"/>
    <x v="7"/>
  </r>
  <r>
    <x v="3"/>
    <x v="10"/>
    <n v="104"/>
    <x v="7"/>
    <x v="7"/>
  </r>
  <r>
    <x v="3"/>
    <x v="11"/>
    <n v="20"/>
    <x v="7"/>
    <x v="7"/>
  </r>
  <r>
    <x v="3"/>
    <x v="12"/>
    <n v="79"/>
    <x v="7"/>
    <x v="7"/>
  </r>
  <r>
    <x v="3"/>
    <x v="13"/>
    <n v="118"/>
    <x v="7"/>
    <x v="7"/>
  </r>
  <r>
    <x v="3"/>
    <x v="14"/>
    <n v="39"/>
    <x v="7"/>
    <x v="7"/>
  </r>
  <r>
    <x v="3"/>
    <x v="15"/>
    <n v="44"/>
    <x v="7"/>
    <x v="7"/>
  </r>
  <r>
    <x v="3"/>
    <x v="16"/>
    <n v="76"/>
    <x v="7"/>
    <x v="7"/>
  </r>
  <r>
    <x v="3"/>
    <x v="17"/>
    <n v="78"/>
    <x v="7"/>
    <x v="7"/>
  </r>
  <r>
    <x v="3"/>
    <x v="18"/>
    <n v="59"/>
    <x v="7"/>
    <x v="7"/>
  </r>
  <r>
    <x v="3"/>
    <x v="19"/>
    <n v="39"/>
    <x v="7"/>
    <x v="7"/>
  </r>
  <r>
    <x v="3"/>
    <x v="20"/>
    <n v="21"/>
    <x v="7"/>
    <x v="7"/>
  </r>
  <r>
    <x v="3"/>
    <x v="21"/>
    <n v="51"/>
    <x v="7"/>
    <x v="7"/>
  </r>
  <r>
    <x v="3"/>
    <x v="22"/>
    <n v="64"/>
    <x v="7"/>
    <x v="7"/>
  </r>
  <r>
    <x v="3"/>
    <x v="23"/>
    <n v="74"/>
    <x v="7"/>
    <x v="7"/>
  </r>
  <r>
    <x v="3"/>
    <x v="24"/>
    <n v="85"/>
    <x v="7"/>
    <x v="7"/>
  </r>
  <r>
    <x v="3"/>
    <x v="25"/>
    <n v="99"/>
    <x v="7"/>
    <x v="7"/>
  </r>
  <r>
    <x v="3"/>
    <x v="26"/>
    <n v="87"/>
    <x v="7"/>
    <x v="7"/>
  </r>
  <r>
    <x v="3"/>
    <x v="27"/>
    <n v="154"/>
    <x v="7"/>
    <x v="7"/>
  </r>
  <r>
    <x v="3"/>
    <x v="28"/>
    <n v="90"/>
    <x v="7"/>
    <x v="7"/>
  </r>
  <r>
    <x v="3"/>
    <x v="29"/>
    <n v="45"/>
    <x v="7"/>
    <x v="7"/>
  </r>
  <r>
    <x v="3"/>
    <x v="30"/>
    <n v="85"/>
    <x v="7"/>
    <x v="7"/>
  </r>
  <r>
    <x v="3"/>
    <x v="31"/>
    <n v="87"/>
    <x v="7"/>
    <x v="7"/>
  </r>
  <r>
    <x v="3"/>
    <x v="32"/>
    <n v="67"/>
    <x v="7"/>
    <x v="7"/>
  </r>
  <r>
    <x v="3"/>
    <x v="33"/>
    <n v="93"/>
    <x v="7"/>
    <x v="7"/>
  </r>
  <r>
    <x v="3"/>
    <x v="34"/>
    <n v="58"/>
    <x v="7"/>
    <x v="7"/>
  </r>
  <r>
    <x v="3"/>
    <x v="35"/>
    <n v="121"/>
    <x v="7"/>
    <x v="7"/>
  </r>
  <r>
    <x v="3"/>
    <x v="36"/>
    <n v="25"/>
    <x v="7"/>
    <x v="7"/>
  </r>
  <r>
    <x v="3"/>
    <x v="37"/>
    <n v="49"/>
    <x v="7"/>
    <x v="7"/>
  </r>
  <r>
    <x v="3"/>
    <x v="38"/>
    <n v="94"/>
    <x v="7"/>
    <x v="7"/>
  </r>
  <r>
    <x v="3"/>
    <x v="39"/>
    <n v="113"/>
    <x v="7"/>
    <x v="7"/>
  </r>
  <r>
    <x v="3"/>
    <x v="40"/>
    <n v="170"/>
    <x v="7"/>
    <x v="7"/>
  </r>
  <r>
    <x v="3"/>
    <x v="41"/>
    <n v="146"/>
    <x v="7"/>
    <x v="7"/>
  </r>
  <r>
    <x v="3"/>
    <x v="42"/>
    <n v="81"/>
    <x v="7"/>
    <x v="7"/>
  </r>
  <r>
    <x v="3"/>
    <x v="43"/>
    <n v="73"/>
    <x v="7"/>
    <x v="7"/>
  </r>
  <r>
    <x v="3"/>
    <x v="44"/>
    <n v="114"/>
    <x v="7"/>
    <x v="7"/>
  </r>
  <r>
    <x v="3"/>
    <x v="45"/>
    <n v="38"/>
    <x v="7"/>
    <x v="7"/>
  </r>
  <r>
    <x v="3"/>
    <x v="46"/>
    <n v="50"/>
    <x v="7"/>
    <x v="7"/>
  </r>
  <r>
    <x v="3"/>
    <x v="47"/>
    <n v="46"/>
    <x v="7"/>
    <x v="7"/>
  </r>
  <r>
    <x v="3"/>
    <x v="48"/>
    <n v="52"/>
    <x v="7"/>
    <x v="7"/>
  </r>
  <r>
    <x v="3"/>
    <x v="49"/>
    <n v="129"/>
    <x v="7"/>
    <x v="7"/>
  </r>
  <r>
    <x v="3"/>
    <x v="50"/>
    <n v="196"/>
    <x v="7"/>
    <x v="7"/>
  </r>
  <r>
    <x v="3"/>
    <x v="51"/>
    <n v="96"/>
    <x v="7"/>
    <x v="7"/>
  </r>
  <r>
    <x v="4"/>
    <x v="0"/>
    <n v="36"/>
    <x v="7"/>
    <x v="7"/>
  </r>
  <r>
    <x v="4"/>
    <x v="1"/>
    <n v="20"/>
    <x v="7"/>
    <x v="7"/>
  </r>
  <r>
    <x v="4"/>
    <x v="2"/>
    <n v="30"/>
    <x v="7"/>
    <x v="7"/>
  </r>
  <r>
    <x v="4"/>
    <x v="3"/>
    <n v="25"/>
    <x v="7"/>
    <x v="7"/>
  </r>
  <r>
    <x v="4"/>
    <x v="4"/>
    <n v="15"/>
    <x v="7"/>
    <x v="7"/>
  </r>
  <r>
    <x v="4"/>
    <x v="5"/>
    <n v="15"/>
    <x v="7"/>
    <x v="7"/>
  </r>
  <r>
    <x v="4"/>
    <x v="6"/>
    <n v="34"/>
    <x v="7"/>
    <x v="7"/>
  </r>
  <r>
    <x v="4"/>
    <x v="7"/>
    <n v="30"/>
    <x v="7"/>
    <x v="7"/>
  </r>
  <r>
    <x v="4"/>
    <x v="8"/>
    <n v="29"/>
    <x v="7"/>
    <x v="7"/>
  </r>
  <r>
    <x v="4"/>
    <x v="9"/>
    <n v="11"/>
    <x v="7"/>
    <x v="7"/>
  </r>
  <r>
    <x v="4"/>
    <x v="10"/>
    <n v="49"/>
    <x v="7"/>
    <x v="7"/>
  </r>
  <r>
    <x v="4"/>
    <x v="11"/>
    <n v="11"/>
    <x v="7"/>
    <x v="7"/>
  </r>
  <r>
    <x v="4"/>
    <x v="12"/>
    <n v="14"/>
    <x v="7"/>
    <x v="7"/>
  </r>
  <r>
    <x v="4"/>
    <x v="13"/>
    <n v="34"/>
    <x v="7"/>
    <x v="7"/>
  </r>
  <r>
    <x v="4"/>
    <x v="14"/>
    <n v="49"/>
    <x v="7"/>
    <x v="7"/>
  </r>
  <r>
    <x v="4"/>
    <x v="15"/>
    <n v="41"/>
    <x v="7"/>
    <x v="7"/>
  </r>
  <r>
    <x v="4"/>
    <x v="16"/>
    <n v="25"/>
    <x v="7"/>
    <x v="7"/>
  </r>
  <r>
    <x v="4"/>
    <x v="17"/>
    <n v="15"/>
    <x v="7"/>
    <x v="7"/>
  </r>
  <r>
    <x v="4"/>
    <x v="18"/>
    <n v="55"/>
    <x v="7"/>
    <x v="7"/>
  </r>
  <r>
    <x v="4"/>
    <x v="19"/>
    <n v="25"/>
    <x v="7"/>
    <x v="7"/>
  </r>
  <r>
    <x v="4"/>
    <x v="20"/>
    <n v="53"/>
    <x v="7"/>
    <x v="7"/>
  </r>
  <r>
    <x v="4"/>
    <x v="21"/>
    <n v="13"/>
    <x v="7"/>
    <x v="7"/>
  </r>
  <r>
    <x v="4"/>
    <x v="22"/>
    <n v="17"/>
    <x v="7"/>
    <x v="7"/>
  </r>
  <r>
    <x v="4"/>
    <x v="23"/>
    <n v="23"/>
    <x v="7"/>
    <x v="7"/>
  </r>
  <r>
    <x v="4"/>
    <x v="24"/>
    <n v="43"/>
    <x v="7"/>
    <x v="7"/>
  </r>
  <r>
    <x v="4"/>
    <x v="25"/>
    <n v="39"/>
    <x v="7"/>
    <x v="7"/>
  </r>
  <r>
    <x v="4"/>
    <x v="26"/>
    <n v="14"/>
    <x v="7"/>
    <x v="7"/>
  </r>
  <r>
    <x v="4"/>
    <x v="27"/>
    <n v="33"/>
    <x v="7"/>
    <x v="7"/>
  </r>
  <r>
    <x v="4"/>
    <x v="28"/>
    <n v="30"/>
    <x v="7"/>
    <x v="7"/>
  </r>
  <r>
    <x v="4"/>
    <x v="29"/>
    <n v="51"/>
    <x v="7"/>
    <x v="7"/>
  </r>
  <r>
    <x v="4"/>
    <x v="30"/>
    <n v="18"/>
    <x v="7"/>
    <x v="7"/>
  </r>
  <r>
    <x v="4"/>
    <x v="31"/>
    <n v="17"/>
    <x v="7"/>
    <x v="7"/>
  </r>
  <r>
    <x v="4"/>
    <x v="32"/>
    <n v="15"/>
    <x v="7"/>
    <x v="7"/>
  </r>
  <r>
    <x v="4"/>
    <x v="33"/>
    <n v="49"/>
    <x v="7"/>
    <x v="7"/>
  </r>
  <r>
    <x v="4"/>
    <x v="34"/>
    <n v="75"/>
    <x v="7"/>
    <x v="7"/>
  </r>
  <r>
    <x v="4"/>
    <x v="35"/>
    <n v="40"/>
    <x v="7"/>
    <x v="7"/>
  </r>
  <r>
    <x v="4"/>
    <x v="36"/>
    <n v="31"/>
    <x v="7"/>
    <x v="7"/>
  </r>
  <r>
    <x v="4"/>
    <x v="37"/>
    <n v="15"/>
    <x v="7"/>
    <x v="7"/>
  </r>
  <r>
    <x v="4"/>
    <x v="38"/>
    <n v="16"/>
    <x v="7"/>
    <x v="7"/>
  </r>
  <r>
    <x v="4"/>
    <x v="39"/>
    <n v="44"/>
    <x v="7"/>
    <x v="7"/>
  </r>
  <r>
    <x v="4"/>
    <x v="40"/>
    <n v="51"/>
    <x v="7"/>
    <x v="7"/>
  </r>
  <r>
    <x v="4"/>
    <x v="41"/>
    <n v="27"/>
    <x v="7"/>
    <x v="7"/>
  </r>
  <r>
    <x v="4"/>
    <x v="42"/>
    <n v="40"/>
    <x v="7"/>
    <x v="7"/>
  </r>
  <r>
    <x v="4"/>
    <x v="43"/>
    <n v="85"/>
    <x v="7"/>
    <x v="7"/>
  </r>
  <r>
    <x v="4"/>
    <x v="44"/>
    <n v="48"/>
    <x v="7"/>
    <x v="7"/>
  </r>
  <r>
    <x v="4"/>
    <x v="45"/>
    <n v="77"/>
    <x v="7"/>
    <x v="7"/>
  </r>
  <r>
    <x v="4"/>
    <x v="46"/>
    <n v="60"/>
    <x v="7"/>
    <x v="7"/>
  </r>
  <r>
    <x v="4"/>
    <x v="47"/>
    <n v="39"/>
    <x v="7"/>
    <x v="7"/>
  </r>
  <r>
    <x v="4"/>
    <x v="48"/>
    <n v="31"/>
    <x v="7"/>
    <x v="7"/>
  </r>
  <r>
    <x v="4"/>
    <x v="49"/>
    <n v="14"/>
    <x v="7"/>
    <x v="7"/>
  </r>
  <r>
    <x v="4"/>
    <x v="50"/>
    <n v="28"/>
    <x v="7"/>
    <x v="7"/>
  </r>
  <r>
    <x v="4"/>
    <x v="51"/>
    <n v="33"/>
    <x v="7"/>
    <x v="7"/>
  </r>
  <r>
    <x v="4"/>
    <x v="0"/>
    <n v="238"/>
    <x v="8"/>
    <x v="8"/>
  </r>
  <r>
    <x v="4"/>
    <x v="1"/>
    <n v="268"/>
    <x v="8"/>
    <x v="8"/>
  </r>
  <r>
    <x v="4"/>
    <x v="2"/>
    <n v="169"/>
    <x v="8"/>
    <x v="8"/>
  </r>
  <r>
    <x v="4"/>
    <x v="3"/>
    <n v="319"/>
    <x v="8"/>
    <x v="8"/>
  </r>
  <r>
    <x v="4"/>
    <x v="4"/>
    <n v="209"/>
    <x v="8"/>
    <x v="8"/>
  </r>
  <r>
    <x v="4"/>
    <x v="5"/>
    <n v="433"/>
    <x v="8"/>
    <x v="8"/>
  </r>
  <r>
    <x v="4"/>
    <x v="6"/>
    <n v="76"/>
    <x v="8"/>
    <x v="8"/>
  </r>
  <r>
    <x v="4"/>
    <x v="7"/>
    <n v="163"/>
    <x v="8"/>
    <x v="8"/>
  </r>
  <r>
    <x v="4"/>
    <x v="8"/>
    <n v="302"/>
    <x v="8"/>
    <x v="8"/>
  </r>
  <r>
    <x v="4"/>
    <x v="9"/>
    <n v="369"/>
    <x v="8"/>
    <x v="8"/>
  </r>
  <r>
    <x v="4"/>
    <x v="10"/>
    <n v="112"/>
    <x v="8"/>
    <x v="8"/>
  </r>
  <r>
    <x v="4"/>
    <x v="11"/>
    <n v="299"/>
    <x v="8"/>
    <x v="8"/>
  </r>
  <r>
    <x v="4"/>
    <x v="12"/>
    <n v="103"/>
    <x v="8"/>
    <x v="8"/>
  </r>
  <r>
    <x v="4"/>
    <x v="13"/>
    <n v="166"/>
    <x v="8"/>
    <x v="8"/>
  </r>
  <r>
    <x v="4"/>
    <x v="14"/>
    <n v="462"/>
    <x v="8"/>
    <x v="8"/>
  </r>
  <r>
    <x v="4"/>
    <x v="15"/>
    <n v="267"/>
    <x v="8"/>
    <x v="8"/>
  </r>
  <r>
    <x v="4"/>
    <x v="16"/>
    <n v="537"/>
    <x v="8"/>
    <x v="8"/>
  </r>
  <r>
    <x v="4"/>
    <x v="17"/>
    <n v="160"/>
    <x v="8"/>
    <x v="8"/>
  </r>
  <r>
    <x v="4"/>
    <x v="18"/>
    <n v="462"/>
    <x v="8"/>
    <x v="8"/>
  </r>
  <r>
    <x v="4"/>
    <x v="19"/>
    <n v="594"/>
    <x v="8"/>
    <x v="8"/>
  </r>
  <r>
    <x v="4"/>
    <x v="20"/>
    <n v="262"/>
    <x v="8"/>
    <x v="8"/>
  </r>
  <r>
    <x v="4"/>
    <x v="21"/>
    <n v="500"/>
    <x v="8"/>
    <x v="8"/>
  </r>
  <r>
    <x v="4"/>
    <x v="22"/>
    <n v="196"/>
    <x v="8"/>
    <x v="8"/>
  </r>
  <r>
    <x v="4"/>
    <x v="23"/>
    <n v="737"/>
    <x v="8"/>
    <x v="8"/>
  </r>
  <r>
    <x v="4"/>
    <x v="24"/>
    <n v="332"/>
    <x v="8"/>
    <x v="8"/>
  </r>
  <r>
    <x v="4"/>
    <x v="25"/>
    <n v="273"/>
    <x v="8"/>
    <x v="8"/>
  </r>
  <r>
    <x v="4"/>
    <x v="26"/>
    <n v="362"/>
    <x v="8"/>
    <x v="8"/>
  </r>
  <r>
    <x v="4"/>
    <x v="27"/>
    <n v="525"/>
    <x v="8"/>
    <x v="8"/>
  </r>
  <r>
    <x v="4"/>
    <x v="28"/>
    <n v="422"/>
    <x v="8"/>
    <x v="8"/>
  </r>
  <r>
    <x v="4"/>
    <x v="29"/>
    <n v="702"/>
    <x v="8"/>
    <x v="8"/>
  </r>
  <r>
    <x v="4"/>
    <x v="30"/>
    <n v="341"/>
    <x v="8"/>
    <x v="8"/>
  </r>
  <r>
    <x v="4"/>
    <x v="31"/>
    <n v="261"/>
    <x v="8"/>
    <x v="8"/>
  </r>
  <r>
    <x v="4"/>
    <x v="32"/>
    <n v="235"/>
    <x v="8"/>
    <x v="8"/>
  </r>
  <r>
    <x v="4"/>
    <x v="33"/>
    <n v="378"/>
    <x v="8"/>
    <x v="8"/>
  </r>
  <r>
    <x v="4"/>
    <x v="34"/>
    <n v="980"/>
    <x v="8"/>
    <x v="8"/>
  </r>
  <r>
    <x v="4"/>
    <x v="35"/>
    <n v="599"/>
    <x v="8"/>
    <x v="8"/>
  </r>
  <r>
    <x v="4"/>
    <x v="36"/>
    <n v="323"/>
    <x v="8"/>
    <x v="8"/>
  </r>
  <r>
    <x v="4"/>
    <x v="37"/>
    <n v="464"/>
    <x v="8"/>
    <x v="8"/>
  </r>
  <r>
    <x v="4"/>
    <x v="38"/>
    <n v="97"/>
    <x v="8"/>
    <x v="8"/>
  </r>
  <r>
    <x v="4"/>
    <x v="39"/>
    <n v="274"/>
    <x v="8"/>
    <x v="8"/>
  </r>
  <r>
    <x v="4"/>
    <x v="40"/>
    <n v="295"/>
    <x v="8"/>
    <x v="8"/>
  </r>
  <r>
    <x v="4"/>
    <x v="41"/>
    <n v="505"/>
    <x v="8"/>
    <x v="8"/>
  </r>
  <r>
    <x v="4"/>
    <x v="42"/>
    <n v="302"/>
    <x v="8"/>
    <x v="8"/>
  </r>
  <r>
    <x v="4"/>
    <x v="43"/>
    <n v="922"/>
    <x v="8"/>
    <x v="8"/>
  </r>
  <r>
    <x v="4"/>
    <x v="44"/>
    <n v="198"/>
    <x v="8"/>
    <x v="8"/>
  </r>
  <r>
    <x v="4"/>
    <x v="45"/>
    <n v="371"/>
    <x v="8"/>
    <x v="8"/>
  </r>
  <r>
    <x v="4"/>
    <x v="46"/>
    <n v="333"/>
    <x v="8"/>
    <x v="8"/>
  </r>
  <r>
    <x v="4"/>
    <x v="47"/>
    <n v="829"/>
    <x v="8"/>
    <x v="8"/>
  </r>
  <r>
    <x v="4"/>
    <x v="48"/>
    <n v="401"/>
    <x v="8"/>
    <x v="8"/>
  </r>
  <r>
    <x v="4"/>
    <x v="49"/>
    <n v="359"/>
    <x v="8"/>
    <x v="8"/>
  </r>
  <r>
    <x v="4"/>
    <x v="50"/>
    <n v="777"/>
    <x v="8"/>
    <x v="8"/>
  </r>
  <r>
    <x v="4"/>
    <x v="51"/>
    <n v="574"/>
    <x v="8"/>
    <x v="8"/>
  </r>
  <r>
    <x v="5"/>
    <x v="0"/>
    <n v="153"/>
    <x v="8"/>
    <x v="8"/>
  </r>
  <r>
    <x v="5"/>
    <x v="1"/>
    <n v="396"/>
    <x v="8"/>
    <x v="8"/>
  </r>
  <r>
    <x v="5"/>
    <x v="2"/>
    <n v="412"/>
    <x v="8"/>
    <x v="8"/>
  </r>
  <r>
    <x v="5"/>
    <x v="3"/>
    <n v="300"/>
    <x v="8"/>
    <x v="8"/>
  </r>
  <r>
    <x v="5"/>
    <x v="4"/>
    <n v="343"/>
    <x v="8"/>
    <x v="8"/>
  </r>
  <r>
    <x v="5"/>
    <x v="5"/>
    <n v="565"/>
    <x v="8"/>
    <x v="8"/>
  </r>
  <r>
    <x v="5"/>
    <x v="6"/>
    <n v="524"/>
    <x v="8"/>
    <x v="8"/>
  </r>
  <r>
    <x v="5"/>
    <x v="7"/>
    <n v="521"/>
    <x v="8"/>
    <x v="8"/>
  </r>
  <r>
    <x v="5"/>
    <x v="8"/>
    <n v="270"/>
    <x v="8"/>
    <x v="8"/>
  </r>
  <r>
    <x v="5"/>
    <x v="9"/>
    <n v="245"/>
    <x v="8"/>
    <x v="8"/>
  </r>
  <r>
    <x v="5"/>
    <x v="10"/>
    <n v="393"/>
    <x v="8"/>
    <x v="8"/>
  </r>
  <r>
    <x v="5"/>
    <x v="11"/>
    <n v="184"/>
    <x v="8"/>
    <x v="8"/>
  </r>
  <r>
    <x v="5"/>
    <x v="12"/>
    <n v="346"/>
    <x v="8"/>
    <x v="8"/>
  </r>
  <r>
    <x v="5"/>
    <x v="13"/>
    <n v="494"/>
    <x v="8"/>
    <x v="8"/>
  </r>
  <r>
    <x v="5"/>
    <x v="14"/>
    <n v="460"/>
    <x v="8"/>
    <x v="8"/>
  </r>
  <r>
    <x v="5"/>
    <x v="15"/>
    <n v="429"/>
    <x v="8"/>
    <x v="8"/>
  </r>
  <r>
    <x v="5"/>
    <x v="16"/>
    <n v="309"/>
    <x v="8"/>
    <x v="8"/>
  </r>
  <r>
    <x v="5"/>
    <x v="17"/>
    <n v="170"/>
    <x v="8"/>
    <x v="8"/>
  </r>
  <r>
    <x v="5"/>
    <x v="18"/>
    <n v="264"/>
    <x v="8"/>
    <x v="8"/>
  </r>
  <r>
    <x v="5"/>
    <x v="19"/>
    <n v="510"/>
    <x v="8"/>
    <x v="8"/>
  </r>
  <r>
    <x v="5"/>
    <x v="20"/>
    <n v="588"/>
    <x v="8"/>
    <x v="8"/>
  </r>
  <r>
    <x v="5"/>
    <x v="21"/>
    <n v="458"/>
    <x v="8"/>
    <x v="8"/>
  </r>
  <r>
    <x v="5"/>
    <x v="22"/>
    <n v="262"/>
    <x v="8"/>
    <x v="8"/>
  </r>
  <r>
    <x v="5"/>
    <x v="23"/>
    <n v="377"/>
    <x v="8"/>
    <x v="8"/>
  </r>
  <r>
    <x v="5"/>
    <x v="24"/>
    <n v="592"/>
    <x v="8"/>
    <x v="8"/>
  </r>
  <r>
    <x v="5"/>
    <x v="25"/>
    <n v="459"/>
    <x v="8"/>
    <x v="8"/>
  </r>
  <r>
    <x v="5"/>
    <x v="26"/>
    <n v="520"/>
    <x v="8"/>
    <x v="8"/>
  </r>
  <r>
    <x v="5"/>
    <x v="27"/>
    <n v="520"/>
    <x v="8"/>
    <x v="8"/>
  </r>
  <r>
    <x v="5"/>
    <x v="28"/>
    <n v="236"/>
    <x v="8"/>
    <x v="8"/>
  </r>
  <r>
    <x v="5"/>
    <x v="29"/>
    <n v="886"/>
    <x v="8"/>
    <x v="8"/>
  </r>
  <r>
    <x v="5"/>
    <x v="30"/>
    <n v="757"/>
    <x v="8"/>
    <x v="8"/>
  </r>
  <r>
    <x v="5"/>
    <x v="31"/>
    <n v="275"/>
    <x v="8"/>
    <x v="8"/>
  </r>
  <r>
    <x v="5"/>
    <x v="32"/>
    <n v="206"/>
    <x v="8"/>
    <x v="8"/>
  </r>
  <r>
    <x v="5"/>
    <x v="33"/>
    <n v="413"/>
    <x v="8"/>
    <x v="8"/>
  </r>
  <r>
    <x v="5"/>
    <x v="34"/>
    <n v="498"/>
    <x v="8"/>
    <x v="8"/>
  </r>
  <r>
    <x v="5"/>
    <x v="35"/>
    <n v="943"/>
    <x v="8"/>
    <x v="8"/>
  </r>
  <r>
    <x v="5"/>
    <x v="36"/>
    <n v="196"/>
    <x v="8"/>
    <x v="8"/>
  </r>
  <r>
    <x v="5"/>
    <x v="37"/>
    <n v="614"/>
    <x v="8"/>
    <x v="8"/>
  </r>
  <r>
    <x v="5"/>
    <x v="38"/>
    <n v="645"/>
    <x v="8"/>
    <x v="8"/>
  </r>
  <r>
    <x v="5"/>
    <x v="39"/>
    <n v="1444"/>
    <x v="8"/>
    <x v="8"/>
  </r>
  <r>
    <x v="5"/>
    <x v="40"/>
    <n v="314"/>
    <x v="8"/>
    <x v="8"/>
  </r>
  <r>
    <x v="5"/>
    <x v="41"/>
    <n v="155"/>
    <x v="8"/>
    <x v="8"/>
  </r>
  <r>
    <x v="5"/>
    <x v="42"/>
    <n v="151"/>
    <x v="8"/>
    <x v="8"/>
  </r>
  <r>
    <x v="5"/>
    <x v="43"/>
    <n v="291"/>
    <x v="8"/>
    <x v="8"/>
  </r>
  <r>
    <x v="5"/>
    <x v="44"/>
    <n v="451"/>
    <x v="8"/>
    <x v="8"/>
  </r>
  <r>
    <x v="5"/>
    <x v="45"/>
    <n v="1221"/>
    <x v="8"/>
    <x v="8"/>
  </r>
  <r>
    <x v="5"/>
    <x v="46"/>
    <n v="1650"/>
    <x v="8"/>
    <x v="8"/>
  </r>
  <r>
    <x v="5"/>
    <x v="47"/>
    <n v="673"/>
    <x v="8"/>
    <x v="8"/>
  </r>
  <r>
    <x v="5"/>
    <x v="48"/>
    <n v="318"/>
    <x v="8"/>
    <x v="8"/>
  </r>
  <r>
    <x v="5"/>
    <x v="49"/>
    <n v="589"/>
    <x v="8"/>
    <x v="8"/>
  </r>
  <r>
    <x v="5"/>
    <x v="50"/>
    <n v="141"/>
    <x v="8"/>
    <x v="8"/>
  </r>
  <r>
    <x v="5"/>
    <x v="51"/>
    <n v="1592"/>
    <x v="8"/>
    <x v="8"/>
  </r>
  <r>
    <x v="4"/>
    <x v="0"/>
    <n v="405"/>
    <x v="9"/>
    <x v="9"/>
  </r>
  <r>
    <x v="4"/>
    <x v="1"/>
    <n v="170"/>
    <x v="9"/>
    <x v="9"/>
  </r>
  <r>
    <x v="4"/>
    <x v="2"/>
    <n v="337"/>
    <x v="9"/>
    <x v="9"/>
  </r>
  <r>
    <x v="4"/>
    <x v="3"/>
    <n v="480"/>
    <x v="9"/>
    <x v="9"/>
  </r>
  <r>
    <x v="4"/>
    <x v="4"/>
    <n v="394"/>
    <x v="9"/>
    <x v="9"/>
  </r>
  <r>
    <x v="4"/>
    <x v="5"/>
    <n v="366"/>
    <x v="9"/>
    <x v="9"/>
  </r>
  <r>
    <x v="4"/>
    <x v="6"/>
    <n v="87"/>
    <x v="9"/>
    <x v="9"/>
  </r>
  <r>
    <x v="4"/>
    <x v="7"/>
    <n v="561"/>
    <x v="9"/>
    <x v="9"/>
  </r>
  <r>
    <x v="4"/>
    <x v="8"/>
    <n v="368"/>
    <x v="9"/>
    <x v="9"/>
  </r>
  <r>
    <x v="4"/>
    <x v="9"/>
    <n v="359"/>
    <x v="9"/>
    <x v="9"/>
  </r>
  <r>
    <x v="4"/>
    <x v="10"/>
    <n v="245"/>
    <x v="9"/>
    <x v="9"/>
  </r>
  <r>
    <x v="4"/>
    <x v="11"/>
    <n v="298"/>
    <x v="9"/>
    <x v="9"/>
  </r>
  <r>
    <x v="4"/>
    <x v="12"/>
    <n v="595"/>
    <x v="9"/>
    <x v="9"/>
  </r>
  <r>
    <x v="4"/>
    <x v="13"/>
    <n v="336"/>
    <x v="9"/>
    <x v="9"/>
  </r>
  <r>
    <x v="4"/>
    <x v="14"/>
    <n v="338"/>
    <x v="9"/>
    <x v="9"/>
  </r>
  <r>
    <x v="4"/>
    <x v="15"/>
    <n v="349"/>
    <x v="9"/>
    <x v="9"/>
  </r>
  <r>
    <x v="4"/>
    <x v="16"/>
    <n v="510"/>
    <x v="9"/>
    <x v="9"/>
  </r>
  <r>
    <x v="4"/>
    <x v="17"/>
    <n v="456"/>
    <x v="9"/>
    <x v="9"/>
  </r>
  <r>
    <x v="4"/>
    <x v="18"/>
    <n v="141"/>
    <x v="9"/>
    <x v="9"/>
  </r>
  <r>
    <x v="4"/>
    <x v="19"/>
    <n v="494"/>
    <x v="9"/>
    <x v="9"/>
  </r>
  <r>
    <x v="4"/>
    <x v="20"/>
    <n v="276"/>
    <x v="9"/>
    <x v="9"/>
  </r>
  <r>
    <x v="4"/>
    <x v="21"/>
    <n v="222"/>
    <x v="9"/>
    <x v="9"/>
  </r>
  <r>
    <x v="4"/>
    <x v="22"/>
    <n v="232"/>
    <x v="9"/>
    <x v="9"/>
  </r>
  <r>
    <x v="4"/>
    <x v="23"/>
    <n v="137"/>
    <x v="9"/>
    <x v="9"/>
  </r>
  <r>
    <x v="4"/>
    <x v="24"/>
    <n v="303"/>
    <x v="9"/>
    <x v="9"/>
  </r>
  <r>
    <x v="4"/>
    <x v="25"/>
    <n v="320"/>
    <x v="9"/>
    <x v="9"/>
  </r>
  <r>
    <x v="4"/>
    <x v="26"/>
    <n v="286"/>
    <x v="9"/>
    <x v="9"/>
  </r>
  <r>
    <x v="4"/>
    <x v="27"/>
    <n v="260"/>
    <x v="9"/>
    <x v="9"/>
  </r>
  <r>
    <x v="4"/>
    <x v="28"/>
    <n v="227"/>
    <x v="9"/>
    <x v="9"/>
  </r>
  <r>
    <x v="4"/>
    <x v="29"/>
    <n v="994"/>
    <x v="9"/>
    <x v="9"/>
  </r>
  <r>
    <x v="4"/>
    <x v="30"/>
    <n v="395"/>
    <x v="9"/>
    <x v="9"/>
  </r>
  <r>
    <x v="4"/>
    <x v="31"/>
    <n v="840"/>
    <x v="9"/>
    <x v="9"/>
  </r>
  <r>
    <x v="4"/>
    <x v="32"/>
    <n v="303"/>
    <x v="9"/>
    <x v="9"/>
  </r>
  <r>
    <x v="4"/>
    <x v="33"/>
    <n v="432"/>
    <x v="9"/>
    <x v="9"/>
  </r>
  <r>
    <x v="4"/>
    <x v="34"/>
    <n v="280"/>
    <x v="9"/>
    <x v="9"/>
  </r>
  <r>
    <x v="4"/>
    <x v="35"/>
    <n v="939"/>
    <x v="9"/>
    <x v="9"/>
  </r>
  <r>
    <x v="4"/>
    <x v="36"/>
    <n v="575"/>
    <x v="9"/>
    <x v="9"/>
  </r>
  <r>
    <x v="4"/>
    <x v="37"/>
    <n v="545"/>
    <x v="9"/>
    <x v="9"/>
  </r>
  <r>
    <x v="4"/>
    <x v="38"/>
    <n v="104"/>
    <x v="9"/>
    <x v="9"/>
  </r>
  <r>
    <x v="4"/>
    <x v="39"/>
    <n v="579"/>
    <x v="9"/>
    <x v="9"/>
  </r>
  <r>
    <x v="4"/>
    <x v="40"/>
    <n v="445"/>
    <x v="9"/>
    <x v="9"/>
  </r>
  <r>
    <x v="4"/>
    <x v="41"/>
    <n v="975"/>
    <x v="9"/>
    <x v="9"/>
  </r>
  <r>
    <x v="4"/>
    <x v="42"/>
    <n v="176"/>
    <x v="9"/>
    <x v="9"/>
  </r>
  <r>
    <x v="4"/>
    <x v="43"/>
    <n v="251"/>
    <x v="9"/>
    <x v="9"/>
  </r>
  <r>
    <x v="4"/>
    <x v="44"/>
    <n v="291"/>
    <x v="9"/>
    <x v="9"/>
  </r>
  <r>
    <x v="4"/>
    <x v="45"/>
    <n v="296"/>
    <x v="9"/>
    <x v="9"/>
  </r>
  <r>
    <x v="4"/>
    <x v="46"/>
    <n v="266"/>
    <x v="9"/>
    <x v="9"/>
  </r>
  <r>
    <x v="4"/>
    <x v="47"/>
    <n v="717"/>
    <x v="9"/>
    <x v="9"/>
  </r>
  <r>
    <x v="4"/>
    <x v="48"/>
    <n v="500"/>
    <x v="9"/>
    <x v="9"/>
  </r>
  <r>
    <x v="4"/>
    <x v="49"/>
    <n v="479"/>
    <x v="9"/>
    <x v="9"/>
  </r>
  <r>
    <x v="4"/>
    <x v="50"/>
    <n v="475"/>
    <x v="9"/>
    <x v="9"/>
  </r>
  <r>
    <x v="4"/>
    <x v="51"/>
    <n v="835"/>
    <x v="9"/>
    <x v="9"/>
  </r>
  <r>
    <x v="5"/>
    <x v="0"/>
    <n v="355"/>
    <x v="9"/>
    <x v="9"/>
  </r>
  <r>
    <x v="5"/>
    <x v="1"/>
    <n v="310"/>
    <x v="9"/>
    <x v="9"/>
  </r>
  <r>
    <x v="5"/>
    <x v="2"/>
    <n v="418"/>
    <x v="9"/>
    <x v="9"/>
  </r>
  <r>
    <x v="5"/>
    <x v="3"/>
    <n v="272"/>
    <x v="9"/>
    <x v="9"/>
  </r>
  <r>
    <x v="5"/>
    <x v="4"/>
    <n v="474"/>
    <x v="9"/>
    <x v="9"/>
  </r>
  <r>
    <x v="5"/>
    <x v="5"/>
    <n v="363"/>
    <x v="9"/>
    <x v="9"/>
  </r>
  <r>
    <x v="5"/>
    <x v="6"/>
    <n v="485"/>
    <x v="9"/>
    <x v="9"/>
  </r>
  <r>
    <x v="5"/>
    <x v="7"/>
    <n v="126"/>
    <x v="9"/>
    <x v="9"/>
  </r>
  <r>
    <x v="5"/>
    <x v="8"/>
    <n v="100"/>
    <x v="9"/>
    <x v="9"/>
  </r>
  <r>
    <x v="5"/>
    <x v="9"/>
    <n v="230"/>
    <x v="9"/>
    <x v="9"/>
  </r>
  <r>
    <x v="5"/>
    <x v="10"/>
    <n v="240"/>
    <x v="9"/>
    <x v="9"/>
  </r>
  <r>
    <x v="5"/>
    <x v="11"/>
    <n v="423"/>
    <x v="9"/>
    <x v="9"/>
  </r>
  <r>
    <x v="5"/>
    <x v="12"/>
    <n v="283"/>
    <x v="9"/>
    <x v="9"/>
  </r>
  <r>
    <x v="5"/>
    <x v="13"/>
    <n v="392"/>
    <x v="9"/>
    <x v="9"/>
  </r>
  <r>
    <x v="5"/>
    <x v="14"/>
    <n v="472"/>
    <x v="9"/>
    <x v="9"/>
  </r>
  <r>
    <x v="5"/>
    <x v="15"/>
    <n v="399"/>
    <x v="9"/>
    <x v="9"/>
  </r>
  <r>
    <x v="5"/>
    <x v="16"/>
    <n v="215"/>
    <x v="9"/>
    <x v="9"/>
  </r>
  <r>
    <x v="5"/>
    <x v="17"/>
    <n v="531"/>
    <x v="9"/>
    <x v="9"/>
  </r>
  <r>
    <x v="5"/>
    <x v="18"/>
    <n v="127"/>
    <x v="9"/>
    <x v="9"/>
  </r>
  <r>
    <x v="5"/>
    <x v="19"/>
    <n v="186"/>
    <x v="9"/>
    <x v="9"/>
  </r>
  <r>
    <x v="5"/>
    <x v="20"/>
    <n v="446"/>
    <x v="9"/>
    <x v="9"/>
  </r>
  <r>
    <x v="5"/>
    <x v="21"/>
    <n v="206"/>
    <x v="9"/>
    <x v="9"/>
  </r>
  <r>
    <x v="5"/>
    <x v="22"/>
    <n v="489"/>
    <x v="9"/>
    <x v="9"/>
  </r>
  <r>
    <x v="5"/>
    <x v="23"/>
    <n v="363"/>
    <x v="9"/>
    <x v="9"/>
  </r>
  <r>
    <x v="5"/>
    <x v="24"/>
    <n v="350"/>
    <x v="9"/>
    <x v="9"/>
  </r>
  <r>
    <x v="5"/>
    <x v="25"/>
    <n v="633"/>
    <x v="9"/>
    <x v="9"/>
  </r>
  <r>
    <x v="5"/>
    <x v="26"/>
    <n v="172"/>
    <x v="9"/>
    <x v="9"/>
  </r>
  <r>
    <x v="5"/>
    <x v="27"/>
    <n v="213"/>
    <x v="9"/>
    <x v="9"/>
  </r>
  <r>
    <x v="5"/>
    <x v="28"/>
    <n v="848"/>
    <x v="9"/>
    <x v="9"/>
  </r>
  <r>
    <x v="5"/>
    <x v="29"/>
    <n v="316"/>
    <x v="9"/>
    <x v="9"/>
  </r>
  <r>
    <x v="5"/>
    <x v="30"/>
    <n v="339"/>
    <x v="9"/>
    <x v="9"/>
  </r>
  <r>
    <x v="5"/>
    <x v="31"/>
    <n v="148"/>
    <x v="9"/>
    <x v="9"/>
  </r>
  <r>
    <x v="5"/>
    <x v="32"/>
    <n v="150"/>
    <x v="9"/>
    <x v="9"/>
  </r>
  <r>
    <x v="5"/>
    <x v="33"/>
    <n v="364"/>
    <x v="9"/>
    <x v="9"/>
  </r>
  <r>
    <x v="5"/>
    <x v="34"/>
    <n v="305"/>
    <x v="9"/>
    <x v="9"/>
  </r>
  <r>
    <x v="5"/>
    <x v="35"/>
    <n v="235"/>
    <x v="9"/>
    <x v="9"/>
  </r>
  <r>
    <x v="5"/>
    <x v="36"/>
    <n v="324"/>
    <x v="9"/>
    <x v="9"/>
  </r>
  <r>
    <x v="5"/>
    <x v="37"/>
    <n v="577"/>
    <x v="9"/>
    <x v="9"/>
  </r>
  <r>
    <x v="5"/>
    <x v="38"/>
    <n v="519"/>
    <x v="9"/>
    <x v="9"/>
  </r>
  <r>
    <x v="5"/>
    <x v="39"/>
    <n v="884"/>
    <x v="9"/>
    <x v="9"/>
  </r>
  <r>
    <x v="5"/>
    <x v="40"/>
    <n v="337"/>
    <x v="9"/>
    <x v="9"/>
  </r>
  <r>
    <x v="5"/>
    <x v="41"/>
    <n v="1063"/>
    <x v="9"/>
    <x v="9"/>
  </r>
  <r>
    <x v="5"/>
    <x v="42"/>
    <n v="437"/>
    <x v="9"/>
    <x v="9"/>
  </r>
  <r>
    <x v="5"/>
    <x v="43"/>
    <n v="360"/>
    <x v="9"/>
    <x v="9"/>
  </r>
  <r>
    <x v="5"/>
    <x v="44"/>
    <n v="522"/>
    <x v="9"/>
    <x v="9"/>
  </r>
  <r>
    <x v="5"/>
    <x v="45"/>
    <n v="237"/>
    <x v="9"/>
    <x v="9"/>
  </r>
  <r>
    <x v="5"/>
    <x v="46"/>
    <n v="318"/>
    <x v="9"/>
    <x v="9"/>
  </r>
  <r>
    <x v="5"/>
    <x v="47"/>
    <n v="432"/>
    <x v="9"/>
    <x v="9"/>
  </r>
  <r>
    <x v="5"/>
    <x v="48"/>
    <n v="474"/>
    <x v="9"/>
    <x v="9"/>
  </r>
  <r>
    <x v="5"/>
    <x v="49"/>
    <n v="625"/>
    <x v="9"/>
    <x v="9"/>
  </r>
  <r>
    <x v="5"/>
    <x v="50"/>
    <n v="791"/>
    <x v="9"/>
    <x v="9"/>
  </r>
  <r>
    <x v="5"/>
    <x v="51"/>
    <n v="338"/>
    <x v="9"/>
    <x v="9"/>
  </r>
  <r>
    <x v="5"/>
    <x v="0"/>
    <n v="59"/>
    <x v="10"/>
    <x v="10"/>
  </r>
  <r>
    <x v="5"/>
    <x v="1"/>
    <n v="236"/>
    <x v="10"/>
    <x v="10"/>
  </r>
  <r>
    <x v="5"/>
    <x v="2"/>
    <n v="195"/>
    <x v="10"/>
    <x v="10"/>
  </r>
  <r>
    <x v="5"/>
    <x v="3"/>
    <n v="355"/>
    <x v="10"/>
    <x v="10"/>
  </r>
  <r>
    <x v="5"/>
    <x v="4"/>
    <n v="276"/>
    <x v="10"/>
    <x v="10"/>
  </r>
  <r>
    <x v="5"/>
    <x v="5"/>
    <n v="283"/>
    <x v="10"/>
    <x v="10"/>
  </r>
  <r>
    <x v="5"/>
    <x v="6"/>
    <n v="169"/>
    <x v="10"/>
    <x v="10"/>
  </r>
  <r>
    <x v="5"/>
    <x v="7"/>
    <n v="283"/>
    <x v="10"/>
    <x v="10"/>
  </r>
  <r>
    <x v="5"/>
    <x v="8"/>
    <n v="399"/>
    <x v="10"/>
    <x v="10"/>
  </r>
  <r>
    <x v="5"/>
    <x v="9"/>
    <n v="400"/>
    <x v="10"/>
    <x v="10"/>
  </r>
  <r>
    <x v="5"/>
    <x v="10"/>
    <n v="127"/>
    <x v="10"/>
    <x v="10"/>
  </r>
  <r>
    <x v="5"/>
    <x v="11"/>
    <n v="207"/>
    <x v="10"/>
    <x v="10"/>
  </r>
  <r>
    <x v="5"/>
    <x v="12"/>
    <n v="144"/>
    <x v="10"/>
    <x v="10"/>
  </r>
  <r>
    <x v="5"/>
    <x v="13"/>
    <n v="110"/>
    <x v="10"/>
    <x v="10"/>
  </r>
  <r>
    <x v="5"/>
    <x v="14"/>
    <n v="245"/>
    <x v="10"/>
    <x v="10"/>
  </r>
  <r>
    <x v="5"/>
    <x v="15"/>
    <n v="331"/>
    <x v="10"/>
    <x v="10"/>
  </r>
  <r>
    <x v="5"/>
    <x v="16"/>
    <n v="130"/>
    <x v="10"/>
    <x v="10"/>
  </r>
  <r>
    <x v="5"/>
    <x v="17"/>
    <n v="169"/>
    <x v="10"/>
    <x v="10"/>
  </r>
  <r>
    <x v="5"/>
    <x v="18"/>
    <n v="303"/>
    <x v="10"/>
    <x v="10"/>
  </r>
  <r>
    <x v="5"/>
    <x v="19"/>
    <n v="210"/>
    <x v="10"/>
    <x v="10"/>
  </r>
  <r>
    <x v="5"/>
    <x v="20"/>
    <n v="209"/>
    <x v="10"/>
    <x v="10"/>
  </r>
  <r>
    <x v="5"/>
    <x v="21"/>
    <n v="359"/>
    <x v="10"/>
    <x v="10"/>
  </r>
  <r>
    <x v="5"/>
    <x v="22"/>
    <n v="413"/>
    <x v="10"/>
    <x v="10"/>
  </r>
  <r>
    <x v="5"/>
    <x v="23"/>
    <n v="392"/>
    <x v="10"/>
    <x v="10"/>
  </r>
  <r>
    <x v="5"/>
    <x v="24"/>
    <n v="176"/>
    <x v="10"/>
    <x v="10"/>
  </r>
  <r>
    <x v="5"/>
    <x v="25"/>
    <n v="448"/>
    <x v="10"/>
    <x v="10"/>
  </r>
  <r>
    <x v="5"/>
    <x v="26"/>
    <n v="406"/>
    <x v="10"/>
    <x v="10"/>
  </r>
  <r>
    <x v="5"/>
    <x v="27"/>
    <n v="399"/>
    <x v="10"/>
    <x v="10"/>
  </r>
  <r>
    <x v="5"/>
    <x v="28"/>
    <n v="279"/>
    <x v="10"/>
    <x v="10"/>
  </r>
  <r>
    <x v="5"/>
    <x v="29"/>
    <n v="416"/>
    <x v="10"/>
    <x v="10"/>
  </r>
  <r>
    <x v="5"/>
    <x v="30"/>
    <n v="577"/>
    <x v="10"/>
    <x v="10"/>
  </r>
  <r>
    <x v="5"/>
    <x v="31"/>
    <n v="283"/>
    <x v="10"/>
    <x v="10"/>
  </r>
  <r>
    <x v="5"/>
    <x v="32"/>
    <n v="320"/>
    <x v="10"/>
    <x v="10"/>
  </r>
  <r>
    <x v="5"/>
    <x v="33"/>
    <n v="425"/>
    <x v="10"/>
    <x v="10"/>
  </r>
  <r>
    <x v="5"/>
    <x v="34"/>
    <n v="295"/>
    <x v="10"/>
    <x v="10"/>
  </r>
  <r>
    <x v="5"/>
    <x v="35"/>
    <n v="325"/>
    <x v="10"/>
    <x v="10"/>
  </r>
  <r>
    <x v="5"/>
    <x v="36"/>
    <n v="244"/>
    <x v="10"/>
    <x v="10"/>
  </r>
  <r>
    <x v="5"/>
    <x v="37"/>
    <n v="268"/>
    <x v="10"/>
    <x v="10"/>
  </r>
  <r>
    <x v="5"/>
    <x v="38"/>
    <n v="884"/>
    <x v="10"/>
    <x v="10"/>
  </r>
  <r>
    <x v="5"/>
    <x v="39"/>
    <n v="445"/>
    <x v="10"/>
    <x v="10"/>
  </r>
  <r>
    <x v="5"/>
    <x v="40"/>
    <n v="325"/>
    <x v="10"/>
    <x v="10"/>
  </r>
  <r>
    <x v="5"/>
    <x v="41"/>
    <n v="198"/>
    <x v="10"/>
    <x v="10"/>
  </r>
  <r>
    <x v="5"/>
    <x v="42"/>
    <n v="553"/>
    <x v="10"/>
    <x v="10"/>
  </r>
  <r>
    <x v="5"/>
    <x v="43"/>
    <n v="177"/>
    <x v="10"/>
    <x v="10"/>
  </r>
  <r>
    <x v="5"/>
    <x v="44"/>
    <n v="239"/>
    <x v="10"/>
    <x v="10"/>
  </r>
  <r>
    <x v="5"/>
    <x v="45"/>
    <n v="930"/>
    <x v="10"/>
    <x v="10"/>
  </r>
  <r>
    <x v="5"/>
    <x v="46"/>
    <n v="593"/>
    <x v="10"/>
    <x v="10"/>
  </r>
  <r>
    <x v="5"/>
    <x v="47"/>
    <n v="846"/>
    <x v="10"/>
    <x v="10"/>
  </r>
  <r>
    <x v="5"/>
    <x v="48"/>
    <n v="401"/>
    <x v="10"/>
    <x v="10"/>
  </r>
  <r>
    <x v="5"/>
    <x v="49"/>
    <n v="429"/>
    <x v="10"/>
    <x v="10"/>
  </r>
  <r>
    <x v="5"/>
    <x v="50"/>
    <n v="695"/>
    <x v="10"/>
    <x v="10"/>
  </r>
  <r>
    <x v="5"/>
    <x v="51"/>
    <n v="294"/>
    <x v="10"/>
    <x v="10"/>
  </r>
  <r>
    <x v="0"/>
    <x v="0"/>
    <n v="167"/>
    <x v="10"/>
    <x v="10"/>
  </r>
  <r>
    <x v="0"/>
    <x v="1"/>
    <n v="62"/>
    <x v="10"/>
    <x v="10"/>
  </r>
  <r>
    <x v="0"/>
    <x v="2"/>
    <n v="48"/>
    <x v="10"/>
    <x v="10"/>
  </r>
  <r>
    <x v="0"/>
    <x v="3"/>
    <n v="41"/>
    <x v="10"/>
    <x v="10"/>
  </r>
  <r>
    <x v="0"/>
    <x v="4"/>
    <n v="212"/>
    <x v="10"/>
    <x v="10"/>
  </r>
  <r>
    <x v="0"/>
    <x v="5"/>
    <n v="139"/>
    <x v="10"/>
    <x v="10"/>
  </r>
  <r>
    <x v="0"/>
    <x v="6"/>
    <n v="76"/>
    <x v="10"/>
    <x v="10"/>
  </r>
  <r>
    <x v="0"/>
    <x v="7"/>
    <n v="190"/>
    <x v="10"/>
    <x v="10"/>
  </r>
  <r>
    <x v="0"/>
    <x v="8"/>
    <n v="81"/>
    <x v="10"/>
    <x v="10"/>
  </r>
  <r>
    <x v="0"/>
    <x v="9"/>
    <n v="115"/>
    <x v="10"/>
    <x v="10"/>
  </r>
  <r>
    <x v="0"/>
    <x v="10"/>
    <n v="105"/>
    <x v="10"/>
    <x v="10"/>
  </r>
  <r>
    <x v="0"/>
    <x v="11"/>
    <n v="162"/>
    <x v="10"/>
    <x v="10"/>
  </r>
  <r>
    <x v="0"/>
    <x v="12"/>
    <n v="130"/>
    <x v="10"/>
    <x v="10"/>
  </r>
  <r>
    <x v="0"/>
    <x v="13"/>
    <n v="142"/>
    <x v="10"/>
    <x v="10"/>
  </r>
  <r>
    <x v="0"/>
    <x v="14"/>
    <n v="195"/>
    <x v="10"/>
    <x v="10"/>
  </r>
  <r>
    <x v="0"/>
    <x v="15"/>
    <n v="79"/>
    <x v="10"/>
    <x v="10"/>
  </r>
  <r>
    <x v="0"/>
    <x v="16"/>
    <n v="66"/>
    <x v="10"/>
    <x v="10"/>
  </r>
  <r>
    <x v="0"/>
    <x v="17"/>
    <n v="212"/>
    <x v="10"/>
    <x v="10"/>
  </r>
  <r>
    <x v="0"/>
    <x v="18"/>
    <n v="99"/>
    <x v="10"/>
    <x v="10"/>
  </r>
  <r>
    <x v="0"/>
    <x v="19"/>
    <n v="181"/>
    <x v="10"/>
    <x v="10"/>
  </r>
  <r>
    <x v="0"/>
    <x v="20"/>
    <n v="55"/>
    <x v="10"/>
    <x v="10"/>
  </r>
  <r>
    <x v="0"/>
    <x v="21"/>
    <n v="164"/>
    <x v="10"/>
    <x v="10"/>
  </r>
  <r>
    <x v="0"/>
    <x v="22"/>
    <n v="75"/>
    <x v="10"/>
    <x v="10"/>
  </r>
  <r>
    <x v="0"/>
    <x v="23"/>
    <n v="227"/>
    <x v="10"/>
    <x v="10"/>
  </r>
  <r>
    <x v="0"/>
    <x v="24"/>
    <n v="107"/>
    <x v="10"/>
    <x v="10"/>
  </r>
  <r>
    <x v="0"/>
    <x v="25"/>
    <n v="226"/>
    <x v="10"/>
    <x v="10"/>
  </r>
  <r>
    <x v="0"/>
    <x v="26"/>
    <n v="244"/>
    <x v="10"/>
    <x v="10"/>
  </r>
  <r>
    <x v="0"/>
    <x v="27"/>
    <n v="255"/>
    <x v="10"/>
    <x v="10"/>
  </r>
  <r>
    <x v="0"/>
    <x v="28"/>
    <n v="175"/>
    <x v="10"/>
    <x v="10"/>
  </r>
  <r>
    <x v="0"/>
    <x v="29"/>
    <n v="96"/>
    <x v="10"/>
    <x v="10"/>
  </r>
  <r>
    <x v="0"/>
    <x v="30"/>
    <n v="125"/>
    <x v="10"/>
    <x v="10"/>
  </r>
  <r>
    <x v="0"/>
    <x v="31"/>
    <n v="216"/>
    <x v="10"/>
    <x v="10"/>
  </r>
  <r>
    <x v="0"/>
    <x v="32"/>
    <n v="96"/>
    <x v="10"/>
    <x v="10"/>
  </r>
  <r>
    <x v="0"/>
    <x v="33"/>
    <n v="155"/>
    <x v="10"/>
    <x v="10"/>
  </r>
  <r>
    <x v="0"/>
    <x v="34"/>
    <n v="148"/>
    <x v="10"/>
    <x v="10"/>
  </r>
  <r>
    <x v="0"/>
    <x v="35"/>
    <n v="83"/>
    <x v="10"/>
    <x v="10"/>
  </r>
  <r>
    <x v="0"/>
    <x v="36"/>
    <n v="435"/>
    <x v="10"/>
    <x v="10"/>
  </r>
  <r>
    <x v="0"/>
    <x v="37"/>
    <n v="194"/>
    <x v="10"/>
    <x v="10"/>
  </r>
  <r>
    <x v="0"/>
    <x v="38"/>
    <n v="205"/>
    <x v="10"/>
    <x v="10"/>
  </r>
  <r>
    <x v="0"/>
    <x v="39"/>
    <n v="130"/>
    <x v="10"/>
    <x v="10"/>
  </r>
  <r>
    <x v="0"/>
    <x v="40"/>
    <n v="417"/>
    <x v="10"/>
    <x v="10"/>
  </r>
  <r>
    <x v="0"/>
    <x v="41"/>
    <n v="158"/>
    <x v="10"/>
    <x v="10"/>
  </r>
  <r>
    <x v="0"/>
    <x v="42"/>
    <n v="297"/>
    <x v="10"/>
    <x v="10"/>
  </r>
  <r>
    <x v="0"/>
    <x v="43"/>
    <n v="219"/>
    <x v="10"/>
    <x v="10"/>
  </r>
  <r>
    <x v="0"/>
    <x v="44"/>
    <n v="282"/>
    <x v="10"/>
    <x v="10"/>
  </r>
  <r>
    <x v="0"/>
    <x v="45"/>
    <n v="277"/>
    <x v="10"/>
    <x v="10"/>
  </r>
  <r>
    <x v="0"/>
    <x v="46"/>
    <n v="177"/>
    <x v="10"/>
    <x v="10"/>
  </r>
  <r>
    <x v="0"/>
    <x v="47"/>
    <n v="111"/>
    <x v="10"/>
    <x v="10"/>
  </r>
  <r>
    <x v="0"/>
    <x v="48"/>
    <n v="258"/>
    <x v="10"/>
    <x v="10"/>
  </r>
  <r>
    <x v="0"/>
    <x v="49"/>
    <n v="355"/>
    <x v="10"/>
    <x v="10"/>
  </r>
  <r>
    <x v="0"/>
    <x v="50"/>
    <n v="163"/>
    <x v="10"/>
    <x v="10"/>
  </r>
  <r>
    <x v="0"/>
    <x v="51"/>
    <n v="203"/>
    <x v="10"/>
    <x v="10"/>
  </r>
  <r>
    <x v="0"/>
    <x v="0"/>
    <n v="225"/>
    <x v="11"/>
    <x v="11"/>
  </r>
  <r>
    <x v="0"/>
    <x v="1"/>
    <n v="212"/>
    <x v="11"/>
    <x v="11"/>
  </r>
  <r>
    <x v="0"/>
    <x v="2"/>
    <n v="61"/>
    <x v="11"/>
    <x v="11"/>
  </r>
  <r>
    <x v="0"/>
    <x v="3"/>
    <n v="116"/>
    <x v="11"/>
    <x v="11"/>
  </r>
  <r>
    <x v="0"/>
    <x v="4"/>
    <n v="89"/>
    <x v="11"/>
    <x v="11"/>
  </r>
  <r>
    <x v="0"/>
    <x v="5"/>
    <n v="209"/>
    <x v="11"/>
    <x v="11"/>
  </r>
  <r>
    <x v="0"/>
    <x v="6"/>
    <n v="274"/>
    <x v="11"/>
    <x v="11"/>
  </r>
  <r>
    <x v="0"/>
    <x v="7"/>
    <n v="69"/>
    <x v="11"/>
    <x v="11"/>
  </r>
  <r>
    <x v="0"/>
    <x v="8"/>
    <n v="238"/>
    <x v="11"/>
    <x v="11"/>
  </r>
  <r>
    <x v="0"/>
    <x v="9"/>
    <n v="149"/>
    <x v="11"/>
    <x v="11"/>
  </r>
  <r>
    <x v="0"/>
    <x v="10"/>
    <n v="79"/>
    <x v="11"/>
    <x v="11"/>
  </r>
  <r>
    <x v="0"/>
    <x v="11"/>
    <n v="235"/>
    <x v="11"/>
    <x v="11"/>
  </r>
  <r>
    <x v="0"/>
    <x v="12"/>
    <n v="134"/>
    <x v="11"/>
    <x v="11"/>
  </r>
  <r>
    <x v="0"/>
    <x v="13"/>
    <n v="357"/>
    <x v="11"/>
    <x v="11"/>
  </r>
  <r>
    <x v="0"/>
    <x v="14"/>
    <n v="272"/>
    <x v="11"/>
    <x v="11"/>
  </r>
  <r>
    <x v="0"/>
    <x v="15"/>
    <n v="282"/>
    <x v="11"/>
    <x v="11"/>
  </r>
  <r>
    <x v="0"/>
    <x v="16"/>
    <n v="157"/>
    <x v="11"/>
    <x v="11"/>
  </r>
  <r>
    <x v="0"/>
    <x v="17"/>
    <n v="106"/>
    <x v="11"/>
    <x v="11"/>
  </r>
  <r>
    <x v="0"/>
    <x v="18"/>
    <n v="252"/>
    <x v="11"/>
    <x v="11"/>
  </r>
  <r>
    <x v="0"/>
    <x v="19"/>
    <n v="157"/>
    <x v="11"/>
    <x v="11"/>
  </r>
  <r>
    <x v="0"/>
    <x v="20"/>
    <n v="383"/>
    <x v="11"/>
    <x v="11"/>
  </r>
  <r>
    <x v="0"/>
    <x v="21"/>
    <n v="123"/>
    <x v="11"/>
    <x v="11"/>
  </r>
  <r>
    <x v="0"/>
    <x v="22"/>
    <n v="67"/>
    <x v="11"/>
    <x v="11"/>
  </r>
  <r>
    <x v="0"/>
    <x v="23"/>
    <n v="68"/>
    <x v="11"/>
    <x v="11"/>
  </r>
  <r>
    <x v="0"/>
    <x v="24"/>
    <n v="453"/>
    <x v="11"/>
    <x v="11"/>
  </r>
  <r>
    <x v="0"/>
    <x v="25"/>
    <n v="309"/>
    <x v="11"/>
    <x v="11"/>
  </r>
  <r>
    <x v="0"/>
    <x v="26"/>
    <n v="249"/>
    <x v="11"/>
    <x v="11"/>
  </r>
  <r>
    <x v="0"/>
    <x v="27"/>
    <n v="243"/>
    <x v="11"/>
    <x v="11"/>
  </r>
  <r>
    <x v="0"/>
    <x v="28"/>
    <n v="126"/>
    <x v="11"/>
    <x v="11"/>
  </r>
  <r>
    <x v="0"/>
    <x v="29"/>
    <n v="394"/>
    <x v="11"/>
    <x v="11"/>
  </r>
  <r>
    <x v="0"/>
    <x v="30"/>
    <n v="433"/>
    <x v="11"/>
    <x v="11"/>
  </r>
  <r>
    <x v="0"/>
    <x v="31"/>
    <n v="459"/>
    <x v="11"/>
    <x v="11"/>
  </r>
  <r>
    <x v="0"/>
    <x v="32"/>
    <n v="235"/>
    <x v="11"/>
    <x v="11"/>
  </r>
  <r>
    <x v="0"/>
    <x v="33"/>
    <n v="148"/>
    <x v="11"/>
    <x v="11"/>
  </r>
  <r>
    <x v="0"/>
    <x v="34"/>
    <n v="224"/>
    <x v="11"/>
    <x v="11"/>
  </r>
  <r>
    <x v="0"/>
    <x v="35"/>
    <n v="76"/>
    <x v="11"/>
    <x v="11"/>
  </r>
  <r>
    <x v="0"/>
    <x v="36"/>
    <n v="382"/>
    <x v="11"/>
    <x v="11"/>
  </r>
  <r>
    <x v="0"/>
    <x v="37"/>
    <n v="137"/>
    <x v="11"/>
    <x v="11"/>
  </r>
  <r>
    <x v="0"/>
    <x v="38"/>
    <n v="265"/>
    <x v="11"/>
    <x v="11"/>
  </r>
  <r>
    <x v="0"/>
    <x v="39"/>
    <n v="147"/>
    <x v="11"/>
    <x v="11"/>
  </r>
  <r>
    <x v="0"/>
    <x v="40"/>
    <n v="493"/>
    <x v="11"/>
    <x v="11"/>
  </r>
  <r>
    <x v="0"/>
    <x v="41"/>
    <n v="156"/>
    <x v="11"/>
    <x v="11"/>
  </r>
  <r>
    <x v="0"/>
    <x v="42"/>
    <n v="233"/>
    <x v="11"/>
    <x v="11"/>
  </r>
  <r>
    <x v="0"/>
    <x v="43"/>
    <n v="155"/>
    <x v="11"/>
    <x v="11"/>
  </r>
  <r>
    <x v="0"/>
    <x v="44"/>
    <n v="206"/>
    <x v="11"/>
    <x v="11"/>
  </r>
  <r>
    <x v="0"/>
    <x v="45"/>
    <n v="189"/>
    <x v="11"/>
    <x v="11"/>
  </r>
  <r>
    <x v="0"/>
    <x v="46"/>
    <n v="97"/>
    <x v="11"/>
    <x v="11"/>
  </r>
  <r>
    <x v="0"/>
    <x v="47"/>
    <n v="136"/>
    <x v="11"/>
    <x v="11"/>
  </r>
  <r>
    <x v="0"/>
    <x v="48"/>
    <n v="401"/>
    <x v="11"/>
    <x v="11"/>
  </r>
  <r>
    <x v="0"/>
    <x v="49"/>
    <n v="493"/>
    <x v="11"/>
    <x v="11"/>
  </r>
  <r>
    <x v="0"/>
    <x v="50"/>
    <n v="257"/>
    <x v="11"/>
    <x v="11"/>
  </r>
  <r>
    <x v="0"/>
    <x v="51"/>
    <n v="237"/>
    <x v="11"/>
    <x v="11"/>
  </r>
  <r>
    <x v="5"/>
    <x v="0"/>
    <n v="244"/>
    <x v="11"/>
    <x v="11"/>
  </r>
  <r>
    <x v="5"/>
    <x v="1"/>
    <n v="160"/>
    <x v="11"/>
    <x v="11"/>
  </r>
  <r>
    <x v="5"/>
    <x v="2"/>
    <n v="298"/>
    <x v="11"/>
    <x v="11"/>
  </r>
  <r>
    <x v="5"/>
    <x v="3"/>
    <n v="238"/>
    <x v="11"/>
    <x v="11"/>
  </r>
  <r>
    <x v="5"/>
    <x v="4"/>
    <n v="316"/>
    <x v="11"/>
    <x v="11"/>
  </r>
  <r>
    <x v="5"/>
    <x v="5"/>
    <n v="238"/>
    <x v="11"/>
    <x v="11"/>
  </r>
  <r>
    <x v="5"/>
    <x v="6"/>
    <n v="299"/>
    <x v="11"/>
    <x v="11"/>
  </r>
  <r>
    <x v="5"/>
    <x v="7"/>
    <n v="326"/>
    <x v="11"/>
    <x v="11"/>
  </r>
  <r>
    <x v="5"/>
    <x v="8"/>
    <n v="114"/>
    <x v="11"/>
    <x v="11"/>
  </r>
  <r>
    <x v="5"/>
    <x v="9"/>
    <n v="182"/>
    <x v="11"/>
    <x v="11"/>
  </r>
  <r>
    <x v="5"/>
    <x v="10"/>
    <n v="77"/>
    <x v="11"/>
    <x v="11"/>
  </r>
  <r>
    <x v="5"/>
    <x v="11"/>
    <n v="279"/>
    <x v="11"/>
    <x v="11"/>
  </r>
  <r>
    <x v="5"/>
    <x v="12"/>
    <n v="435"/>
    <x v="11"/>
    <x v="11"/>
  </r>
  <r>
    <x v="5"/>
    <x v="13"/>
    <n v="248"/>
    <x v="11"/>
    <x v="11"/>
  </r>
  <r>
    <x v="5"/>
    <x v="14"/>
    <n v="315"/>
    <x v="11"/>
    <x v="11"/>
  </r>
  <r>
    <x v="5"/>
    <x v="15"/>
    <n v="110"/>
    <x v="11"/>
    <x v="11"/>
  </r>
  <r>
    <x v="5"/>
    <x v="16"/>
    <n v="118"/>
    <x v="11"/>
    <x v="11"/>
  </r>
  <r>
    <x v="5"/>
    <x v="17"/>
    <n v="167"/>
    <x v="11"/>
    <x v="11"/>
  </r>
  <r>
    <x v="5"/>
    <x v="18"/>
    <n v="506"/>
    <x v="11"/>
    <x v="11"/>
  </r>
  <r>
    <x v="5"/>
    <x v="19"/>
    <n v="224"/>
    <x v="11"/>
    <x v="11"/>
  </r>
  <r>
    <x v="5"/>
    <x v="20"/>
    <n v="60"/>
    <x v="11"/>
    <x v="11"/>
  </r>
  <r>
    <x v="5"/>
    <x v="21"/>
    <n v="579"/>
    <x v="11"/>
    <x v="11"/>
  </r>
  <r>
    <x v="5"/>
    <x v="22"/>
    <n v="195"/>
    <x v="11"/>
    <x v="11"/>
  </r>
  <r>
    <x v="5"/>
    <x v="23"/>
    <n v="639"/>
    <x v="11"/>
    <x v="11"/>
  </r>
  <r>
    <x v="5"/>
    <x v="24"/>
    <n v="323"/>
    <x v="11"/>
    <x v="11"/>
  </r>
  <r>
    <x v="5"/>
    <x v="25"/>
    <n v="458"/>
    <x v="11"/>
    <x v="11"/>
  </r>
  <r>
    <x v="5"/>
    <x v="26"/>
    <n v="326"/>
    <x v="11"/>
    <x v="11"/>
  </r>
  <r>
    <x v="5"/>
    <x v="27"/>
    <n v="471"/>
    <x v="11"/>
    <x v="11"/>
  </r>
  <r>
    <x v="5"/>
    <x v="28"/>
    <n v="167"/>
    <x v="11"/>
    <x v="11"/>
  </r>
  <r>
    <x v="5"/>
    <x v="29"/>
    <n v="115"/>
    <x v="11"/>
    <x v="11"/>
  </r>
  <r>
    <x v="5"/>
    <x v="30"/>
    <n v="252"/>
    <x v="11"/>
    <x v="11"/>
  </r>
  <r>
    <x v="5"/>
    <x v="31"/>
    <n v="150"/>
    <x v="11"/>
    <x v="11"/>
  </r>
  <r>
    <x v="5"/>
    <x v="32"/>
    <n v="115"/>
    <x v="11"/>
    <x v="11"/>
  </r>
  <r>
    <x v="5"/>
    <x v="33"/>
    <n v="348"/>
    <x v="11"/>
    <x v="11"/>
  </r>
  <r>
    <x v="5"/>
    <x v="34"/>
    <n v="445"/>
    <x v="11"/>
    <x v="11"/>
  </r>
  <r>
    <x v="5"/>
    <x v="35"/>
    <n v="342"/>
    <x v="11"/>
    <x v="11"/>
  </r>
  <r>
    <x v="5"/>
    <x v="36"/>
    <n v="767"/>
    <x v="11"/>
    <x v="11"/>
  </r>
  <r>
    <x v="5"/>
    <x v="37"/>
    <n v="267"/>
    <x v="11"/>
    <x v="11"/>
  </r>
  <r>
    <x v="5"/>
    <x v="38"/>
    <n v="243"/>
    <x v="11"/>
    <x v="11"/>
  </r>
  <r>
    <x v="5"/>
    <x v="39"/>
    <n v="781"/>
    <x v="11"/>
    <x v="11"/>
  </r>
  <r>
    <x v="5"/>
    <x v="40"/>
    <n v="572"/>
    <x v="11"/>
    <x v="11"/>
  </r>
  <r>
    <x v="5"/>
    <x v="41"/>
    <n v="117"/>
    <x v="11"/>
    <x v="11"/>
  </r>
  <r>
    <x v="5"/>
    <x v="42"/>
    <n v="260"/>
    <x v="11"/>
    <x v="11"/>
  </r>
  <r>
    <x v="5"/>
    <x v="43"/>
    <n v="206"/>
    <x v="11"/>
    <x v="11"/>
  </r>
  <r>
    <x v="5"/>
    <x v="44"/>
    <n v="393"/>
    <x v="11"/>
    <x v="11"/>
  </r>
  <r>
    <x v="5"/>
    <x v="45"/>
    <n v="631"/>
    <x v="11"/>
    <x v="11"/>
  </r>
  <r>
    <x v="5"/>
    <x v="46"/>
    <n v="225"/>
    <x v="11"/>
    <x v="11"/>
  </r>
  <r>
    <x v="5"/>
    <x v="47"/>
    <n v="253"/>
    <x v="11"/>
    <x v="11"/>
  </r>
  <r>
    <x v="5"/>
    <x v="48"/>
    <n v="69"/>
    <x v="11"/>
    <x v="11"/>
  </r>
  <r>
    <x v="5"/>
    <x v="49"/>
    <n v="779"/>
    <x v="11"/>
    <x v="11"/>
  </r>
  <r>
    <x v="5"/>
    <x v="50"/>
    <n v="392"/>
    <x v="11"/>
    <x v="11"/>
  </r>
  <r>
    <x v="5"/>
    <x v="51"/>
    <n v="776"/>
    <x v="11"/>
    <x v="11"/>
  </r>
  <r>
    <x v="0"/>
    <x v="0"/>
    <n v="308"/>
    <x v="12"/>
    <x v="12"/>
  </r>
  <r>
    <x v="0"/>
    <x v="1"/>
    <n v="79"/>
    <x v="12"/>
    <x v="12"/>
  </r>
  <r>
    <x v="0"/>
    <x v="2"/>
    <n v="352"/>
    <x v="12"/>
    <x v="12"/>
  </r>
  <r>
    <x v="0"/>
    <x v="3"/>
    <n v="317"/>
    <x v="12"/>
    <x v="12"/>
  </r>
  <r>
    <x v="0"/>
    <x v="4"/>
    <n v="95"/>
    <x v="12"/>
    <x v="12"/>
  </r>
  <r>
    <x v="0"/>
    <x v="5"/>
    <n v="160"/>
    <x v="12"/>
    <x v="12"/>
  </r>
  <r>
    <x v="0"/>
    <x v="6"/>
    <n v="405"/>
    <x v="12"/>
    <x v="12"/>
  </r>
  <r>
    <x v="0"/>
    <x v="7"/>
    <n v="151"/>
    <x v="12"/>
    <x v="12"/>
  </r>
  <r>
    <x v="0"/>
    <x v="8"/>
    <n v="267"/>
    <x v="12"/>
    <x v="12"/>
  </r>
  <r>
    <x v="0"/>
    <x v="9"/>
    <n v="232"/>
    <x v="12"/>
    <x v="12"/>
  </r>
  <r>
    <x v="0"/>
    <x v="10"/>
    <n v="216"/>
    <x v="12"/>
    <x v="12"/>
  </r>
  <r>
    <x v="0"/>
    <x v="11"/>
    <n v="179"/>
    <x v="12"/>
    <x v="12"/>
  </r>
  <r>
    <x v="0"/>
    <x v="12"/>
    <n v="408"/>
    <x v="12"/>
    <x v="12"/>
  </r>
  <r>
    <x v="0"/>
    <x v="13"/>
    <n v="405"/>
    <x v="12"/>
    <x v="12"/>
  </r>
  <r>
    <x v="0"/>
    <x v="14"/>
    <n v="450"/>
    <x v="12"/>
    <x v="12"/>
  </r>
  <r>
    <x v="0"/>
    <x v="15"/>
    <n v="186"/>
    <x v="12"/>
    <x v="12"/>
  </r>
  <r>
    <x v="0"/>
    <x v="16"/>
    <n v="233"/>
    <x v="12"/>
    <x v="12"/>
  </r>
  <r>
    <x v="0"/>
    <x v="17"/>
    <n v="410"/>
    <x v="12"/>
    <x v="12"/>
  </r>
  <r>
    <x v="0"/>
    <x v="18"/>
    <n v="323"/>
    <x v="12"/>
    <x v="12"/>
  </r>
  <r>
    <x v="0"/>
    <x v="19"/>
    <n v="558"/>
    <x v="12"/>
    <x v="12"/>
  </r>
  <r>
    <x v="0"/>
    <x v="20"/>
    <n v="120"/>
    <x v="12"/>
    <x v="12"/>
  </r>
  <r>
    <x v="0"/>
    <x v="21"/>
    <n v="683"/>
    <x v="12"/>
    <x v="12"/>
  </r>
  <r>
    <x v="0"/>
    <x v="22"/>
    <n v="594"/>
    <x v="12"/>
    <x v="12"/>
  </r>
  <r>
    <x v="0"/>
    <x v="23"/>
    <n v="346"/>
    <x v="12"/>
    <x v="12"/>
  </r>
  <r>
    <x v="0"/>
    <x v="24"/>
    <n v="514"/>
    <x v="12"/>
    <x v="12"/>
  </r>
  <r>
    <x v="0"/>
    <x v="25"/>
    <n v="411"/>
    <x v="12"/>
    <x v="12"/>
  </r>
  <r>
    <x v="0"/>
    <x v="26"/>
    <n v="185"/>
    <x v="12"/>
    <x v="12"/>
  </r>
  <r>
    <x v="0"/>
    <x v="27"/>
    <n v="347"/>
    <x v="12"/>
    <x v="12"/>
  </r>
  <r>
    <x v="0"/>
    <x v="28"/>
    <n v="575"/>
    <x v="12"/>
    <x v="12"/>
  </r>
  <r>
    <x v="0"/>
    <x v="29"/>
    <n v="555"/>
    <x v="12"/>
    <x v="12"/>
  </r>
  <r>
    <x v="0"/>
    <x v="30"/>
    <n v="202"/>
    <x v="12"/>
    <x v="12"/>
  </r>
  <r>
    <x v="0"/>
    <x v="31"/>
    <n v="284"/>
    <x v="12"/>
    <x v="12"/>
  </r>
  <r>
    <x v="0"/>
    <x v="32"/>
    <n v="611"/>
    <x v="12"/>
    <x v="12"/>
  </r>
  <r>
    <x v="0"/>
    <x v="33"/>
    <n v="253"/>
    <x v="12"/>
    <x v="12"/>
  </r>
  <r>
    <x v="0"/>
    <x v="34"/>
    <n v="281"/>
    <x v="12"/>
    <x v="12"/>
  </r>
  <r>
    <x v="0"/>
    <x v="35"/>
    <n v="251"/>
    <x v="12"/>
    <x v="12"/>
  </r>
  <r>
    <x v="0"/>
    <x v="36"/>
    <n v="698"/>
    <x v="12"/>
    <x v="12"/>
  </r>
  <r>
    <x v="0"/>
    <x v="37"/>
    <n v="386"/>
    <x v="12"/>
    <x v="12"/>
  </r>
  <r>
    <x v="0"/>
    <x v="38"/>
    <n v="317"/>
    <x v="12"/>
    <x v="12"/>
  </r>
  <r>
    <x v="0"/>
    <x v="39"/>
    <n v="272"/>
    <x v="12"/>
    <x v="12"/>
  </r>
  <r>
    <x v="0"/>
    <x v="40"/>
    <n v="308"/>
    <x v="12"/>
    <x v="12"/>
  </r>
  <r>
    <x v="0"/>
    <x v="41"/>
    <n v="155"/>
    <x v="12"/>
    <x v="12"/>
  </r>
  <r>
    <x v="0"/>
    <x v="42"/>
    <n v="360"/>
    <x v="12"/>
    <x v="12"/>
  </r>
  <r>
    <x v="0"/>
    <x v="43"/>
    <n v="769"/>
    <x v="12"/>
    <x v="12"/>
  </r>
  <r>
    <x v="0"/>
    <x v="44"/>
    <n v="422"/>
    <x v="12"/>
    <x v="12"/>
  </r>
  <r>
    <x v="0"/>
    <x v="45"/>
    <n v="374"/>
    <x v="12"/>
    <x v="12"/>
  </r>
  <r>
    <x v="0"/>
    <x v="46"/>
    <n v="1043"/>
    <x v="12"/>
    <x v="12"/>
  </r>
  <r>
    <x v="0"/>
    <x v="47"/>
    <n v="544"/>
    <x v="12"/>
    <x v="12"/>
  </r>
  <r>
    <x v="0"/>
    <x v="48"/>
    <n v="963"/>
    <x v="12"/>
    <x v="12"/>
  </r>
  <r>
    <x v="0"/>
    <x v="49"/>
    <n v="298"/>
    <x v="12"/>
    <x v="12"/>
  </r>
  <r>
    <x v="0"/>
    <x v="50"/>
    <n v="459"/>
    <x v="12"/>
    <x v="12"/>
  </r>
  <r>
    <x v="0"/>
    <x v="51"/>
    <n v="439"/>
    <x v="12"/>
    <x v="12"/>
  </r>
  <r>
    <x v="1"/>
    <x v="0"/>
    <n v="2"/>
    <x v="12"/>
    <x v="12"/>
  </r>
  <r>
    <x v="1"/>
    <x v="1"/>
    <n v="12"/>
    <x v="12"/>
    <x v="12"/>
  </r>
  <r>
    <x v="1"/>
    <x v="2"/>
    <n v="11"/>
    <x v="12"/>
    <x v="12"/>
  </r>
  <r>
    <x v="1"/>
    <x v="3"/>
    <n v="10"/>
    <x v="12"/>
    <x v="12"/>
  </r>
  <r>
    <x v="1"/>
    <x v="4"/>
    <n v="6"/>
    <x v="12"/>
    <x v="12"/>
  </r>
  <r>
    <x v="1"/>
    <x v="5"/>
    <n v="10"/>
    <x v="12"/>
    <x v="12"/>
  </r>
  <r>
    <x v="1"/>
    <x v="6"/>
    <n v="3"/>
    <x v="12"/>
    <x v="12"/>
  </r>
  <r>
    <x v="1"/>
    <x v="7"/>
    <n v="8"/>
    <x v="12"/>
    <x v="12"/>
  </r>
  <r>
    <x v="1"/>
    <x v="8"/>
    <n v="6"/>
    <x v="12"/>
    <x v="12"/>
  </r>
  <r>
    <x v="1"/>
    <x v="9"/>
    <n v="6"/>
    <x v="12"/>
    <x v="12"/>
  </r>
  <r>
    <x v="1"/>
    <x v="10"/>
    <n v="13"/>
    <x v="12"/>
    <x v="12"/>
  </r>
  <r>
    <x v="1"/>
    <x v="11"/>
    <n v="18"/>
    <x v="12"/>
    <x v="12"/>
  </r>
  <r>
    <x v="1"/>
    <x v="12"/>
    <n v="5"/>
    <x v="12"/>
    <x v="12"/>
  </r>
  <r>
    <x v="1"/>
    <x v="13"/>
    <n v="9"/>
    <x v="12"/>
    <x v="12"/>
  </r>
  <r>
    <x v="1"/>
    <x v="14"/>
    <n v="3"/>
    <x v="12"/>
    <x v="12"/>
  </r>
  <r>
    <x v="1"/>
    <x v="15"/>
    <n v="12"/>
    <x v="12"/>
    <x v="12"/>
  </r>
  <r>
    <x v="1"/>
    <x v="16"/>
    <n v="5"/>
    <x v="12"/>
    <x v="12"/>
  </r>
  <r>
    <x v="1"/>
    <x v="17"/>
    <n v="13"/>
    <x v="12"/>
    <x v="12"/>
  </r>
  <r>
    <x v="1"/>
    <x v="18"/>
    <n v="11"/>
    <x v="12"/>
    <x v="12"/>
  </r>
  <r>
    <x v="1"/>
    <x v="19"/>
    <n v="4"/>
    <x v="12"/>
    <x v="12"/>
  </r>
  <r>
    <x v="1"/>
    <x v="20"/>
    <n v="16"/>
    <x v="12"/>
    <x v="12"/>
  </r>
  <r>
    <x v="1"/>
    <x v="21"/>
    <n v="18"/>
    <x v="12"/>
    <x v="12"/>
  </r>
  <r>
    <x v="1"/>
    <x v="22"/>
    <n v="11"/>
    <x v="12"/>
    <x v="12"/>
  </r>
  <r>
    <x v="1"/>
    <x v="23"/>
    <n v="11"/>
    <x v="12"/>
    <x v="12"/>
  </r>
  <r>
    <x v="1"/>
    <x v="24"/>
    <n v="14"/>
    <x v="12"/>
    <x v="12"/>
  </r>
  <r>
    <x v="1"/>
    <x v="25"/>
    <n v="14"/>
    <x v="12"/>
    <x v="12"/>
  </r>
  <r>
    <x v="1"/>
    <x v="26"/>
    <n v="16"/>
    <x v="12"/>
    <x v="12"/>
  </r>
  <r>
    <x v="1"/>
    <x v="27"/>
    <n v="13"/>
    <x v="12"/>
    <x v="12"/>
  </r>
  <r>
    <x v="1"/>
    <x v="28"/>
    <n v="17"/>
    <x v="12"/>
    <x v="12"/>
  </r>
  <r>
    <x v="1"/>
    <x v="29"/>
    <n v="6"/>
    <x v="12"/>
    <x v="12"/>
  </r>
  <r>
    <x v="1"/>
    <x v="30"/>
    <n v="7"/>
    <x v="12"/>
    <x v="12"/>
  </r>
  <r>
    <x v="1"/>
    <x v="31"/>
    <n v="27"/>
    <x v="12"/>
    <x v="12"/>
  </r>
  <r>
    <x v="1"/>
    <x v="32"/>
    <n v="14"/>
    <x v="12"/>
    <x v="12"/>
  </r>
  <r>
    <x v="1"/>
    <x v="33"/>
    <n v="26"/>
    <x v="12"/>
    <x v="12"/>
  </r>
  <r>
    <x v="1"/>
    <x v="34"/>
    <n v="15"/>
    <x v="12"/>
    <x v="12"/>
  </r>
  <r>
    <x v="1"/>
    <x v="35"/>
    <n v="15"/>
    <x v="12"/>
    <x v="12"/>
  </r>
  <r>
    <x v="1"/>
    <x v="36"/>
    <n v="8"/>
    <x v="12"/>
    <x v="12"/>
  </r>
  <r>
    <x v="1"/>
    <x v="37"/>
    <n v="24"/>
    <x v="12"/>
    <x v="12"/>
  </r>
  <r>
    <x v="1"/>
    <x v="38"/>
    <n v="2"/>
    <x v="12"/>
    <x v="12"/>
  </r>
  <r>
    <x v="1"/>
    <x v="39"/>
    <n v="17"/>
    <x v="12"/>
    <x v="12"/>
  </r>
  <r>
    <x v="1"/>
    <x v="40"/>
    <n v="15"/>
    <x v="12"/>
    <x v="12"/>
  </r>
  <r>
    <x v="1"/>
    <x v="41"/>
    <n v="17"/>
    <x v="12"/>
    <x v="12"/>
  </r>
  <r>
    <x v="1"/>
    <x v="42"/>
    <n v="11"/>
    <x v="12"/>
    <x v="12"/>
  </r>
  <r>
    <x v="1"/>
    <x v="43"/>
    <n v="9"/>
    <x v="12"/>
    <x v="12"/>
  </r>
  <r>
    <x v="1"/>
    <x v="44"/>
    <n v="22"/>
    <x v="12"/>
    <x v="12"/>
  </r>
  <r>
    <x v="1"/>
    <x v="45"/>
    <n v="28"/>
    <x v="12"/>
    <x v="12"/>
  </r>
  <r>
    <x v="1"/>
    <x v="46"/>
    <n v="16"/>
    <x v="12"/>
    <x v="12"/>
  </r>
  <r>
    <x v="1"/>
    <x v="47"/>
    <n v="8"/>
    <x v="12"/>
    <x v="12"/>
  </r>
  <r>
    <x v="1"/>
    <x v="48"/>
    <n v="27"/>
    <x v="12"/>
    <x v="12"/>
  </r>
  <r>
    <x v="1"/>
    <x v="49"/>
    <n v="10"/>
    <x v="12"/>
    <x v="12"/>
  </r>
  <r>
    <x v="1"/>
    <x v="50"/>
    <n v="26"/>
    <x v="12"/>
    <x v="12"/>
  </r>
  <r>
    <x v="1"/>
    <x v="51"/>
    <n v="8"/>
    <x v="12"/>
    <x v="12"/>
  </r>
  <r>
    <x v="1"/>
    <x v="0"/>
    <n v="53"/>
    <x v="13"/>
    <x v="13"/>
  </r>
  <r>
    <x v="1"/>
    <x v="1"/>
    <n v="158"/>
    <x v="13"/>
    <x v="13"/>
  </r>
  <r>
    <x v="1"/>
    <x v="2"/>
    <n v="48"/>
    <x v="13"/>
    <x v="13"/>
  </r>
  <r>
    <x v="1"/>
    <x v="3"/>
    <n v="150"/>
    <x v="13"/>
    <x v="13"/>
  </r>
  <r>
    <x v="1"/>
    <x v="4"/>
    <n v="119"/>
    <x v="13"/>
    <x v="13"/>
  </r>
  <r>
    <x v="1"/>
    <x v="5"/>
    <n v="197"/>
    <x v="13"/>
    <x v="13"/>
  </r>
  <r>
    <x v="1"/>
    <x v="6"/>
    <n v="52"/>
    <x v="13"/>
    <x v="13"/>
  </r>
  <r>
    <x v="1"/>
    <x v="7"/>
    <n v="160"/>
    <x v="13"/>
    <x v="13"/>
  </r>
  <r>
    <x v="1"/>
    <x v="8"/>
    <n v="180"/>
    <x v="13"/>
    <x v="13"/>
  </r>
  <r>
    <x v="1"/>
    <x v="9"/>
    <n v="153"/>
    <x v="13"/>
    <x v="13"/>
  </r>
  <r>
    <x v="1"/>
    <x v="10"/>
    <n v="222"/>
    <x v="13"/>
    <x v="13"/>
  </r>
  <r>
    <x v="1"/>
    <x v="11"/>
    <n v="137"/>
    <x v="13"/>
    <x v="13"/>
  </r>
  <r>
    <x v="1"/>
    <x v="12"/>
    <n v="91"/>
    <x v="13"/>
    <x v="13"/>
  </r>
  <r>
    <x v="1"/>
    <x v="13"/>
    <n v="72"/>
    <x v="13"/>
    <x v="13"/>
  </r>
  <r>
    <x v="1"/>
    <x v="14"/>
    <n v="148"/>
    <x v="13"/>
    <x v="13"/>
  </r>
  <r>
    <x v="1"/>
    <x v="15"/>
    <n v="104"/>
    <x v="13"/>
    <x v="13"/>
  </r>
  <r>
    <x v="1"/>
    <x v="16"/>
    <n v="44"/>
    <x v="13"/>
    <x v="13"/>
  </r>
  <r>
    <x v="1"/>
    <x v="17"/>
    <n v="185"/>
    <x v="13"/>
    <x v="13"/>
  </r>
  <r>
    <x v="1"/>
    <x v="18"/>
    <n v="255"/>
    <x v="13"/>
    <x v="13"/>
  </r>
  <r>
    <x v="1"/>
    <x v="19"/>
    <n v="121"/>
    <x v="13"/>
    <x v="13"/>
  </r>
  <r>
    <x v="1"/>
    <x v="20"/>
    <n v="110"/>
    <x v="13"/>
    <x v="13"/>
  </r>
  <r>
    <x v="1"/>
    <x v="21"/>
    <n v="191"/>
    <x v="13"/>
    <x v="13"/>
  </r>
  <r>
    <x v="1"/>
    <x v="22"/>
    <n v="94"/>
    <x v="13"/>
    <x v="13"/>
  </r>
  <r>
    <x v="1"/>
    <x v="23"/>
    <n v="232"/>
    <x v="13"/>
    <x v="13"/>
  </r>
  <r>
    <x v="1"/>
    <x v="24"/>
    <n v="70"/>
    <x v="13"/>
    <x v="13"/>
  </r>
  <r>
    <x v="1"/>
    <x v="25"/>
    <n v="357"/>
    <x v="13"/>
    <x v="13"/>
  </r>
  <r>
    <x v="1"/>
    <x v="26"/>
    <n v="104"/>
    <x v="13"/>
    <x v="13"/>
  </r>
  <r>
    <x v="1"/>
    <x v="27"/>
    <n v="185"/>
    <x v="13"/>
    <x v="13"/>
  </r>
  <r>
    <x v="1"/>
    <x v="28"/>
    <n v="283"/>
    <x v="13"/>
    <x v="13"/>
  </r>
  <r>
    <x v="1"/>
    <x v="29"/>
    <n v="74"/>
    <x v="13"/>
    <x v="13"/>
  </r>
  <r>
    <x v="1"/>
    <x v="30"/>
    <n v="207"/>
    <x v="13"/>
    <x v="13"/>
  </r>
  <r>
    <x v="1"/>
    <x v="31"/>
    <n v="316"/>
    <x v="13"/>
    <x v="13"/>
  </r>
  <r>
    <x v="1"/>
    <x v="32"/>
    <n v="191"/>
    <x v="13"/>
    <x v="13"/>
  </r>
  <r>
    <x v="1"/>
    <x v="33"/>
    <n v="276"/>
    <x v="13"/>
    <x v="13"/>
  </r>
  <r>
    <x v="1"/>
    <x v="34"/>
    <n v="114"/>
    <x v="13"/>
    <x v="13"/>
  </r>
  <r>
    <x v="1"/>
    <x v="35"/>
    <n v="330"/>
    <x v="13"/>
    <x v="13"/>
  </r>
  <r>
    <x v="1"/>
    <x v="36"/>
    <n v="188"/>
    <x v="13"/>
    <x v="13"/>
  </r>
  <r>
    <x v="1"/>
    <x v="37"/>
    <n v="446"/>
    <x v="13"/>
    <x v="13"/>
  </r>
  <r>
    <x v="1"/>
    <x v="38"/>
    <n v="245"/>
    <x v="13"/>
    <x v="13"/>
  </r>
  <r>
    <x v="1"/>
    <x v="39"/>
    <n v="430"/>
    <x v="13"/>
    <x v="13"/>
  </r>
  <r>
    <x v="1"/>
    <x v="40"/>
    <n v="186"/>
    <x v="13"/>
    <x v="13"/>
  </r>
  <r>
    <x v="1"/>
    <x v="41"/>
    <n v="180"/>
    <x v="13"/>
    <x v="13"/>
  </r>
  <r>
    <x v="1"/>
    <x v="42"/>
    <n v="324"/>
    <x v="13"/>
    <x v="13"/>
  </r>
  <r>
    <x v="1"/>
    <x v="43"/>
    <n v="159"/>
    <x v="13"/>
    <x v="13"/>
  </r>
  <r>
    <x v="1"/>
    <x v="44"/>
    <n v="138"/>
    <x v="13"/>
    <x v="13"/>
  </r>
  <r>
    <x v="1"/>
    <x v="45"/>
    <n v="383"/>
    <x v="13"/>
    <x v="13"/>
  </r>
  <r>
    <x v="1"/>
    <x v="46"/>
    <n v="179"/>
    <x v="13"/>
    <x v="13"/>
  </r>
  <r>
    <x v="1"/>
    <x v="47"/>
    <n v="430"/>
    <x v="13"/>
    <x v="13"/>
  </r>
  <r>
    <x v="1"/>
    <x v="48"/>
    <n v="155"/>
    <x v="13"/>
    <x v="13"/>
  </r>
  <r>
    <x v="1"/>
    <x v="49"/>
    <n v="138"/>
    <x v="13"/>
    <x v="13"/>
  </r>
  <r>
    <x v="1"/>
    <x v="50"/>
    <n v="197"/>
    <x v="13"/>
    <x v="13"/>
  </r>
  <r>
    <x v="1"/>
    <x v="51"/>
    <n v="265"/>
    <x v="13"/>
    <x v="13"/>
  </r>
  <r>
    <x v="0"/>
    <x v="0"/>
    <n v="168"/>
    <x v="13"/>
    <x v="13"/>
  </r>
  <r>
    <x v="0"/>
    <x v="1"/>
    <n v="495"/>
    <x v="13"/>
    <x v="13"/>
  </r>
  <r>
    <x v="0"/>
    <x v="2"/>
    <n v="161"/>
    <x v="13"/>
    <x v="13"/>
  </r>
  <r>
    <x v="0"/>
    <x v="3"/>
    <n v="403"/>
    <x v="13"/>
    <x v="13"/>
  </r>
  <r>
    <x v="0"/>
    <x v="4"/>
    <n v="233"/>
    <x v="13"/>
    <x v="13"/>
  </r>
  <r>
    <x v="0"/>
    <x v="5"/>
    <n v="518"/>
    <x v="13"/>
    <x v="13"/>
  </r>
  <r>
    <x v="0"/>
    <x v="6"/>
    <n v="150"/>
    <x v="13"/>
    <x v="13"/>
  </r>
  <r>
    <x v="0"/>
    <x v="7"/>
    <n v="120"/>
    <x v="13"/>
    <x v="13"/>
  </r>
  <r>
    <x v="0"/>
    <x v="8"/>
    <n v="352"/>
    <x v="13"/>
    <x v="13"/>
  </r>
  <r>
    <x v="0"/>
    <x v="9"/>
    <n v="589"/>
    <x v="13"/>
    <x v="13"/>
  </r>
  <r>
    <x v="0"/>
    <x v="10"/>
    <n v="411"/>
    <x v="13"/>
    <x v="13"/>
  </r>
  <r>
    <x v="0"/>
    <x v="11"/>
    <n v="403"/>
    <x v="13"/>
    <x v="13"/>
  </r>
  <r>
    <x v="0"/>
    <x v="12"/>
    <n v="715"/>
    <x v="13"/>
    <x v="13"/>
  </r>
  <r>
    <x v="0"/>
    <x v="13"/>
    <n v="229"/>
    <x v="13"/>
    <x v="13"/>
  </r>
  <r>
    <x v="0"/>
    <x v="14"/>
    <n v="418"/>
    <x v="13"/>
    <x v="13"/>
  </r>
  <r>
    <x v="0"/>
    <x v="15"/>
    <n v="607"/>
    <x v="13"/>
    <x v="13"/>
  </r>
  <r>
    <x v="0"/>
    <x v="16"/>
    <n v="291"/>
    <x v="13"/>
    <x v="13"/>
  </r>
  <r>
    <x v="0"/>
    <x v="17"/>
    <n v="556"/>
    <x v="13"/>
    <x v="13"/>
  </r>
  <r>
    <x v="0"/>
    <x v="18"/>
    <n v="313"/>
    <x v="13"/>
    <x v="13"/>
  </r>
  <r>
    <x v="0"/>
    <x v="19"/>
    <n v="539"/>
    <x v="13"/>
    <x v="13"/>
  </r>
  <r>
    <x v="0"/>
    <x v="20"/>
    <n v="566"/>
    <x v="13"/>
    <x v="13"/>
  </r>
  <r>
    <x v="0"/>
    <x v="21"/>
    <n v="156"/>
    <x v="13"/>
    <x v="13"/>
  </r>
  <r>
    <x v="0"/>
    <x v="22"/>
    <n v="445"/>
    <x v="13"/>
    <x v="13"/>
  </r>
  <r>
    <x v="0"/>
    <x v="23"/>
    <n v="565"/>
    <x v="13"/>
    <x v="13"/>
  </r>
  <r>
    <x v="0"/>
    <x v="24"/>
    <n v="689"/>
    <x v="13"/>
    <x v="13"/>
  </r>
  <r>
    <x v="0"/>
    <x v="25"/>
    <n v="306"/>
    <x v="13"/>
    <x v="13"/>
  </r>
  <r>
    <x v="0"/>
    <x v="26"/>
    <n v="360"/>
    <x v="13"/>
    <x v="13"/>
  </r>
  <r>
    <x v="0"/>
    <x v="27"/>
    <n v="429"/>
    <x v="13"/>
    <x v="13"/>
  </r>
  <r>
    <x v="0"/>
    <x v="28"/>
    <n v="506"/>
    <x v="13"/>
    <x v="13"/>
  </r>
  <r>
    <x v="0"/>
    <x v="29"/>
    <n v="385"/>
    <x v="13"/>
    <x v="13"/>
  </r>
  <r>
    <x v="0"/>
    <x v="30"/>
    <n v="552"/>
    <x v="13"/>
    <x v="13"/>
  </r>
  <r>
    <x v="0"/>
    <x v="31"/>
    <n v="493"/>
    <x v="13"/>
    <x v="13"/>
  </r>
  <r>
    <x v="0"/>
    <x v="32"/>
    <n v="339"/>
    <x v="13"/>
    <x v="13"/>
  </r>
  <r>
    <x v="0"/>
    <x v="33"/>
    <n v="643"/>
    <x v="13"/>
    <x v="13"/>
  </r>
  <r>
    <x v="0"/>
    <x v="34"/>
    <n v="1204"/>
    <x v="13"/>
    <x v="13"/>
  </r>
  <r>
    <x v="0"/>
    <x v="35"/>
    <n v="1168"/>
    <x v="13"/>
    <x v="13"/>
  </r>
  <r>
    <x v="0"/>
    <x v="36"/>
    <n v="267"/>
    <x v="13"/>
    <x v="13"/>
  </r>
  <r>
    <x v="0"/>
    <x v="37"/>
    <n v="603"/>
    <x v="13"/>
    <x v="13"/>
  </r>
  <r>
    <x v="0"/>
    <x v="38"/>
    <n v="249"/>
    <x v="13"/>
    <x v="13"/>
  </r>
  <r>
    <x v="0"/>
    <x v="39"/>
    <n v="136"/>
    <x v="13"/>
    <x v="13"/>
  </r>
  <r>
    <x v="0"/>
    <x v="40"/>
    <n v="443"/>
    <x v="13"/>
    <x v="13"/>
  </r>
  <r>
    <x v="0"/>
    <x v="41"/>
    <n v="388"/>
    <x v="13"/>
    <x v="13"/>
  </r>
  <r>
    <x v="0"/>
    <x v="42"/>
    <n v="797"/>
    <x v="13"/>
    <x v="13"/>
  </r>
  <r>
    <x v="0"/>
    <x v="43"/>
    <n v="237"/>
    <x v="13"/>
    <x v="13"/>
  </r>
  <r>
    <x v="0"/>
    <x v="44"/>
    <n v="572"/>
    <x v="13"/>
    <x v="13"/>
  </r>
  <r>
    <x v="0"/>
    <x v="45"/>
    <n v="490"/>
    <x v="13"/>
    <x v="13"/>
  </r>
  <r>
    <x v="0"/>
    <x v="46"/>
    <n v="469"/>
    <x v="13"/>
    <x v="13"/>
  </r>
  <r>
    <x v="0"/>
    <x v="47"/>
    <n v="1209"/>
    <x v="13"/>
    <x v="13"/>
  </r>
  <r>
    <x v="0"/>
    <x v="48"/>
    <n v="562"/>
    <x v="13"/>
    <x v="13"/>
  </r>
  <r>
    <x v="0"/>
    <x v="49"/>
    <n v="357"/>
    <x v="13"/>
    <x v="13"/>
  </r>
  <r>
    <x v="0"/>
    <x v="50"/>
    <n v="455"/>
    <x v="13"/>
    <x v="13"/>
  </r>
  <r>
    <x v="0"/>
    <x v="51"/>
    <n v="1404"/>
    <x v="13"/>
    <x v="13"/>
  </r>
  <r>
    <x v="6"/>
    <x v="52"/>
    <m/>
    <x v="14"/>
    <x v="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3">
  <r>
    <x v="0"/>
    <x v="0"/>
    <x v="0"/>
    <n v="349"/>
    <x v="0"/>
    <x v="0"/>
  </r>
  <r>
    <x v="0"/>
    <x v="0"/>
    <x v="1"/>
    <n v="220"/>
    <x v="0"/>
    <x v="0"/>
  </r>
  <r>
    <x v="0"/>
    <x v="0"/>
    <x v="2"/>
    <n v="403"/>
    <x v="0"/>
    <x v="0"/>
  </r>
  <r>
    <x v="0"/>
    <x v="0"/>
    <x v="3"/>
    <n v="318"/>
    <x v="0"/>
    <x v="0"/>
  </r>
  <r>
    <x v="0"/>
    <x v="0"/>
    <x v="4"/>
    <n v="385"/>
    <x v="0"/>
    <x v="0"/>
  </r>
  <r>
    <x v="0"/>
    <x v="0"/>
    <x v="5"/>
    <n v="286"/>
    <x v="0"/>
    <x v="0"/>
  </r>
  <r>
    <x v="0"/>
    <x v="0"/>
    <x v="6"/>
    <n v="229"/>
    <x v="0"/>
    <x v="0"/>
  </r>
  <r>
    <x v="0"/>
    <x v="0"/>
    <x v="7"/>
    <n v="188"/>
    <x v="0"/>
    <x v="0"/>
  </r>
  <r>
    <x v="0"/>
    <x v="0"/>
    <x v="8"/>
    <n v="191"/>
    <x v="0"/>
    <x v="0"/>
  </r>
  <r>
    <x v="0"/>
    <x v="0"/>
    <x v="9"/>
    <n v="102"/>
    <x v="0"/>
    <x v="0"/>
  </r>
  <r>
    <x v="0"/>
    <x v="0"/>
    <x v="10"/>
    <n v="467"/>
    <x v="0"/>
    <x v="0"/>
  </r>
  <r>
    <x v="0"/>
    <x v="0"/>
    <x v="11"/>
    <n v="119"/>
    <x v="0"/>
    <x v="0"/>
  </r>
  <r>
    <x v="0"/>
    <x v="0"/>
    <x v="12"/>
    <n v="192"/>
    <x v="0"/>
    <x v="0"/>
  </r>
  <r>
    <x v="0"/>
    <x v="0"/>
    <x v="13"/>
    <n v="541"/>
    <x v="0"/>
    <x v="0"/>
  </r>
  <r>
    <x v="0"/>
    <x v="0"/>
    <x v="14"/>
    <n v="540"/>
    <x v="0"/>
    <x v="0"/>
  </r>
  <r>
    <x v="0"/>
    <x v="0"/>
    <x v="15"/>
    <n v="452"/>
    <x v="0"/>
    <x v="0"/>
  </r>
  <r>
    <x v="0"/>
    <x v="0"/>
    <x v="16"/>
    <n v="565"/>
    <x v="0"/>
    <x v="0"/>
  </r>
  <r>
    <x v="0"/>
    <x v="0"/>
    <x v="17"/>
    <n v="265"/>
    <x v="0"/>
    <x v="0"/>
  </r>
  <r>
    <x v="0"/>
    <x v="0"/>
    <x v="18"/>
    <n v="571"/>
    <x v="0"/>
    <x v="0"/>
  </r>
  <r>
    <x v="0"/>
    <x v="0"/>
    <x v="19"/>
    <n v="388"/>
    <x v="0"/>
    <x v="0"/>
  </r>
  <r>
    <x v="0"/>
    <x v="0"/>
    <x v="20"/>
    <n v="168"/>
    <x v="0"/>
    <x v="0"/>
  </r>
  <r>
    <x v="0"/>
    <x v="0"/>
    <x v="21"/>
    <n v="531"/>
    <x v="0"/>
    <x v="0"/>
  </r>
  <r>
    <x v="0"/>
    <x v="0"/>
    <x v="22"/>
    <n v="444"/>
    <x v="0"/>
    <x v="0"/>
  </r>
  <r>
    <x v="0"/>
    <x v="0"/>
    <x v="23"/>
    <n v="325"/>
    <x v="0"/>
    <x v="0"/>
  </r>
  <r>
    <x v="0"/>
    <x v="0"/>
    <x v="24"/>
    <n v="380"/>
    <x v="0"/>
    <x v="0"/>
  </r>
  <r>
    <x v="0"/>
    <x v="0"/>
    <x v="25"/>
    <n v="166"/>
    <x v="0"/>
    <x v="0"/>
  </r>
  <r>
    <x v="0"/>
    <x v="0"/>
    <x v="26"/>
    <n v="499"/>
    <x v="0"/>
    <x v="0"/>
  </r>
  <r>
    <x v="0"/>
    <x v="0"/>
    <x v="27"/>
    <n v="348"/>
    <x v="0"/>
    <x v="0"/>
  </r>
  <r>
    <x v="0"/>
    <x v="0"/>
    <x v="28"/>
    <n v="227"/>
    <x v="0"/>
    <x v="0"/>
  </r>
  <r>
    <x v="0"/>
    <x v="0"/>
    <x v="29"/>
    <n v="228"/>
    <x v="0"/>
    <x v="0"/>
  </r>
  <r>
    <x v="0"/>
    <x v="0"/>
    <x v="30"/>
    <n v="687"/>
    <x v="0"/>
    <x v="0"/>
  </r>
  <r>
    <x v="0"/>
    <x v="0"/>
    <x v="31"/>
    <n v="325"/>
    <x v="0"/>
    <x v="0"/>
  </r>
  <r>
    <x v="0"/>
    <x v="0"/>
    <x v="32"/>
    <n v="190"/>
    <x v="0"/>
    <x v="0"/>
  </r>
  <r>
    <x v="0"/>
    <x v="0"/>
    <x v="33"/>
    <n v="353"/>
    <x v="0"/>
    <x v="0"/>
  </r>
  <r>
    <x v="0"/>
    <x v="0"/>
    <x v="34"/>
    <n v="434"/>
    <x v="0"/>
    <x v="0"/>
  </r>
  <r>
    <x v="0"/>
    <x v="0"/>
    <x v="35"/>
    <n v="163"/>
    <x v="0"/>
    <x v="0"/>
  </r>
  <r>
    <x v="0"/>
    <x v="0"/>
    <x v="36"/>
    <n v="395"/>
    <x v="0"/>
    <x v="0"/>
  </r>
  <r>
    <x v="0"/>
    <x v="0"/>
    <x v="37"/>
    <n v="532"/>
    <x v="0"/>
    <x v="0"/>
  </r>
  <r>
    <x v="0"/>
    <x v="0"/>
    <x v="38"/>
    <n v="367"/>
    <x v="0"/>
    <x v="0"/>
  </r>
  <r>
    <x v="0"/>
    <x v="0"/>
    <x v="39"/>
    <n v="532"/>
    <x v="0"/>
    <x v="0"/>
  </r>
  <r>
    <x v="0"/>
    <x v="0"/>
    <x v="40"/>
    <n v="562"/>
    <x v="0"/>
    <x v="0"/>
  </r>
  <r>
    <x v="0"/>
    <x v="0"/>
    <x v="41"/>
    <n v="485"/>
    <x v="0"/>
    <x v="0"/>
  </r>
  <r>
    <x v="0"/>
    <x v="0"/>
    <x v="42"/>
    <n v="462"/>
    <x v="0"/>
    <x v="0"/>
  </r>
  <r>
    <x v="0"/>
    <x v="0"/>
    <x v="43"/>
    <n v="235"/>
    <x v="0"/>
    <x v="0"/>
  </r>
  <r>
    <x v="0"/>
    <x v="0"/>
    <x v="44"/>
    <n v="460"/>
    <x v="0"/>
    <x v="0"/>
  </r>
  <r>
    <x v="0"/>
    <x v="0"/>
    <x v="45"/>
    <n v="325"/>
    <x v="0"/>
    <x v="0"/>
  </r>
  <r>
    <x v="0"/>
    <x v="0"/>
    <x v="46"/>
    <n v="211"/>
    <x v="0"/>
    <x v="0"/>
  </r>
  <r>
    <x v="0"/>
    <x v="0"/>
    <x v="47"/>
    <n v="166"/>
    <x v="0"/>
    <x v="0"/>
  </r>
  <r>
    <x v="0"/>
    <x v="0"/>
    <x v="48"/>
    <n v="938"/>
    <x v="0"/>
    <x v="0"/>
  </r>
  <r>
    <x v="0"/>
    <x v="0"/>
    <x v="49"/>
    <n v="442"/>
    <x v="0"/>
    <x v="0"/>
  </r>
  <r>
    <x v="0"/>
    <x v="0"/>
    <x v="50"/>
    <n v="300"/>
    <x v="0"/>
    <x v="0"/>
  </r>
  <r>
    <x v="0"/>
    <x v="0"/>
    <x v="51"/>
    <n v="642"/>
    <x v="0"/>
    <x v="0"/>
  </r>
  <r>
    <x v="1"/>
    <x v="1"/>
    <x v="0"/>
    <n v="597"/>
    <x v="0"/>
    <x v="0"/>
  </r>
  <r>
    <x v="1"/>
    <x v="1"/>
    <x v="1"/>
    <n v="265"/>
    <x v="0"/>
    <x v="0"/>
  </r>
  <r>
    <x v="1"/>
    <x v="1"/>
    <x v="2"/>
    <n v="170"/>
    <x v="0"/>
    <x v="0"/>
  </r>
  <r>
    <x v="1"/>
    <x v="1"/>
    <x v="3"/>
    <n v="345"/>
    <x v="0"/>
    <x v="0"/>
  </r>
  <r>
    <x v="1"/>
    <x v="1"/>
    <x v="4"/>
    <n v="580"/>
    <x v="0"/>
    <x v="0"/>
  </r>
  <r>
    <x v="1"/>
    <x v="1"/>
    <x v="5"/>
    <n v="292"/>
    <x v="0"/>
    <x v="0"/>
  </r>
  <r>
    <x v="1"/>
    <x v="1"/>
    <x v="6"/>
    <n v="451"/>
    <x v="0"/>
    <x v="0"/>
  </r>
  <r>
    <x v="1"/>
    <x v="1"/>
    <x v="7"/>
    <n v="309"/>
    <x v="0"/>
    <x v="0"/>
  </r>
  <r>
    <x v="1"/>
    <x v="1"/>
    <x v="8"/>
    <n v="569"/>
    <x v="0"/>
    <x v="0"/>
  </r>
  <r>
    <x v="1"/>
    <x v="1"/>
    <x v="9"/>
    <n v="424"/>
    <x v="0"/>
    <x v="0"/>
  </r>
  <r>
    <x v="1"/>
    <x v="1"/>
    <x v="10"/>
    <n v="575"/>
    <x v="0"/>
    <x v="0"/>
  </r>
  <r>
    <x v="1"/>
    <x v="1"/>
    <x v="11"/>
    <n v="167"/>
    <x v="0"/>
    <x v="0"/>
  </r>
  <r>
    <x v="1"/>
    <x v="1"/>
    <x v="12"/>
    <n v="536"/>
    <x v="0"/>
    <x v="0"/>
  </r>
  <r>
    <x v="1"/>
    <x v="1"/>
    <x v="13"/>
    <n v="180"/>
    <x v="0"/>
    <x v="0"/>
  </r>
  <r>
    <x v="1"/>
    <x v="1"/>
    <x v="14"/>
    <n v="809"/>
    <x v="0"/>
    <x v="0"/>
  </r>
  <r>
    <x v="1"/>
    <x v="1"/>
    <x v="15"/>
    <n v="188"/>
    <x v="0"/>
    <x v="0"/>
  </r>
  <r>
    <x v="1"/>
    <x v="1"/>
    <x v="16"/>
    <n v="181"/>
    <x v="0"/>
    <x v="0"/>
  </r>
  <r>
    <x v="1"/>
    <x v="1"/>
    <x v="17"/>
    <n v="453"/>
    <x v="0"/>
    <x v="0"/>
  </r>
  <r>
    <x v="1"/>
    <x v="1"/>
    <x v="18"/>
    <n v="241"/>
    <x v="0"/>
    <x v="0"/>
  </r>
  <r>
    <x v="1"/>
    <x v="1"/>
    <x v="19"/>
    <n v="448"/>
    <x v="0"/>
    <x v="0"/>
  </r>
  <r>
    <x v="1"/>
    <x v="1"/>
    <x v="20"/>
    <n v="587"/>
    <x v="0"/>
    <x v="0"/>
  </r>
  <r>
    <x v="1"/>
    <x v="1"/>
    <x v="21"/>
    <n v="397"/>
    <x v="0"/>
    <x v="0"/>
  </r>
  <r>
    <x v="1"/>
    <x v="1"/>
    <x v="22"/>
    <n v="469"/>
    <x v="0"/>
    <x v="0"/>
  </r>
  <r>
    <x v="1"/>
    <x v="1"/>
    <x v="23"/>
    <n v="668"/>
    <x v="0"/>
    <x v="0"/>
  </r>
  <r>
    <x v="1"/>
    <x v="1"/>
    <x v="24"/>
    <n v="378"/>
    <x v="0"/>
    <x v="0"/>
  </r>
  <r>
    <x v="1"/>
    <x v="1"/>
    <x v="25"/>
    <n v="618"/>
    <x v="0"/>
    <x v="0"/>
  </r>
  <r>
    <x v="1"/>
    <x v="1"/>
    <x v="26"/>
    <n v="827"/>
    <x v="0"/>
    <x v="0"/>
  </r>
  <r>
    <x v="1"/>
    <x v="1"/>
    <x v="27"/>
    <n v="934"/>
    <x v="0"/>
    <x v="0"/>
  </r>
  <r>
    <x v="1"/>
    <x v="1"/>
    <x v="28"/>
    <n v="592"/>
    <x v="0"/>
    <x v="0"/>
  </r>
  <r>
    <x v="1"/>
    <x v="1"/>
    <x v="29"/>
    <n v="387"/>
    <x v="0"/>
    <x v="0"/>
  </r>
  <r>
    <x v="1"/>
    <x v="1"/>
    <x v="30"/>
    <n v="890"/>
    <x v="0"/>
    <x v="0"/>
  </r>
  <r>
    <x v="1"/>
    <x v="1"/>
    <x v="31"/>
    <n v="509"/>
    <x v="0"/>
    <x v="0"/>
  </r>
  <r>
    <x v="1"/>
    <x v="1"/>
    <x v="32"/>
    <n v="771"/>
    <x v="0"/>
    <x v="0"/>
  </r>
  <r>
    <x v="1"/>
    <x v="1"/>
    <x v="33"/>
    <n v="504"/>
    <x v="0"/>
    <x v="0"/>
  </r>
  <r>
    <x v="1"/>
    <x v="1"/>
    <x v="34"/>
    <n v="190"/>
    <x v="0"/>
    <x v="0"/>
  </r>
  <r>
    <x v="1"/>
    <x v="1"/>
    <x v="35"/>
    <n v="626"/>
    <x v="0"/>
    <x v="0"/>
  </r>
  <r>
    <x v="1"/>
    <x v="1"/>
    <x v="36"/>
    <n v="469"/>
    <x v="0"/>
    <x v="0"/>
  </r>
  <r>
    <x v="1"/>
    <x v="1"/>
    <x v="37"/>
    <n v="627"/>
    <x v="0"/>
    <x v="0"/>
  </r>
  <r>
    <x v="1"/>
    <x v="1"/>
    <x v="38"/>
    <n v="848"/>
    <x v="0"/>
    <x v="0"/>
  </r>
  <r>
    <x v="1"/>
    <x v="1"/>
    <x v="39"/>
    <n v="396"/>
    <x v="0"/>
    <x v="0"/>
  </r>
  <r>
    <x v="1"/>
    <x v="1"/>
    <x v="40"/>
    <n v="355"/>
    <x v="0"/>
    <x v="0"/>
  </r>
  <r>
    <x v="1"/>
    <x v="1"/>
    <x v="41"/>
    <n v="244"/>
    <x v="0"/>
    <x v="0"/>
  </r>
  <r>
    <x v="1"/>
    <x v="1"/>
    <x v="42"/>
    <n v="669"/>
    <x v="0"/>
    <x v="0"/>
  </r>
  <r>
    <x v="1"/>
    <x v="1"/>
    <x v="43"/>
    <n v="699"/>
    <x v="0"/>
    <x v="0"/>
  </r>
  <r>
    <x v="1"/>
    <x v="1"/>
    <x v="44"/>
    <n v="746"/>
    <x v="0"/>
    <x v="0"/>
  </r>
  <r>
    <x v="1"/>
    <x v="1"/>
    <x v="45"/>
    <n v="321"/>
    <x v="0"/>
    <x v="0"/>
  </r>
  <r>
    <x v="1"/>
    <x v="1"/>
    <x v="46"/>
    <n v="1576"/>
    <x v="0"/>
    <x v="0"/>
  </r>
  <r>
    <x v="1"/>
    <x v="1"/>
    <x v="47"/>
    <n v="404"/>
    <x v="0"/>
    <x v="0"/>
  </r>
  <r>
    <x v="1"/>
    <x v="1"/>
    <x v="48"/>
    <n v="1138"/>
    <x v="0"/>
    <x v="0"/>
  </r>
  <r>
    <x v="1"/>
    <x v="1"/>
    <x v="49"/>
    <n v="992"/>
    <x v="0"/>
    <x v="0"/>
  </r>
  <r>
    <x v="1"/>
    <x v="1"/>
    <x v="50"/>
    <n v="617"/>
    <x v="0"/>
    <x v="0"/>
  </r>
  <r>
    <x v="1"/>
    <x v="1"/>
    <x v="51"/>
    <n v="659"/>
    <x v="0"/>
    <x v="0"/>
  </r>
  <r>
    <x v="2"/>
    <x v="2"/>
    <x v="0"/>
    <n v="370"/>
    <x v="0"/>
    <x v="0"/>
  </r>
  <r>
    <x v="2"/>
    <x v="2"/>
    <x v="1"/>
    <n v="43"/>
    <x v="0"/>
    <x v="0"/>
  </r>
  <r>
    <x v="2"/>
    <x v="2"/>
    <x v="2"/>
    <n v="104"/>
    <x v="0"/>
    <x v="0"/>
  </r>
  <r>
    <x v="2"/>
    <x v="2"/>
    <x v="3"/>
    <n v="415"/>
    <x v="0"/>
    <x v="0"/>
  </r>
  <r>
    <x v="2"/>
    <x v="2"/>
    <x v="4"/>
    <n v="362"/>
    <x v="0"/>
    <x v="0"/>
  </r>
  <r>
    <x v="2"/>
    <x v="2"/>
    <x v="5"/>
    <n v="77"/>
    <x v="0"/>
    <x v="0"/>
  </r>
  <r>
    <x v="2"/>
    <x v="2"/>
    <x v="6"/>
    <n v="47"/>
    <x v="0"/>
    <x v="0"/>
  </r>
  <r>
    <x v="2"/>
    <x v="2"/>
    <x v="7"/>
    <n v="383"/>
    <x v="0"/>
    <x v="0"/>
  </r>
  <r>
    <x v="2"/>
    <x v="2"/>
    <x v="8"/>
    <n v="12"/>
    <x v="0"/>
    <x v="0"/>
  </r>
  <r>
    <x v="2"/>
    <x v="2"/>
    <x v="9"/>
    <n v="118"/>
    <x v="0"/>
    <x v="0"/>
  </r>
  <r>
    <x v="2"/>
    <x v="2"/>
    <x v="10"/>
    <n v="339"/>
    <x v="0"/>
    <x v="0"/>
  </r>
  <r>
    <x v="2"/>
    <x v="2"/>
    <x v="11"/>
    <n v="369"/>
    <x v="0"/>
    <x v="0"/>
  </r>
  <r>
    <x v="2"/>
    <x v="2"/>
    <x v="12"/>
    <n v="53"/>
    <x v="0"/>
    <x v="0"/>
  </r>
  <r>
    <x v="2"/>
    <x v="2"/>
    <x v="13"/>
    <n v="88"/>
    <x v="0"/>
    <x v="0"/>
  </r>
  <r>
    <x v="2"/>
    <x v="2"/>
    <x v="14"/>
    <n v="190"/>
    <x v="0"/>
    <x v="0"/>
  </r>
  <r>
    <x v="2"/>
    <x v="2"/>
    <x v="15"/>
    <n v="311"/>
    <x v="0"/>
    <x v="0"/>
  </r>
  <r>
    <x v="2"/>
    <x v="2"/>
    <x v="16"/>
    <n v="284"/>
    <x v="0"/>
    <x v="0"/>
  </r>
  <r>
    <x v="2"/>
    <x v="2"/>
    <x v="17"/>
    <n v="194"/>
    <x v="0"/>
    <x v="0"/>
  </r>
  <r>
    <x v="2"/>
    <x v="2"/>
    <x v="18"/>
    <n v="587"/>
    <x v="0"/>
    <x v="0"/>
  </r>
  <r>
    <x v="2"/>
    <x v="2"/>
    <x v="19"/>
    <n v="290"/>
    <x v="0"/>
    <x v="0"/>
  </r>
  <r>
    <x v="2"/>
    <x v="2"/>
    <x v="20"/>
    <n v="219"/>
    <x v="0"/>
    <x v="0"/>
  </r>
  <r>
    <x v="2"/>
    <x v="2"/>
    <x v="21"/>
    <n v="384"/>
    <x v="0"/>
    <x v="0"/>
  </r>
  <r>
    <x v="2"/>
    <x v="2"/>
    <x v="22"/>
    <n v="680"/>
    <x v="0"/>
    <x v="0"/>
  </r>
  <r>
    <x v="2"/>
    <x v="2"/>
    <x v="23"/>
    <n v="389"/>
    <x v="0"/>
    <x v="0"/>
  </r>
  <r>
    <x v="2"/>
    <x v="2"/>
    <x v="24"/>
    <n v="141"/>
    <x v="0"/>
    <x v="0"/>
  </r>
  <r>
    <x v="2"/>
    <x v="2"/>
    <x v="25"/>
    <n v="394"/>
    <x v="0"/>
    <x v="0"/>
  </r>
  <r>
    <x v="2"/>
    <x v="2"/>
    <x v="26"/>
    <n v="343"/>
    <x v="0"/>
    <x v="0"/>
  </r>
  <r>
    <x v="2"/>
    <x v="2"/>
    <x v="27"/>
    <n v="451"/>
    <x v="0"/>
    <x v="0"/>
  </r>
  <r>
    <x v="2"/>
    <x v="2"/>
    <x v="28"/>
    <n v="205"/>
    <x v="0"/>
    <x v="0"/>
  </r>
  <r>
    <x v="2"/>
    <x v="2"/>
    <x v="29"/>
    <n v="162"/>
    <x v="0"/>
    <x v="0"/>
  </r>
  <r>
    <x v="2"/>
    <x v="2"/>
    <x v="30"/>
    <n v="28"/>
    <x v="0"/>
    <x v="0"/>
  </r>
  <r>
    <x v="2"/>
    <x v="2"/>
    <x v="31"/>
    <n v="9"/>
    <x v="0"/>
    <x v="0"/>
  </r>
  <r>
    <x v="2"/>
    <x v="2"/>
    <x v="32"/>
    <n v="217"/>
    <x v="0"/>
    <x v="0"/>
  </r>
  <r>
    <x v="2"/>
    <x v="2"/>
    <x v="33"/>
    <n v="58"/>
    <x v="0"/>
    <x v="0"/>
  </r>
  <r>
    <x v="2"/>
    <x v="2"/>
    <x v="34"/>
    <n v="1052"/>
    <x v="0"/>
    <x v="0"/>
  </r>
  <r>
    <x v="2"/>
    <x v="2"/>
    <x v="35"/>
    <n v="383"/>
    <x v="0"/>
    <x v="0"/>
  </r>
  <r>
    <x v="2"/>
    <x v="2"/>
    <x v="36"/>
    <n v="1050"/>
    <x v="0"/>
    <x v="0"/>
  </r>
  <r>
    <x v="2"/>
    <x v="2"/>
    <x v="37"/>
    <n v="289"/>
    <x v="0"/>
    <x v="0"/>
  </r>
  <r>
    <x v="2"/>
    <x v="2"/>
    <x v="38"/>
    <n v="179"/>
    <x v="0"/>
    <x v="0"/>
  </r>
  <r>
    <x v="2"/>
    <x v="2"/>
    <x v="39"/>
    <n v="483"/>
    <x v="0"/>
    <x v="0"/>
  </r>
  <r>
    <x v="2"/>
    <x v="2"/>
    <x v="40"/>
    <n v="475"/>
    <x v="0"/>
    <x v="0"/>
  </r>
  <r>
    <x v="2"/>
    <x v="2"/>
    <x v="41"/>
    <n v="362"/>
    <x v="0"/>
    <x v="0"/>
  </r>
  <r>
    <x v="2"/>
    <x v="2"/>
    <x v="42"/>
    <n v="1024"/>
    <x v="0"/>
    <x v="0"/>
  </r>
  <r>
    <x v="2"/>
    <x v="2"/>
    <x v="43"/>
    <n v="12"/>
    <x v="0"/>
    <x v="0"/>
  </r>
  <r>
    <x v="2"/>
    <x v="2"/>
    <x v="44"/>
    <n v="1343"/>
    <x v="0"/>
    <x v="0"/>
  </r>
  <r>
    <x v="2"/>
    <x v="2"/>
    <x v="45"/>
    <n v="438"/>
    <x v="0"/>
    <x v="0"/>
  </r>
  <r>
    <x v="2"/>
    <x v="2"/>
    <x v="46"/>
    <n v="101"/>
    <x v="0"/>
    <x v="0"/>
  </r>
  <r>
    <x v="2"/>
    <x v="2"/>
    <x v="47"/>
    <n v="723"/>
    <x v="0"/>
    <x v="0"/>
  </r>
  <r>
    <x v="2"/>
    <x v="2"/>
    <x v="48"/>
    <n v="166"/>
    <x v="0"/>
    <x v="0"/>
  </r>
  <r>
    <x v="2"/>
    <x v="2"/>
    <x v="49"/>
    <n v="452"/>
    <x v="0"/>
    <x v="0"/>
  </r>
  <r>
    <x v="2"/>
    <x v="2"/>
    <x v="50"/>
    <n v="715"/>
    <x v="0"/>
    <x v="0"/>
  </r>
  <r>
    <x v="2"/>
    <x v="2"/>
    <x v="51"/>
    <n v="960"/>
    <x v="0"/>
    <x v="0"/>
  </r>
  <r>
    <x v="3"/>
    <x v="3"/>
    <x v="0"/>
    <n v="164"/>
    <x v="1"/>
    <x v="1"/>
  </r>
  <r>
    <x v="3"/>
    <x v="3"/>
    <x v="1"/>
    <n v="277"/>
    <x v="1"/>
    <x v="1"/>
  </r>
  <r>
    <x v="3"/>
    <x v="3"/>
    <x v="2"/>
    <n v="239"/>
    <x v="1"/>
    <x v="1"/>
  </r>
  <r>
    <x v="3"/>
    <x v="3"/>
    <x v="3"/>
    <n v="91"/>
    <x v="1"/>
    <x v="1"/>
  </r>
  <r>
    <x v="3"/>
    <x v="3"/>
    <x v="4"/>
    <n v="459"/>
    <x v="1"/>
    <x v="1"/>
  </r>
  <r>
    <x v="3"/>
    <x v="3"/>
    <x v="5"/>
    <n v="292"/>
    <x v="1"/>
    <x v="1"/>
  </r>
  <r>
    <x v="3"/>
    <x v="3"/>
    <x v="6"/>
    <n v="290"/>
    <x v="1"/>
    <x v="1"/>
  </r>
  <r>
    <x v="3"/>
    <x v="3"/>
    <x v="7"/>
    <n v="312"/>
    <x v="1"/>
    <x v="1"/>
  </r>
  <r>
    <x v="3"/>
    <x v="3"/>
    <x v="8"/>
    <n v="296"/>
    <x v="1"/>
    <x v="1"/>
  </r>
  <r>
    <x v="3"/>
    <x v="3"/>
    <x v="9"/>
    <n v="410"/>
    <x v="1"/>
    <x v="1"/>
  </r>
  <r>
    <x v="3"/>
    <x v="3"/>
    <x v="10"/>
    <n v="120"/>
    <x v="1"/>
    <x v="1"/>
  </r>
  <r>
    <x v="3"/>
    <x v="3"/>
    <x v="11"/>
    <n v="302"/>
    <x v="1"/>
    <x v="1"/>
  </r>
  <r>
    <x v="3"/>
    <x v="3"/>
    <x v="12"/>
    <n v="372"/>
    <x v="1"/>
    <x v="1"/>
  </r>
  <r>
    <x v="3"/>
    <x v="3"/>
    <x v="13"/>
    <n v="559"/>
    <x v="1"/>
    <x v="1"/>
  </r>
  <r>
    <x v="3"/>
    <x v="3"/>
    <x v="14"/>
    <n v="623"/>
    <x v="1"/>
    <x v="1"/>
  </r>
  <r>
    <x v="3"/>
    <x v="3"/>
    <x v="15"/>
    <n v="394"/>
    <x v="1"/>
    <x v="1"/>
  </r>
  <r>
    <x v="3"/>
    <x v="3"/>
    <x v="16"/>
    <n v="277"/>
    <x v="1"/>
    <x v="1"/>
  </r>
  <r>
    <x v="3"/>
    <x v="3"/>
    <x v="17"/>
    <n v="191"/>
    <x v="1"/>
    <x v="1"/>
  </r>
  <r>
    <x v="3"/>
    <x v="3"/>
    <x v="18"/>
    <n v="862"/>
    <x v="1"/>
    <x v="1"/>
  </r>
  <r>
    <x v="3"/>
    <x v="3"/>
    <x v="19"/>
    <n v="437"/>
    <x v="1"/>
    <x v="1"/>
  </r>
  <r>
    <x v="3"/>
    <x v="3"/>
    <x v="20"/>
    <n v="358"/>
    <x v="1"/>
    <x v="1"/>
  </r>
  <r>
    <x v="3"/>
    <x v="3"/>
    <x v="21"/>
    <n v="344"/>
    <x v="1"/>
    <x v="1"/>
  </r>
  <r>
    <x v="3"/>
    <x v="3"/>
    <x v="22"/>
    <n v="547"/>
    <x v="1"/>
    <x v="1"/>
  </r>
  <r>
    <x v="3"/>
    <x v="3"/>
    <x v="23"/>
    <n v="551"/>
    <x v="1"/>
    <x v="1"/>
  </r>
  <r>
    <x v="3"/>
    <x v="3"/>
    <x v="24"/>
    <n v="421"/>
    <x v="1"/>
    <x v="1"/>
  </r>
  <r>
    <x v="3"/>
    <x v="3"/>
    <x v="25"/>
    <n v="483"/>
    <x v="1"/>
    <x v="1"/>
  </r>
  <r>
    <x v="3"/>
    <x v="3"/>
    <x v="26"/>
    <n v="450"/>
    <x v="1"/>
    <x v="1"/>
  </r>
  <r>
    <x v="3"/>
    <x v="3"/>
    <x v="27"/>
    <n v="148"/>
    <x v="1"/>
    <x v="1"/>
  </r>
  <r>
    <x v="3"/>
    <x v="3"/>
    <x v="28"/>
    <n v="426"/>
    <x v="1"/>
    <x v="1"/>
  </r>
  <r>
    <x v="3"/>
    <x v="3"/>
    <x v="29"/>
    <n v="580"/>
    <x v="1"/>
    <x v="1"/>
  </r>
  <r>
    <x v="3"/>
    <x v="3"/>
    <x v="30"/>
    <n v="365"/>
    <x v="1"/>
    <x v="1"/>
  </r>
  <r>
    <x v="3"/>
    <x v="3"/>
    <x v="31"/>
    <n v="1019"/>
    <x v="1"/>
    <x v="1"/>
  </r>
  <r>
    <x v="3"/>
    <x v="3"/>
    <x v="32"/>
    <n v="407"/>
    <x v="1"/>
    <x v="1"/>
  </r>
  <r>
    <x v="3"/>
    <x v="3"/>
    <x v="33"/>
    <n v="535"/>
    <x v="1"/>
    <x v="1"/>
  </r>
  <r>
    <x v="3"/>
    <x v="3"/>
    <x v="34"/>
    <n v="279"/>
    <x v="1"/>
    <x v="1"/>
  </r>
  <r>
    <x v="3"/>
    <x v="3"/>
    <x v="35"/>
    <n v="442"/>
    <x v="1"/>
    <x v="1"/>
  </r>
  <r>
    <x v="3"/>
    <x v="3"/>
    <x v="36"/>
    <n v="237"/>
    <x v="1"/>
    <x v="1"/>
  </r>
  <r>
    <x v="3"/>
    <x v="3"/>
    <x v="37"/>
    <n v="1005"/>
    <x v="1"/>
    <x v="1"/>
  </r>
  <r>
    <x v="3"/>
    <x v="3"/>
    <x v="38"/>
    <n v="547"/>
    <x v="1"/>
    <x v="1"/>
  </r>
  <r>
    <x v="3"/>
    <x v="3"/>
    <x v="39"/>
    <n v="513"/>
    <x v="1"/>
    <x v="1"/>
  </r>
  <r>
    <x v="3"/>
    <x v="3"/>
    <x v="40"/>
    <n v="845"/>
    <x v="1"/>
    <x v="1"/>
  </r>
  <r>
    <x v="3"/>
    <x v="3"/>
    <x v="41"/>
    <n v="565"/>
    <x v="1"/>
    <x v="1"/>
  </r>
  <r>
    <x v="3"/>
    <x v="3"/>
    <x v="42"/>
    <n v="608"/>
    <x v="1"/>
    <x v="1"/>
  </r>
  <r>
    <x v="3"/>
    <x v="3"/>
    <x v="43"/>
    <n v="622"/>
    <x v="1"/>
    <x v="1"/>
  </r>
  <r>
    <x v="3"/>
    <x v="3"/>
    <x v="44"/>
    <n v="756"/>
    <x v="1"/>
    <x v="1"/>
  </r>
  <r>
    <x v="3"/>
    <x v="3"/>
    <x v="45"/>
    <n v="85"/>
    <x v="1"/>
    <x v="1"/>
  </r>
  <r>
    <x v="3"/>
    <x v="3"/>
    <x v="46"/>
    <n v="285"/>
    <x v="1"/>
    <x v="1"/>
  </r>
  <r>
    <x v="3"/>
    <x v="3"/>
    <x v="47"/>
    <n v="393"/>
    <x v="1"/>
    <x v="1"/>
  </r>
  <r>
    <x v="3"/>
    <x v="3"/>
    <x v="48"/>
    <n v="312"/>
    <x v="1"/>
    <x v="1"/>
  </r>
  <r>
    <x v="3"/>
    <x v="3"/>
    <x v="49"/>
    <n v="430"/>
    <x v="1"/>
    <x v="1"/>
  </r>
  <r>
    <x v="3"/>
    <x v="3"/>
    <x v="50"/>
    <n v="244"/>
    <x v="1"/>
    <x v="1"/>
  </r>
  <r>
    <x v="3"/>
    <x v="3"/>
    <x v="51"/>
    <n v="1351"/>
    <x v="1"/>
    <x v="1"/>
  </r>
  <r>
    <x v="4"/>
    <x v="1"/>
    <x v="0"/>
    <n v="141"/>
    <x v="1"/>
    <x v="1"/>
  </r>
  <r>
    <x v="4"/>
    <x v="1"/>
    <x v="1"/>
    <n v="181"/>
    <x v="1"/>
    <x v="1"/>
  </r>
  <r>
    <x v="4"/>
    <x v="1"/>
    <x v="2"/>
    <n v="124"/>
    <x v="1"/>
    <x v="1"/>
  </r>
  <r>
    <x v="4"/>
    <x v="1"/>
    <x v="3"/>
    <n v="191"/>
    <x v="1"/>
    <x v="1"/>
  </r>
  <r>
    <x v="4"/>
    <x v="1"/>
    <x v="4"/>
    <n v="145"/>
    <x v="1"/>
    <x v="1"/>
  </r>
  <r>
    <x v="4"/>
    <x v="1"/>
    <x v="5"/>
    <n v="223"/>
    <x v="1"/>
    <x v="1"/>
  </r>
  <r>
    <x v="4"/>
    <x v="1"/>
    <x v="6"/>
    <n v="151"/>
    <x v="1"/>
    <x v="1"/>
  </r>
  <r>
    <x v="4"/>
    <x v="1"/>
    <x v="7"/>
    <n v="167"/>
    <x v="1"/>
    <x v="1"/>
  </r>
  <r>
    <x v="4"/>
    <x v="1"/>
    <x v="8"/>
    <n v="198"/>
    <x v="1"/>
    <x v="1"/>
  </r>
  <r>
    <x v="4"/>
    <x v="1"/>
    <x v="9"/>
    <n v="86"/>
    <x v="1"/>
    <x v="1"/>
  </r>
  <r>
    <x v="4"/>
    <x v="1"/>
    <x v="10"/>
    <n v="111"/>
    <x v="1"/>
    <x v="1"/>
  </r>
  <r>
    <x v="4"/>
    <x v="1"/>
    <x v="11"/>
    <n v="305"/>
    <x v="1"/>
    <x v="1"/>
  </r>
  <r>
    <x v="4"/>
    <x v="1"/>
    <x v="12"/>
    <n v="67"/>
    <x v="1"/>
    <x v="1"/>
  </r>
  <r>
    <x v="4"/>
    <x v="1"/>
    <x v="13"/>
    <n v="145"/>
    <x v="1"/>
    <x v="1"/>
  </r>
  <r>
    <x v="4"/>
    <x v="1"/>
    <x v="14"/>
    <n v="176"/>
    <x v="1"/>
    <x v="1"/>
  </r>
  <r>
    <x v="4"/>
    <x v="1"/>
    <x v="15"/>
    <n v="151"/>
    <x v="1"/>
    <x v="1"/>
  </r>
  <r>
    <x v="4"/>
    <x v="1"/>
    <x v="16"/>
    <n v="122"/>
    <x v="1"/>
    <x v="1"/>
  </r>
  <r>
    <x v="4"/>
    <x v="1"/>
    <x v="17"/>
    <n v="326"/>
    <x v="1"/>
    <x v="1"/>
  </r>
  <r>
    <x v="4"/>
    <x v="1"/>
    <x v="18"/>
    <n v="71"/>
    <x v="1"/>
    <x v="1"/>
  </r>
  <r>
    <x v="4"/>
    <x v="1"/>
    <x v="19"/>
    <n v="326"/>
    <x v="1"/>
    <x v="1"/>
  </r>
  <r>
    <x v="4"/>
    <x v="1"/>
    <x v="20"/>
    <n v="147"/>
    <x v="1"/>
    <x v="1"/>
  </r>
  <r>
    <x v="4"/>
    <x v="1"/>
    <x v="21"/>
    <n v="344"/>
    <x v="1"/>
    <x v="1"/>
  </r>
  <r>
    <x v="4"/>
    <x v="1"/>
    <x v="22"/>
    <n v="195"/>
    <x v="1"/>
    <x v="1"/>
  </r>
  <r>
    <x v="4"/>
    <x v="1"/>
    <x v="23"/>
    <n v="220"/>
    <x v="1"/>
    <x v="1"/>
  </r>
  <r>
    <x v="4"/>
    <x v="1"/>
    <x v="24"/>
    <n v="271"/>
    <x v="1"/>
    <x v="1"/>
  </r>
  <r>
    <x v="4"/>
    <x v="1"/>
    <x v="25"/>
    <n v="166"/>
    <x v="1"/>
    <x v="1"/>
  </r>
  <r>
    <x v="4"/>
    <x v="1"/>
    <x v="26"/>
    <n v="122"/>
    <x v="1"/>
    <x v="1"/>
  </r>
  <r>
    <x v="4"/>
    <x v="1"/>
    <x v="27"/>
    <n v="120"/>
    <x v="1"/>
    <x v="1"/>
  </r>
  <r>
    <x v="4"/>
    <x v="1"/>
    <x v="28"/>
    <n v="417"/>
    <x v="1"/>
    <x v="1"/>
  </r>
  <r>
    <x v="4"/>
    <x v="1"/>
    <x v="29"/>
    <n v="339"/>
    <x v="1"/>
    <x v="1"/>
  </r>
  <r>
    <x v="4"/>
    <x v="1"/>
    <x v="30"/>
    <n v="106"/>
    <x v="1"/>
    <x v="1"/>
  </r>
  <r>
    <x v="4"/>
    <x v="1"/>
    <x v="31"/>
    <n v="307"/>
    <x v="1"/>
    <x v="1"/>
  </r>
  <r>
    <x v="4"/>
    <x v="1"/>
    <x v="32"/>
    <n v="273"/>
    <x v="1"/>
    <x v="1"/>
  </r>
  <r>
    <x v="4"/>
    <x v="1"/>
    <x v="33"/>
    <n v="329"/>
    <x v="1"/>
    <x v="1"/>
  </r>
  <r>
    <x v="4"/>
    <x v="1"/>
    <x v="34"/>
    <n v="240"/>
    <x v="1"/>
    <x v="1"/>
  </r>
  <r>
    <x v="4"/>
    <x v="1"/>
    <x v="35"/>
    <n v="118"/>
    <x v="1"/>
    <x v="1"/>
  </r>
  <r>
    <x v="4"/>
    <x v="1"/>
    <x v="36"/>
    <n v="240"/>
    <x v="1"/>
    <x v="1"/>
  </r>
  <r>
    <x v="4"/>
    <x v="1"/>
    <x v="37"/>
    <n v="305"/>
    <x v="1"/>
    <x v="1"/>
  </r>
  <r>
    <x v="4"/>
    <x v="1"/>
    <x v="38"/>
    <n v="222"/>
    <x v="1"/>
    <x v="1"/>
  </r>
  <r>
    <x v="4"/>
    <x v="1"/>
    <x v="39"/>
    <n v="226"/>
    <x v="1"/>
    <x v="1"/>
  </r>
  <r>
    <x v="4"/>
    <x v="1"/>
    <x v="40"/>
    <n v="131"/>
    <x v="1"/>
    <x v="1"/>
  </r>
  <r>
    <x v="4"/>
    <x v="1"/>
    <x v="41"/>
    <n v="208"/>
    <x v="1"/>
    <x v="1"/>
  </r>
  <r>
    <x v="4"/>
    <x v="1"/>
    <x v="42"/>
    <n v="235"/>
    <x v="1"/>
    <x v="1"/>
  </r>
  <r>
    <x v="4"/>
    <x v="1"/>
    <x v="43"/>
    <n v="385"/>
    <x v="1"/>
    <x v="1"/>
  </r>
  <r>
    <x v="4"/>
    <x v="1"/>
    <x v="44"/>
    <n v="180"/>
    <x v="1"/>
    <x v="1"/>
  </r>
  <r>
    <x v="4"/>
    <x v="1"/>
    <x v="45"/>
    <n v="385"/>
    <x v="1"/>
    <x v="1"/>
  </r>
  <r>
    <x v="4"/>
    <x v="1"/>
    <x v="46"/>
    <n v="165"/>
    <x v="1"/>
    <x v="1"/>
  </r>
  <r>
    <x v="4"/>
    <x v="1"/>
    <x v="47"/>
    <n v="141"/>
    <x v="1"/>
    <x v="1"/>
  </r>
  <r>
    <x v="4"/>
    <x v="1"/>
    <x v="48"/>
    <n v="170"/>
    <x v="1"/>
    <x v="1"/>
  </r>
  <r>
    <x v="4"/>
    <x v="1"/>
    <x v="49"/>
    <n v="98"/>
    <x v="1"/>
    <x v="1"/>
  </r>
  <r>
    <x v="4"/>
    <x v="1"/>
    <x v="50"/>
    <n v="306"/>
    <x v="1"/>
    <x v="1"/>
  </r>
  <r>
    <x v="4"/>
    <x v="1"/>
    <x v="51"/>
    <n v="458"/>
    <x v="1"/>
    <x v="1"/>
  </r>
  <r>
    <x v="5"/>
    <x v="2"/>
    <x v="0"/>
    <n v="28"/>
    <x v="1"/>
    <x v="1"/>
  </r>
  <r>
    <x v="5"/>
    <x v="2"/>
    <x v="1"/>
    <n v="28"/>
    <x v="1"/>
    <x v="1"/>
  </r>
  <r>
    <x v="5"/>
    <x v="2"/>
    <x v="2"/>
    <n v="54"/>
    <x v="1"/>
    <x v="1"/>
  </r>
  <r>
    <x v="5"/>
    <x v="2"/>
    <x v="3"/>
    <n v="48"/>
    <x v="1"/>
    <x v="1"/>
  </r>
  <r>
    <x v="5"/>
    <x v="2"/>
    <x v="4"/>
    <n v="63"/>
    <x v="1"/>
    <x v="1"/>
  </r>
  <r>
    <x v="5"/>
    <x v="2"/>
    <x v="5"/>
    <n v="38"/>
    <x v="1"/>
    <x v="1"/>
  </r>
  <r>
    <x v="5"/>
    <x v="2"/>
    <x v="6"/>
    <n v="108"/>
    <x v="1"/>
    <x v="1"/>
  </r>
  <r>
    <x v="5"/>
    <x v="2"/>
    <x v="7"/>
    <n v="105"/>
    <x v="1"/>
    <x v="1"/>
  </r>
  <r>
    <x v="5"/>
    <x v="2"/>
    <x v="8"/>
    <n v="39"/>
    <x v="1"/>
    <x v="1"/>
  </r>
  <r>
    <x v="5"/>
    <x v="2"/>
    <x v="9"/>
    <n v="70"/>
    <x v="1"/>
    <x v="1"/>
  </r>
  <r>
    <x v="5"/>
    <x v="2"/>
    <x v="10"/>
    <n v="96"/>
    <x v="1"/>
    <x v="1"/>
  </r>
  <r>
    <x v="5"/>
    <x v="2"/>
    <x v="11"/>
    <n v="35"/>
    <x v="1"/>
    <x v="1"/>
  </r>
  <r>
    <x v="5"/>
    <x v="2"/>
    <x v="12"/>
    <n v="72"/>
    <x v="1"/>
    <x v="1"/>
  </r>
  <r>
    <x v="5"/>
    <x v="2"/>
    <x v="13"/>
    <n v="23"/>
    <x v="1"/>
    <x v="1"/>
  </r>
  <r>
    <x v="5"/>
    <x v="2"/>
    <x v="14"/>
    <n v="116"/>
    <x v="1"/>
    <x v="1"/>
  </r>
  <r>
    <x v="5"/>
    <x v="2"/>
    <x v="15"/>
    <n v="129"/>
    <x v="1"/>
    <x v="1"/>
  </r>
  <r>
    <x v="5"/>
    <x v="2"/>
    <x v="16"/>
    <n v="104"/>
    <x v="1"/>
    <x v="1"/>
  </r>
  <r>
    <x v="5"/>
    <x v="2"/>
    <x v="17"/>
    <n v="59"/>
    <x v="1"/>
    <x v="1"/>
  </r>
  <r>
    <x v="5"/>
    <x v="2"/>
    <x v="18"/>
    <n v="35"/>
    <x v="1"/>
    <x v="1"/>
  </r>
  <r>
    <x v="5"/>
    <x v="2"/>
    <x v="19"/>
    <n v="57"/>
    <x v="1"/>
    <x v="1"/>
  </r>
  <r>
    <x v="5"/>
    <x v="2"/>
    <x v="20"/>
    <n v="86"/>
    <x v="1"/>
    <x v="1"/>
  </r>
  <r>
    <x v="5"/>
    <x v="2"/>
    <x v="21"/>
    <n v="127"/>
    <x v="1"/>
    <x v="1"/>
  </r>
  <r>
    <x v="5"/>
    <x v="2"/>
    <x v="22"/>
    <n v="129"/>
    <x v="1"/>
    <x v="1"/>
  </r>
  <r>
    <x v="5"/>
    <x v="2"/>
    <x v="23"/>
    <n v="69"/>
    <x v="1"/>
    <x v="1"/>
  </r>
  <r>
    <x v="5"/>
    <x v="2"/>
    <x v="24"/>
    <n v="115"/>
    <x v="1"/>
    <x v="1"/>
  </r>
  <r>
    <x v="5"/>
    <x v="2"/>
    <x v="25"/>
    <n v="109"/>
    <x v="1"/>
    <x v="1"/>
  </r>
  <r>
    <x v="5"/>
    <x v="2"/>
    <x v="26"/>
    <n v="61"/>
    <x v="1"/>
    <x v="1"/>
  </r>
  <r>
    <x v="5"/>
    <x v="2"/>
    <x v="27"/>
    <n v="109"/>
    <x v="1"/>
    <x v="1"/>
  </r>
  <r>
    <x v="5"/>
    <x v="2"/>
    <x v="28"/>
    <n v="94"/>
    <x v="1"/>
    <x v="1"/>
  </r>
  <r>
    <x v="5"/>
    <x v="2"/>
    <x v="29"/>
    <n v="72"/>
    <x v="1"/>
    <x v="1"/>
  </r>
  <r>
    <x v="5"/>
    <x v="2"/>
    <x v="30"/>
    <n v="119"/>
    <x v="1"/>
    <x v="1"/>
  </r>
  <r>
    <x v="5"/>
    <x v="2"/>
    <x v="31"/>
    <n v="175"/>
    <x v="1"/>
    <x v="1"/>
  </r>
  <r>
    <x v="5"/>
    <x v="2"/>
    <x v="32"/>
    <n v="61"/>
    <x v="1"/>
    <x v="1"/>
  </r>
  <r>
    <x v="5"/>
    <x v="2"/>
    <x v="33"/>
    <n v="195"/>
    <x v="1"/>
    <x v="1"/>
  </r>
  <r>
    <x v="5"/>
    <x v="2"/>
    <x v="34"/>
    <n v="131"/>
    <x v="1"/>
    <x v="1"/>
  </r>
  <r>
    <x v="5"/>
    <x v="2"/>
    <x v="35"/>
    <n v="139"/>
    <x v="1"/>
    <x v="1"/>
  </r>
  <r>
    <x v="5"/>
    <x v="2"/>
    <x v="36"/>
    <n v="87"/>
    <x v="1"/>
    <x v="1"/>
  </r>
  <r>
    <x v="5"/>
    <x v="2"/>
    <x v="37"/>
    <n v="141"/>
    <x v="1"/>
    <x v="1"/>
  </r>
  <r>
    <x v="5"/>
    <x v="2"/>
    <x v="38"/>
    <n v="263"/>
    <x v="1"/>
    <x v="1"/>
  </r>
  <r>
    <x v="5"/>
    <x v="2"/>
    <x v="39"/>
    <n v="160"/>
    <x v="1"/>
    <x v="1"/>
  </r>
  <r>
    <x v="5"/>
    <x v="2"/>
    <x v="40"/>
    <n v="221"/>
    <x v="1"/>
    <x v="1"/>
  </r>
  <r>
    <x v="5"/>
    <x v="2"/>
    <x v="41"/>
    <n v="97"/>
    <x v="1"/>
    <x v="1"/>
  </r>
  <r>
    <x v="5"/>
    <x v="2"/>
    <x v="42"/>
    <n v="174"/>
    <x v="1"/>
    <x v="1"/>
  </r>
  <r>
    <x v="5"/>
    <x v="2"/>
    <x v="43"/>
    <n v="87"/>
    <x v="1"/>
    <x v="1"/>
  </r>
  <r>
    <x v="5"/>
    <x v="2"/>
    <x v="44"/>
    <n v="127"/>
    <x v="1"/>
    <x v="1"/>
  </r>
  <r>
    <x v="5"/>
    <x v="2"/>
    <x v="45"/>
    <n v="116"/>
    <x v="1"/>
    <x v="1"/>
  </r>
  <r>
    <x v="5"/>
    <x v="2"/>
    <x v="46"/>
    <n v="159"/>
    <x v="1"/>
    <x v="1"/>
  </r>
  <r>
    <x v="5"/>
    <x v="2"/>
    <x v="47"/>
    <n v="113"/>
    <x v="1"/>
    <x v="1"/>
  </r>
  <r>
    <x v="5"/>
    <x v="2"/>
    <x v="48"/>
    <n v="77"/>
    <x v="1"/>
    <x v="1"/>
  </r>
  <r>
    <x v="5"/>
    <x v="2"/>
    <x v="49"/>
    <n v="93"/>
    <x v="1"/>
    <x v="1"/>
  </r>
  <r>
    <x v="5"/>
    <x v="2"/>
    <x v="50"/>
    <n v="64"/>
    <x v="1"/>
    <x v="1"/>
  </r>
  <r>
    <x v="5"/>
    <x v="2"/>
    <x v="51"/>
    <n v="43"/>
    <x v="1"/>
    <x v="1"/>
  </r>
  <r>
    <x v="3"/>
    <x v="2"/>
    <x v="0"/>
    <n v="186"/>
    <x v="2"/>
    <x v="2"/>
  </r>
  <r>
    <x v="3"/>
    <x v="2"/>
    <x v="1"/>
    <n v="127"/>
    <x v="2"/>
    <x v="2"/>
  </r>
  <r>
    <x v="3"/>
    <x v="2"/>
    <x v="2"/>
    <n v="240"/>
    <x v="2"/>
    <x v="2"/>
  </r>
  <r>
    <x v="3"/>
    <x v="2"/>
    <x v="3"/>
    <n v="309"/>
    <x v="2"/>
    <x v="2"/>
  </r>
  <r>
    <x v="3"/>
    <x v="2"/>
    <x v="4"/>
    <n v="538"/>
    <x v="2"/>
    <x v="2"/>
  </r>
  <r>
    <x v="3"/>
    <x v="2"/>
    <x v="5"/>
    <n v="307"/>
    <x v="2"/>
    <x v="2"/>
  </r>
  <r>
    <x v="3"/>
    <x v="2"/>
    <x v="6"/>
    <n v="329"/>
    <x v="2"/>
    <x v="2"/>
  </r>
  <r>
    <x v="3"/>
    <x v="2"/>
    <x v="7"/>
    <n v="243"/>
    <x v="2"/>
    <x v="2"/>
  </r>
  <r>
    <x v="3"/>
    <x v="2"/>
    <x v="8"/>
    <n v="530"/>
    <x v="2"/>
    <x v="2"/>
  </r>
  <r>
    <x v="3"/>
    <x v="2"/>
    <x v="9"/>
    <n v="223"/>
    <x v="2"/>
    <x v="2"/>
  </r>
  <r>
    <x v="3"/>
    <x v="2"/>
    <x v="10"/>
    <n v="588"/>
    <x v="2"/>
    <x v="2"/>
  </r>
  <r>
    <x v="3"/>
    <x v="2"/>
    <x v="11"/>
    <n v="810"/>
    <x v="2"/>
    <x v="2"/>
  </r>
  <r>
    <x v="3"/>
    <x v="2"/>
    <x v="12"/>
    <n v="421"/>
    <x v="2"/>
    <x v="2"/>
  </r>
  <r>
    <x v="3"/>
    <x v="2"/>
    <x v="13"/>
    <n v="456"/>
    <x v="2"/>
    <x v="2"/>
  </r>
  <r>
    <x v="3"/>
    <x v="2"/>
    <x v="14"/>
    <n v="244"/>
    <x v="2"/>
    <x v="2"/>
  </r>
  <r>
    <x v="3"/>
    <x v="2"/>
    <x v="15"/>
    <n v="843"/>
    <x v="2"/>
    <x v="2"/>
  </r>
  <r>
    <x v="3"/>
    <x v="2"/>
    <x v="16"/>
    <n v="1023"/>
    <x v="2"/>
    <x v="2"/>
  </r>
  <r>
    <x v="3"/>
    <x v="2"/>
    <x v="17"/>
    <n v="297"/>
    <x v="2"/>
    <x v="2"/>
  </r>
  <r>
    <x v="3"/>
    <x v="2"/>
    <x v="18"/>
    <n v="866"/>
    <x v="2"/>
    <x v="2"/>
  </r>
  <r>
    <x v="3"/>
    <x v="2"/>
    <x v="19"/>
    <n v="271"/>
    <x v="2"/>
    <x v="2"/>
  </r>
  <r>
    <x v="3"/>
    <x v="2"/>
    <x v="20"/>
    <n v="862"/>
    <x v="2"/>
    <x v="2"/>
  </r>
  <r>
    <x v="3"/>
    <x v="2"/>
    <x v="21"/>
    <n v="384"/>
    <x v="2"/>
    <x v="2"/>
  </r>
  <r>
    <x v="3"/>
    <x v="2"/>
    <x v="22"/>
    <n v="704"/>
    <x v="2"/>
    <x v="2"/>
  </r>
  <r>
    <x v="3"/>
    <x v="2"/>
    <x v="23"/>
    <n v="300"/>
    <x v="2"/>
    <x v="2"/>
  </r>
  <r>
    <x v="3"/>
    <x v="2"/>
    <x v="24"/>
    <n v="498"/>
    <x v="2"/>
    <x v="2"/>
  </r>
  <r>
    <x v="3"/>
    <x v="2"/>
    <x v="25"/>
    <n v="1123"/>
    <x v="2"/>
    <x v="2"/>
  </r>
  <r>
    <x v="3"/>
    <x v="2"/>
    <x v="26"/>
    <n v="416"/>
    <x v="2"/>
    <x v="2"/>
  </r>
  <r>
    <x v="3"/>
    <x v="2"/>
    <x v="27"/>
    <n v="466"/>
    <x v="2"/>
    <x v="2"/>
  </r>
  <r>
    <x v="3"/>
    <x v="2"/>
    <x v="28"/>
    <n v="733"/>
    <x v="2"/>
    <x v="2"/>
  </r>
  <r>
    <x v="3"/>
    <x v="2"/>
    <x v="29"/>
    <n v="213"/>
    <x v="2"/>
    <x v="2"/>
  </r>
  <r>
    <x v="3"/>
    <x v="2"/>
    <x v="30"/>
    <n v="1168"/>
    <x v="2"/>
    <x v="2"/>
  </r>
  <r>
    <x v="3"/>
    <x v="2"/>
    <x v="31"/>
    <n v="290"/>
    <x v="2"/>
    <x v="2"/>
  </r>
  <r>
    <x v="3"/>
    <x v="2"/>
    <x v="32"/>
    <n v="1175"/>
    <x v="2"/>
    <x v="2"/>
  </r>
  <r>
    <x v="3"/>
    <x v="2"/>
    <x v="33"/>
    <n v="1029"/>
    <x v="2"/>
    <x v="2"/>
  </r>
  <r>
    <x v="3"/>
    <x v="2"/>
    <x v="34"/>
    <n v="473"/>
    <x v="2"/>
    <x v="2"/>
  </r>
  <r>
    <x v="3"/>
    <x v="2"/>
    <x v="35"/>
    <n v="1253"/>
    <x v="2"/>
    <x v="2"/>
  </r>
  <r>
    <x v="3"/>
    <x v="2"/>
    <x v="36"/>
    <n v="510"/>
    <x v="2"/>
    <x v="2"/>
  </r>
  <r>
    <x v="3"/>
    <x v="2"/>
    <x v="37"/>
    <n v="1041"/>
    <x v="2"/>
    <x v="2"/>
  </r>
  <r>
    <x v="3"/>
    <x v="2"/>
    <x v="38"/>
    <n v="448"/>
    <x v="2"/>
    <x v="2"/>
  </r>
  <r>
    <x v="3"/>
    <x v="2"/>
    <x v="39"/>
    <n v="954"/>
    <x v="2"/>
    <x v="2"/>
  </r>
  <r>
    <x v="3"/>
    <x v="2"/>
    <x v="40"/>
    <n v="263"/>
    <x v="2"/>
    <x v="2"/>
  </r>
  <r>
    <x v="3"/>
    <x v="2"/>
    <x v="41"/>
    <n v="581"/>
    <x v="2"/>
    <x v="2"/>
  </r>
  <r>
    <x v="3"/>
    <x v="2"/>
    <x v="42"/>
    <n v="1005"/>
    <x v="2"/>
    <x v="2"/>
  </r>
  <r>
    <x v="3"/>
    <x v="2"/>
    <x v="43"/>
    <n v="880"/>
    <x v="2"/>
    <x v="2"/>
  </r>
  <r>
    <x v="3"/>
    <x v="2"/>
    <x v="44"/>
    <n v="777"/>
    <x v="2"/>
    <x v="2"/>
  </r>
  <r>
    <x v="3"/>
    <x v="2"/>
    <x v="45"/>
    <n v="284"/>
    <x v="2"/>
    <x v="2"/>
  </r>
  <r>
    <x v="3"/>
    <x v="2"/>
    <x v="46"/>
    <n v="576"/>
    <x v="2"/>
    <x v="2"/>
  </r>
  <r>
    <x v="3"/>
    <x v="2"/>
    <x v="47"/>
    <n v="145"/>
    <x v="2"/>
    <x v="2"/>
  </r>
  <r>
    <x v="3"/>
    <x v="2"/>
    <x v="48"/>
    <n v="401"/>
    <x v="2"/>
    <x v="2"/>
  </r>
  <r>
    <x v="3"/>
    <x v="2"/>
    <x v="49"/>
    <n v="725"/>
    <x v="2"/>
    <x v="2"/>
  </r>
  <r>
    <x v="3"/>
    <x v="2"/>
    <x v="50"/>
    <n v="674"/>
    <x v="2"/>
    <x v="2"/>
  </r>
  <r>
    <x v="3"/>
    <x v="2"/>
    <x v="51"/>
    <n v="488"/>
    <x v="2"/>
    <x v="2"/>
  </r>
  <r>
    <x v="4"/>
    <x v="0"/>
    <x v="0"/>
    <n v="80"/>
    <x v="2"/>
    <x v="2"/>
  </r>
  <r>
    <x v="4"/>
    <x v="0"/>
    <x v="1"/>
    <n v="204"/>
    <x v="2"/>
    <x v="2"/>
  </r>
  <r>
    <x v="4"/>
    <x v="0"/>
    <x v="2"/>
    <n v="165"/>
    <x v="2"/>
    <x v="2"/>
  </r>
  <r>
    <x v="4"/>
    <x v="0"/>
    <x v="3"/>
    <n v="213"/>
    <x v="2"/>
    <x v="2"/>
  </r>
  <r>
    <x v="4"/>
    <x v="0"/>
    <x v="4"/>
    <n v="100"/>
    <x v="2"/>
    <x v="2"/>
  </r>
  <r>
    <x v="4"/>
    <x v="0"/>
    <x v="5"/>
    <n v="134"/>
    <x v="2"/>
    <x v="2"/>
  </r>
  <r>
    <x v="4"/>
    <x v="0"/>
    <x v="6"/>
    <n v="185"/>
    <x v="2"/>
    <x v="2"/>
  </r>
  <r>
    <x v="4"/>
    <x v="0"/>
    <x v="7"/>
    <n v="219"/>
    <x v="2"/>
    <x v="2"/>
  </r>
  <r>
    <x v="4"/>
    <x v="0"/>
    <x v="8"/>
    <n v="266"/>
    <x v="2"/>
    <x v="2"/>
  </r>
  <r>
    <x v="4"/>
    <x v="0"/>
    <x v="9"/>
    <n v="106"/>
    <x v="2"/>
    <x v="2"/>
  </r>
  <r>
    <x v="4"/>
    <x v="0"/>
    <x v="10"/>
    <n v="150"/>
    <x v="2"/>
    <x v="2"/>
  </r>
  <r>
    <x v="4"/>
    <x v="0"/>
    <x v="11"/>
    <n v="126"/>
    <x v="2"/>
    <x v="2"/>
  </r>
  <r>
    <x v="4"/>
    <x v="0"/>
    <x v="12"/>
    <n v="175"/>
    <x v="2"/>
    <x v="2"/>
  </r>
  <r>
    <x v="4"/>
    <x v="0"/>
    <x v="13"/>
    <n v="48"/>
    <x v="2"/>
    <x v="2"/>
  </r>
  <r>
    <x v="4"/>
    <x v="0"/>
    <x v="14"/>
    <n v="123"/>
    <x v="2"/>
    <x v="2"/>
  </r>
  <r>
    <x v="4"/>
    <x v="0"/>
    <x v="15"/>
    <n v="85"/>
    <x v="2"/>
    <x v="2"/>
  </r>
  <r>
    <x v="4"/>
    <x v="0"/>
    <x v="16"/>
    <n v="214"/>
    <x v="2"/>
    <x v="2"/>
  </r>
  <r>
    <x v="4"/>
    <x v="0"/>
    <x v="17"/>
    <n v="387"/>
    <x v="2"/>
    <x v="2"/>
  </r>
  <r>
    <x v="4"/>
    <x v="0"/>
    <x v="18"/>
    <n v="85"/>
    <x v="2"/>
    <x v="2"/>
  </r>
  <r>
    <x v="4"/>
    <x v="0"/>
    <x v="19"/>
    <n v="158"/>
    <x v="2"/>
    <x v="2"/>
  </r>
  <r>
    <x v="4"/>
    <x v="0"/>
    <x v="20"/>
    <n v="333"/>
    <x v="2"/>
    <x v="2"/>
  </r>
  <r>
    <x v="4"/>
    <x v="0"/>
    <x v="21"/>
    <n v="174"/>
    <x v="2"/>
    <x v="2"/>
  </r>
  <r>
    <x v="4"/>
    <x v="0"/>
    <x v="22"/>
    <n v="71"/>
    <x v="2"/>
    <x v="2"/>
  </r>
  <r>
    <x v="4"/>
    <x v="0"/>
    <x v="23"/>
    <n v="55"/>
    <x v="2"/>
    <x v="2"/>
  </r>
  <r>
    <x v="4"/>
    <x v="0"/>
    <x v="24"/>
    <n v="261"/>
    <x v="2"/>
    <x v="2"/>
  </r>
  <r>
    <x v="4"/>
    <x v="0"/>
    <x v="25"/>
    <n v="84"/>
    <x v="2"/>
    <x v="2"/>
  </r>
  <r>
    <x v="4"/>
    <x v="0"/>
    <x v="26"/>
    <n v="320"/>
    <x v="2"/>
    <x v="2"/>
  </r>
  <r>
    <x v="4"/>
    <x v="0"/>
    <x v="27"/>
    <n v="365"/>
    <x v="2"/>
    <x v="2"/>
  </r>
  <r>
    <x v="4"/>
    <x v="0"/>
    <x v="28"/>
    <n v="51"/>
    <x v="2"/>
    <x v="2"/>
  </r>
  <r>
    <x v="4"/>
    <x v="0"/>
    <x v="29"/>
    <n v="237"/>
    <x v="2"/>
    <x v="2"/>
  </r>
  <r>
    <x v="4"/>
    <x v="0"/>
    <x v="30"/>
    <n v="86"/>
    <x v="2"/>
    <x v="2"/>
  </r>
  <r>
    <x v="4"/>
    <x v="0"/>
    <x v="31"/>
    <n v="132"/>
    <x v="2"/>
    <x v="2"/>
  </r>
  <r>
    <x v="4"/>
    <x v="0"/>
    <x v="32"/>
    <n v="144"/>
    <x v="2"/>
    <x v="2"/>
  </r>
  <r>
    <x v="4"/>
    <x v="0"/>
    <x v="33"/>
    <n v="373"/>
    <x v="2"/>
    <x v="2"/>
  </r>
  <r>
    <x v="4"/>
    <x v="0"/>
    <x v="34"/>
    <n v="308"/>
    <x v="2"/>
    <x v="2"/>
  </r>
  <r>
    <x v="4"/>
    <x v="0"/>
    <x v="35"/>
    <n v="130"/>
    <x v="2"/>
    <x v="2"/>
  </r>
  <r>
    <x v="4"/>
    <x v="0"/>
    <x v="36"/>
    <n v="200"/>
    <x v="2"/>
    <x v="2"/>
  </r>
  <r>
    <x v="4"/>
    <x v="0"/>
    <x v="37"/>
    <n v="128"/>
    <x v="2"/>
    <x v="2"/>
  </r>
  <r>
    <x v="4"/>
    <x v="0"/>
    <x v="38"/>
    <n v="258"/>
    <x v="2"/>
    <x v="2"/>
  </r>
  <r>
    <x v="4"/>
    <x v="0"/>
    <x v="39"/>
    <n v="273"/>
    <x v="2"/>
    <x v="2"/>
  </r>
  <r>
    <x v="4"/>
    <x v="0"/>
    <x v="40"/>
    <n v="432"/>
    <x v="2"/>
    <x v="2"/>
  </r>
  <r>
    <x v="4"/>
    <x v="0"/>
    <x v="41"/>
    <n v="231"/>
    <x v="2"/>
    <x v="2"/>
  </r>
  <r>
    <x v="4"/>
    <x v="0"/>
    <x v="42"/>
    <n v="162"/>
    <x v="2"/>
    <x v="2"/>
  </r>
  <r>
    <x v="4"/>
    <x v="0"/>
    <x v="43"/>
    <n v="176"/>
    <x v="2"/>
    <x v="2"/>
  </r>
  <r>
    <x v="4"/>
    <x v="0"/>
    <x v="44"/>
    <n v="290"/>
    <x v="2"/>
    <x v="2"/>
  </r>
  <r>
    <x v="4"/>
    <x v="0"/>
    <x v="45"/>
    <n v="316"/>
    <x v="2"/>
    <x v="2"/>
  </r>
  <r>
    <x v="4"/>
    <x v="0"/>
    <x v="46"/>
    <n v="169"/>
    <x v="2"/>
    <x v="2"/>
  </r>
  <r>
    <x v="4"/>
    <x v="0"/>
    <x v="47"/>
    <n v="85"/>
    <x v="2"/>
    <x v="2"/>
  </r>
  <r>
    <x v="4"/>
    <x v="0"/>
    <x v="48"/>
    <n v="241"/>
    <x v="2"/>
    <x v="2"/>
  </r>
  <r>
    <x v="4"/>
    <x v="0"/>
    <x v="49"/>
    <n v="349"/>
    <x v="2"/>
    <x v="2"/>
  </r>
  <r>
    <x v="4"/>
    <x v="0"/>
    <x v="50"/>
    <n v="403"/>
    <x v="2"/>
    <x v="2"/>
  </r>
  <r>
    <x v="4"/>
    <x v="0"/>
    <x v="51"/>
    <n v="177"/>
    <x v="2"/>
    <x v="2"/>
  </r>
  <r>
    <x v="5"/>
    <x v="1"/>
    <x v="0"/>
    <n v="269"/>
    <x v="2"/>
    <x v="2"/>
  </r>
  <r>
    <x v="5"/>
    <x v="1"/>
    <x v="1"/>
    <n v="229"/>
    <x v="2"/>
    <x v="2"/>
  </r>
  <r>
    <x v="5"/>
    <x v="1"/>
    <x v="2"/>
    <n v="539"/>
    <x v="2"/>
    <x v="2"/>
  </r>
  <r>
    <x v="5"/>
    <x v="1"/>
    <x v="3"/>
    <n v="460"/>
    <x v="2"/>
    <x v="2"/>
  </r>
  <r>
    <x v="5"/>
    <x v="1"/>
    <x v="4"/>
    <n v="127"/>
    <x v="2"/>
    <x v="2"/>
  </r>
  <r>
    <x v="5"/>
    <x v="1"/>
    <x v="5"/>
    <n v="296"/>
    <x v="2"/>
    <x v="2"/>
  </r>
  <r>
    <x v="5"/>
    <x v="1"/>
    <x v="6"/>
    <n v="586"/>
    <x v="2"/>
    <x v="2"/>
  </r>
  <r>
    <x v="5"/>
    <x v="1"/>
    <x v="7"/>
    <n v="381"/>
    <x v="2"/>
    <x v="2"/>
  </r>
  <r>
    <x v="5"/>
    <x v="1"/>
    <x v="8"/>
    <n v="229"/>
    <x v="2"/>
    <x v="2"/>
  </r>
  <r>
    <x v="5"/>
    <x v="1"/>
    <x v="9"/>
    <n v="477"/>
    <x v="2"/>
    <x v="2"/>
  </r>
  <r>
    <x v="5"/>
    <x v="1"/>
    <x v="10"/>
    <n v="406"/>
    <x v="2"/>
    <x v="2"/>
  </r>
  <r>
    <x v="5"/>
    <x v="1"/>
    <x v="11"/>
    <n v="209"/>
    <x v="2"/>
    <x v="2"/>
  </r>
  <r>
    <x v="5"/>
    <x v="1"/>
    <x v="12"/>
    <n v="528"/>
    <x v="2"/>
    <x v="2"/>
  </r>
  <r>
    <x v="5"/>
    <x v="1"/>
    <x v="13"/>
    <n v="362"/>
    <x v="2"/>
    <x v="2"/>
  </r>
  <r>
    <x v="5"/>
    <x v="1"/>
    <x v="14"/>
    <n v="509"/>
    <x v="2"/>
    <x v="2"/>
  </r>
  <r>
    <x v="5"/>
    <x v="1"/>
    <x v="15"/>
    <n v="178"/>
    <x v="2"/>
    <x v="2"/>
  </r>
  <r>
    <x v="5"/>
    <x v="1"/>
    <x v="16"/>
    <n v="566"/>
    <x v="2"/>
    <x v="2"/>
  </r>
  <r>
    <x v="5"/>
    <x v="1"/>
    <x v="17"/>
    <n v="686"/>
    <x v="2"/>
    <x v="2"/>
  </r>
  <r>
    <x v="5"/>
    <x v="1"/>
    <x v="18"/>
    <n v="191"/>
    <x v="2"/>
    <x v="2"/>
  </r>
  <r>
    <x v="5"/>
    <x v="1"/>
    <x v="19"/>
    <n v="298"/>
    <x v="2"/>
    <x v="2"/>
  </r>
  <r>
    <x v="5"/>
    <x v="1"/>
    <x v="20"/>
    <n v="243"/>
    <x v="2"/>
    <x v="2"/>
  </r>
  <r>
    <x v="5"/>
    <x v="1"/>
    <x v="21"/>
    <n v="360"/>
    <x v="2"/>
    <x v="2"/>
  </r>
  <r>
    <x v="5"/>
    <x v="1"/>
    <x v="22"/>
    <n v="271"/>
    <x v="2"/>
    <x v="2"/>
  </r>
  <r>
    <x v="5"/>
    <x v="1"/>
    <x v="23"/>
    <n v="561"/>
    <x v="2"/>
    <x v="2"/>
  </r>
  <r>
    <x v="5"/>
    <x v="1"/>
    <x v="24"/>
    <n v="347"/>
    <x v="2"/>
    <x v="2"/>
  </r>
  <r>
    <x v="5"/>
    <x v="1"/>
    <x v="25"/>
    <n v="191"/>
    <x v="2"/>
    <x v="2"/>
  </r>
  <r>
    <x v="5"/>
    <x v="1"/>
    <x v="26"/>
    <n v="275"/>
    <x v="2"/>
    <x v="2"/>
  </r>
  <r>
    <x v="5"/>
    <x v="1"/>
    <x v="27"/>
    <n v="815"/>
    <x v="2"/>
    <x v="2"/>
  </r>
  <r>
    <x v="5"/>
    <x v="1"/>
    <x v="28"/>
    <n v="978"/>
    <x v="2"/>
    <x v="2"/>
  </r>
  <r>
    <x v="5"/>
    <x v="1"/>
    <x v="29"/>
    <n v="832"/>
    <x v="2"/>
    <x v="2"/>
  </r>
  <r>
    <x v="5"/>
    <x v="1"/>
    <x v="30"/>
    <n v="757"/>
    <x v="2"/>
    <x v="2"/>
  </r>
  <r>
    <x v="5"/>
    <x v="1"/>
    <x v="31"/>
    <n v="489"/>
    <x v="2"/>
    <x v="2"/>
  </r>
  <r>
    <x v="5"/>
    <x v="1"/>
    <x v="32"/>
    <n v="461"/>
    <x v="2"/>
    <x v="2"/>
  </r>
  <r>
    <x v="5"/>
    <x v="1"/>
    <x v="33"/>
    <n v="462"/>
    <x v="2"/>
    <x v="2"/>
  </r>
  <r>
    <x v="5"/>
    <x v="1"/>
    <x v="34"/>
    <n v="196"/>
    <x v="2"/>
    <x v="2"/>
  </r>
  <r>
    <x v="5"/>
    <x v="1"/>
    <x v="35"/>
    <n v="688"/>
    <x v="2"/>
    <x v="2"/>
  </r>
  <r>
    <x v="5"/>
    <x v="1"/>
    <x v="36"/>
    <n v="338"/>
    <x v="2"/>
    <x v="2"/>
  </r>
  <r>
    <x v="5"/>
    <x v="1"/>
    <x v="37"/>
    <n v="723"/>
    <x v="2"/>
    <x v="2"/>
  </r>
  <r>
    <x v="5"/>
    <x v="1"/>
    <x v="38"/>
    <n v="1356"/>
    <x v="2"/>
    <x v="2"/>
  </r>
  <r>
    <x v="5"/>
    <x v="1"/>
    <x v="39"/>
    <n v="631"/>
    <x v="2"/>
    <x v="2"/>
  </r>
  <r>
    <x v="5"/>
    <x v="1"/>
    <x v="40"/>
    <n v="481"/>
    <x v="2"/>
    <x v="2"/>
  </r>
  <r>
    <x v="5"/>
    <x v="1"/>
    <x v="41"/>
    <n v="226"/>
    <x v="2"/>
    <x v="2"/>
  </r>
  <r>
    <x v="5"/>
    <x v="1"/>
    <x v="42"/>
    <n v="570"/>
    <x v="2"/>
    <x v="2"/>
  </r>
  <r>
    <x v="5"/>
    <x v="1"/>
    <x v="43"/>
    <n v="644"/>
    <x v="2"/>
    <x v="2"/>
  </r>
  <r>
    <x v="5"/>
    <x v="1"/>
    <x v="44"/>
    <n v="656"/>
    <x v="2"/>
    <x v="2"/>
  </r>
  <r>
    <x v="5"/>
    <x v="1"/>
    <x v="45"/>
    <n v="864"/>
    <x v="2"/>
    <x v="2"/>
  </r>
  <r>
    <x v="5"/>
    <x v="1"/>
    <x v="46"/>
    <n v="661"/>
    <x v="2"/>
    <x v="2"/>
  </r>
  <r>
    <x v="5"/>
    <x v="1"/>
    <x v="47"/>
    <n v="153"/>
    <x v="2"/>
    <x v="2"/>
  </r>
  <r>
    <x v="5"/>
    <x v="1"/>
    <x v="48"/>
    <n v="245"/>
    <x v="2"/>
    <x v="2"/>
  </r>
  <r>
    <x v="5"/>
    <x v="1"/>
    <x v="49"/>
    <n v="213"/>
    <x v="2"/>
    <x v="2"/>
  </r>
  <r>
    <x v="5"/>
    <x v="1"/>
    <x v="50"/>
    <n v="378"/>
    <x v="2"/>
    <x v="2"/>
  </r>
  <r>
    <x v="5"/>
    <x v="1"/>
    <x v="51"/>
    <n v="387"/>
    <x v="2"/>
    <x v="2"/>
  </r>
  <r>
    <x v="0"/>
    <x v="1"/>
    <x v="0"/>
    <n v="365"/>
    <x v="3"/>
    <x v="3"/>
  </r>
  <r>
    <x v="0"/>
    <x v="1"/>
    <x v="1"/>
    <n v="86"/>
    <x v="3"/>
    <x v="3"/>
  </r>
  <r>
    <x v="0"/>
    <x v="1"/>
    <x v="2"/>
    <n v="303"/>
    <x v="3"/>
    <x v="3"/>
  </r>
  <r>
    <x v="0"/>
    <x v="1"/>
    <x v="3"/>
    <n v="280"/>
    <x v="3"/>
    <x v="3"/>
  </r>
  <r>
    <x v="0"/>
    <x v="1"/>
    <x v="4"/>
    <n v="405"/>
    <x v="3"/>
    <x v="3"/>
  </r>
  <r>
    <x v="0"/>
    <x v="1"/>
    <x v="5"/>
    <n v="96"/>
    <x v="3"/>
    <x v="3"/>
  </r>
  <r>
    <x v="0"/>
    <x v="1"/>
    <x v="6"/>
    <n v="271"/>
    <x v="3"/>
    <x v="3"/>
  </r>
  <r>
    <x v="0"/>
    <x v="1"/>
    <x v="7"/>
    <n v="383"/>
    <x v="3"/>
    <x v="3"/>
  </r>
  <r>
    <x v="0"/>
    <x v="1"/>
    <x v="8"/>
    <n v="443"/>
    <x v="3"/>
    <x v="3"/>
  </r>
  <r>
    <x v="0"/>
    <x v="1"/>
    <x v="9"/>
    <n v="358"/>
    <x v="3"/>
    <x v="3"/>
  </r>
  <r>
    <x v="0"/>
    <x v="1"/>
    <x v="10"/>
    <n v="127"/>
    <x v="3"/>
    <x v="3"/>
  </r>
  <r>
    <x v="0"/>
    <x v="1"/>
    <x v="11"/>
    <n v="446"/>
    <x v="3"/>
    <x v="3"/>
  </r>
  <r>
    <x v="0"/>
    <x v="1"/>
    <x v="12"/>
    <n v="376"/>
    <x v="3"/>
    <x v="3"/>
  </r>
  <r>
    <x v="0"/>
    <x v="1"/>
    <x v="13"/>
    <n v="229"/>
    <x v="3"/>
    <x v="3"/>
  </r>
  <r>
    <x v="0"/>
    <x v="1"/>
    <x v="14"/>
    <n v="234"/>
    <x v="3"/>
    <x v="3"/>
  </r>
  <r>
    <x v="0"/>
    <x v="1"/>
    <x v="15"/>
    <n v="530"/>
    <x v="3"/>
    <x v="3"/>
  </r>
  <r>
    <x v="0"/>
    <x v="1"/>
    <x v="16"/>
    <n v="422"/>
    <x v="3"/>
    <x v="3"/>
  </r>
  <r>
    <x v="0"/>
    <x v="1"/>
    <x v="17"/>
    <n v="276"/>
    <x v="3"/>
    <x v="3"/>
  </r>
  <r>
    <x v="0"/>
    <x v="1"/>
    <x v="18"/>
    <n v="97"/>
    <x v="3"/>
    <x v="3"/>
  </r>
  <r>
    <x v="0"/>
    <x v="1"/>
    <x v="19"/>
    <n v="651"/>
    <x v="3"/>
    <x v="3"/>
  </r>
  <r>
    <x v="0"/>
    <x v="1"/>
    <x v="20"/>
    <n v="260"/>
    <x v="3"/>
    <x v="3"/>
  </r>
  <r>
    <x v="0"/>
    <x v="1"/>
    <x v="21"/>
    <n v="230"/>
    <x v="3"/>
    <x v="3"/>
  </r>
  <r>
    <x v="0"/>
    <x v="1"/>
    <x v="22"/>
    <n v="183"/>
    <x v="3"/>
    <x v="3"/>
  </r>
  <r>
    <x v="0"/>
    <x v="1"/>
    <x v="23"/>
    <n v="355"/>
    <x v="3"/>
    <x v="3"/>
  </r>
  <r>
    <x v="0"/>
    <x v="1"/>
    <x v="24"/>
    <n v="507"/>
    <x v="3"/>
    <x v="3"/>
  </r>
  <r>
    <x v="0"/>
    <x v="1"/>
    <x v="25"/>
    <n v="266"/>
    <x v="3"/>
    <x v="3"/>
  </r>
  <r>
    <x v="0"/>
    <x v="1"/>
    <x v="26"/>
    <n v="195"/>
    <x v="3"/>
    <x v="3"/>
  </r>
  <r>
    <x v="0"/>
    <x v="1"/>
    <x v="27"/>
    <n v="430"/>
    <x v="3"/>
    <x v="3"/>
  </r>
  <r>
    <x v="0"/>
    <x v="1"/>
    <x v="28"/>
    <n v="305"/>
    <x v="3"/>
    <x v="3"/>
  </r>
  <r>
    <x v="0"/>
    <x v="1"/>
    <x v="29"/>
    <n v="109"/>
    <x v="3"/>
    <x v="3"/>
  </r>
  <r>
    <x v="0"/>
    <x v="1"/>
    <x v="30"/>
    <n v="427"/>
    <x v="3"/>
    <x v="3"/>
  </r>
  <r>
    <x v="0"/>
    <x v="1"/>
    <x v="31"/>
    <n v="434"/>
    <x v="3"/>
    <x v="3"/>
  </r>
  <r>
    <x v="0"/>
    <x v="1"/>
    <x v="32"/>
    <n v="505"/>
    <x v="3"/>
    <x v="3"/>
  </r>
  <r>
    <x v="0"/>
    <x v="1"/>
    <x v="33"/>
    <n v="419"/>
    <x v="3"/>
    <x v="3"/>
  </r>
  <r>
    <x v="0"/>
    <x v="1"/>
    <x v="34"/>
    <n v="407"/>
    <x v="3"/>
    <x v="3"/>
  </r>
  <r>
    <x v="0"/>
    <x v="1"/>
    <x v="35"/>
    <n v="558"/>
    <x v="3"/>
    <x v="3"/>
  </r>
  <r>
    <x v="0"/>
    <x v="1"/>
    <x v="36"/>
    <n v="215"/>
    <x v="3"/>
    <x v="3"/>
  </r>
  <r>
    <x v="0"/>
    <x v="1"/>
    <x v="37"/>
    <n v="650"/>
    <x v="3"/>
    <x v="3"/>
  </r>
  <r>
    <x v="0"/>
    <x v="1"/>
    <x v="38"/>
    <n v="192"/>
    <x v="3"/>
    <x v="3"/>
  </r>
  <r>
    <x v="0"/>
    <x v="1"/>
    <x v="39"/>
    <n v="355"/>
    <x v="3"/>
    <x v="3"/>
  </r>
  <r>
    <x v="0"/>
    <x v="1"/>
    <x v="40"/>
    <n v="539"/>
    <x v="3"/>
    <x v="3"/>
  </r>
  <r>
    <x v="0"/>
    <x v="1"/>
    <x v="41"/>
    <n v="137"/>
    <x v="3"/>
    <x v="3"/>
  </r>
  <r>
    <x v="0"/>
    <x v="1"/>
    <x v="42"/>
    <n v="1083"/>
    <x v="3"/>
    <x v="3"/>
  </r>
  <r>
    <x v="0"/>
    <x v="1"/>
    <x v="43"/>
    <n v="381"/>
    <x v="3"/>
    <x v="3"/>
  </r>
  <r>
    <x v="0"/>
    <x v="1"/>
    <x v="44"/>
    <n v="224"/>
    <x v="3"/>
    <x v="3"/>
  </r>
  <r>
    <x v="0"/>
    <x v="1"/>
    <x v="45"/>
    <n v="718"/>
    <x v="3"/>
    <x v="3"/>
  </r>
  <r>
    <x v="0"/>
    <x v="1"/>
    <x v="46"/>
    <n v="368"/>
    <x v="3"/>
    <x v="3"/>
  </r>
  <r>
    <x v="0"/>
    <x v="1"/>
    <x v="47"/>
    <n v="883"/>
    <x v="3"/>
    <x v="3"/>
  </r>
  <r>
    <x v="0"/>
    <x v="1"/>
    <x v="48"/>
    <n v="169"/>
    <x v="3"/>
    <x v="3"/>
  </r>
  <r>
    <x v="0"/>
    <x v="1"/>
    <x v="49"/>
    <n v="481"/>
    <x v="3"/>
    <x v="3"/>
  </r>
  <r>
    <x v="0"/>
    <x v="1"/>
    <x v="50"/>
    <n v="553"/>
    <x v="3"/>
    <x v="3"/>
  </r>
  <r>
    <x v="0"/>
    <x v="1"/>
    <x v="51"/>
    <n v="106"/>
    <x v="3"/>
    <x v="3"/>
  </r>
  <r>
    <x v="1"/>
    <x v="2"/>
    <x v="0"/>
    <n v="96"/>
    <x v="3"/>
    <x v="3"/>
  </r>
  <r>
    <x v="1"/>
    <x v="2"/>
    <x v="1"/>
    <n v="226"/>
    <x v="3"/>
    <x v="3"/>
  </r>
  <r>
    <x v="1"/>
    <x v="2"/>
    <x v="2"/>
    <n v="387"/>
    <x v="3"/>
    <x v="3"/>
  </r>
  <r>
    <x v="1"/>
    <x v="2"/>
    <x v="3"/>
    <n v="260"/>
    <x v="3"/>
    <x v="3"/>
  </r>
  <r>
    <x v="1"/>
    <x v="2"/>
    <x v="4"/>
    <n v="421"/>
    <x v="3"/>
    <x v="3"/>
  </r>
  <r>
    <x v="1"/>
    <x v="2"/>
    <x v="5"/>
    <n v="408"/>
    <x v="3"/>
    <x v="3"/>
  </r>
  <r>
    <x v="1"/>
    <x v="2"/>
    <x v="6"/>
    <n v="436"/>
    <x v="3"/>
    <x v="3"/>
  </r>
  <r>
    <x v="1"/>
    <x v="2"/>
    <x v="7"/>
    <n v="218"/>
    <x v="3"/>
    <x v="3"/>
  </r>
  <r>
    <x v="1"/>
    <x v="2"/>
    <x v="8"/>
    <n v="254"/>
    <x v="3"/>
    <x v="3"/>
  </r>
  <r>
    <x v="1"/>
    <x v="2"/>
    <x v="9"/>
    <n v="292"/>
    <x v="3"/>
    <x v="3"/>
  </r>
  <r>
    <x v="1"/>
    <x v="2"/>
    <x v="10"/>
    <n v="475"/>
    <x v="3"/>
    <x v="3"/>
  </r>
  <r>
    <x v="1"/>
    <x v="2"/>
    <x v="11"/>
    <n v="546"/>
    <x v="3"/>
    <x v="3"/>
  </r>
  <r>
    <x v="1"/>
    <x v="2"/>
    <x v="12"/>
    <n v="673"/>
    <x v="3"/>
    <x v="3"/>
  </r>
  <r>
    <x v="1"/>
    <x v="2"/>
    <x v="13"/>
    <n v="308"/>
    <x v="3"/>
    <x v="3"/>
  </r>
  <r>
    <x v="1"/>
    <x v="2"/>
    <x v="14"/>
    <n v="487"/>
    <x v="3"/>
    <x v="3"/>
  </r>
  <r>
    <x v="1"/>
    <x v="2"/>
    <x v="15"/>
    <n v="471"/>
    <x v="3"/>
    <x v="3"/>
  </r>
  <r>
    <x v="1"/>
    <x v="2"/>
    <x v="16"/>
    <n v="470"/>
    <x v="3"/>
    <x v="3"/>
  </r>
  <r>
    <x v="1"/>
    <x v="2"/>
    <x v="17"/>
    <n v="512"/>
    <x v="3"/>
    <x v="3"/>
  </r>
  <r>
    <x v="1"/>
    <x v="2"/>
    <x v="18"/>
    <n v="537"/>
    <x v="3"/>
    <x v="3"/>
  </r>
  <r>
    <x v="1"/>
    <x v="2"/>
    <x v="19"/>
    <n v="305"/>
    <x v="3"/>
    <x v="3"/>
  </r>
  <r>
    <x v="1"/>
    <x v="2"/>
    <x v="20"/>
    <n v="396"/>
    <x v="3"/>
    <x v="3"/>
  </r>
  <r>
    <x v="1"/>
    <x v="2"/>
    <x v="21"/>
    <n v="413"/>
    <x v="3"/>
    <x v="3"/>
  </r>
  <r>
    <x v="1"/>
    <x v="2"/>
    <x v="22"/>
    <n v="247"/>
    <x v="3"/>
    <x v="3"/>
  </r>
  <r>
    <x v="1"/>
    <x v="2"/>
    <x v="23"/>
    <n v="174"/>
    <x v="3"/>
    <x v="3"/>
  </r>
  <r>
    <x v="1"/>
    <x v="2"/>
    <x v="24"/>
    <n v="547"/>
    <x v="3"/>
    <x v="3"/>
  </r>
  <r>
    <x v="1"/>
    <x v="2"/>
    <x v="25"/>
    <n v="424"/>
    <x v="3"/>
    <x v="3"/>
  </r>
  <r>
    <x v="1"/>
    <x v="2"/>
    <x v="26"/>
    <n v="143"/>
    <x v="3"/>
    <x v="3"/>
  </r>
  <r>
    <x v="1"/>
    <x v="2"/>
    <x v="27"/>
    <n v="582"/>
    <x v="3"/>
    <x v="3"/>
  </r>
  <r>
    <x v="1"/>
    <x v="2"/>
    <x v="28"/>
    <n v="244"/>
    <x v="3"/>
    <x v="3"/>
  </r>
  <r>
    <x v="1"/>
    <x v="2"/>
    <x v="29"/>
    <n v="362"/>
    <x v="3"/>
    <x v="3"/>
  </r>
  <r>
    <x v="1"/>
    <x v="2"/>
    <x v="30"/>
    <n v="252"/>
    <x v="3"/>
    <x v="3"/>
  </r>
  <r>
    <x v="1"/>
    <x v="2"/>
    <x v="31"/>
    <n v="439"/>
    <x v="3"/>
    <x v="3"/>
  </r>
  <r>
    <x v="1"/>
    <x v="2"/>
    <x v="32"/>
    <n v="288"/>
    <x v="3"/>
    <x v="3"/>
  </r>
  <r>
    <x v="1"/>
    <x v="2"/>
    <x v="33"/>
    <n v="189"/>
    <x v="3"/>
    <x v="3"/>
  </r>
  <r>
    <x v="1"/>
    <x v="2"/>
    <x v="34"/>
    <n v="576"/>
    <x v="3"/>
    <x v="3"/>
  </r>
  <r>
    <x v="1"/>
    <x v="2"/>
    <x v="35"/>
    <n v="363"/>
    <x v="3"/>
    <x v="3"/>
  </r>
  <r>
    <x v="1"/>
    <x v="2"/>
    <x v="36"/>
    <n v="146"/>
    <x v="3"/>
    <x v="3"/>
  </r>
  <r>
    <x v="1"/>
    <x v="2"/>
    <x v="37"/>
    <n v="182"/>
    <x v="3"/>
    <x v="3"/>
  </r>
  <r>
    <x v="1"/>
    <x v="2"/>
    <x v="38"/>
    <n v="364"/>
    <x v="3"/>
    <x v="3"/>
  </r>
  <r>
    <x v="1"/>
    <x v="2"/>
    <x v="39"/>
    <n v="713"/>
    <x v="3"/>
    <x v="3"/>
  </r>
  <r>
    <x v="1"/>
    <x v="2"/>
    <x v="40"/>
    <n v="397"/>
    <x v="3"/>
    <x v="3"/>
  </r>
  <r>
    <x v="1"/>
    <x v="2"/>
    <x v="41"/>
    <n v="806"/>
    <x v="3"/>
    <x v="3"/>
  </r>
  <r>
    <x v="1"/>
    <x v="2"/>
    <x v="42"/>
    <n v="163"/>
    <x v="3"/>
    <x v="3"/>
  </r>
  <r>
    <x v="1"/>
    <x v="2"/>
    <x v="43"/>
    <n v="619"/>
    <x v="3"/>
    <x v="3"/>
  </r>
  <r>
    <x v="1"/>
    <x v="2"/>
    <x v="44"/>
    <n v="292"/>
    <x v="3"/>
    <x v="3"/>
  </r>
  <r>
    <x v="1"/>
    <x v="2"/>
    <x v="45"/>
    <n v="572"/>
    <x v="3"/>
    <x v="3"/>
  </r>
  <r>
    <x v="1"/>
    <x v="2"/>
    <x v="46"/>
    <n v="224"/>
    <x v="3"/>
    <x v="3"/>
  </r>
  <r>
    <x v="1"/>
    <x v="2"/>
    <x v="47"/>
    <n v="385"/>
    <x v="3"/>
    <x v="3"/>
  </r>
  <r>
    <x v="1"/>
    <x v="2"/>
    <x v="48"/>
    <n v="732"/>
    <x v="3"/>
    <x v="3"/>
  </r>
  <r>
    <x v="1"/>
    <x v="2"/>
    <x v="49"/>
    <n v="778"/>
    <x v="3"/>
    <x v="3"/>
  </r>
  <r>
    <x v="1"/>
    <x v="2"/>
    <x v="50"/>
    <n v="385"/>
    <x v="3"/>
    <x v="3"/>
  </r>
  <r>
    <x v="1"/>
    <x v="2"/>
    <x v="51"/>
    <n v="632"/>
    <x v="3"/>
    <x v="3"/>
  </r>
  <r>
    <x v="2"/>
    <x v="3"/>
    <x v="0"/>
    <n v="323"/>
    <x v="3"/>
    <x v="3"/>
  </r>
  <r>
    <x v="2"/>
    <x v="3"/>
    <x v="1"/>
    <n v="317"/>
    <x v="3"/>
    <x v="3"/>
  </r>
  <r>
    <x v="2"/>
    <x v="3"/>
    <x v="2"/>
    <n v="400"/>
    <x v="3"/>
    <x v="3"/>
  </r>
  <r>
    <x v="2"/>
    <x v="3"/>
    <x v="3"/>
    <n v="440"/>
    <x v="3"/>
    <x v="3"/>
  </r>
  <r>
    <x v="2"/>
    <x v="3"/>
    <x v="4"/>
    <n v="267"/>
    <x v="3"/>
    <x v="3"/>
  </r>
  <r>
    <x v="2"/>
    <x v="3"/>
    <x v="5"/>
    <n v="328"/>
    <x v="3"/>
    <x v="3"/>
  </r>
  <r>
    <x v="2"/>
    <x v="3"/>
    <x v="6"/>
    <n v="463"/>
    <x v="3"/>
    <x v="3"/>
  </r>
  <r>
    <x v="2"/>
    <x v="3"/>
    <x v="7"/>
    <n v="519"/>
    <x v="3"/>
    <x v="3"/>
  </r>
  <r>
    <x v="2"/>
    <x v="3"/>
    <x v="8"/>
    <n v="578"/>
    <x v="3"/>
    <x v="3"/>
  </r>
  <r>
    <x v="2"/>
    <x v="3"/>
    <x v="9"/>
    <n v="306"/>
    <x v="3"/>
    <x v="3"/>
  </r>
  <r>
    <x v="2"/>
    <x v="3"/>
    <x v="10"/>
    <n v="496"/>
    <x v="3"/>
    <x v="3"/>
  </r>
  <r>
    <x v="2"/>
    <x v="3"/>
    <x v="11"/>
    <n v="397"/>
    <x v="3"/>
    <x v="3"/>
  </r>
  <r>
    <x v="2"/>
    <x v="3"/>
    <x v="12"/>
    <n v="333"/>
    <x v="3"/>
    <x v="3"/>
  </r>
  <r>
    <x v="2"/>
    <x v="3"/>
    <x v="13"/>
    <n v="486"/>
    <x v="3"/>
    <x v="3"/>
  </r>
  <r>
    <x v="2"/>
    <x v="3"/>
    <x v="14"/>
    <n v="101"/>
    <x v="3"/>
    <x v="3"/>
  </r>
  <r>
    <x v="2"/>
    <x v="3"/>
    <x v="15"/>
    <n v="219"/>
    <x v="3"/>
    <x v="3"/>
  </r>
  <r>
    <x v="2"/>
    <x v="3"/>
    <x v="16"/>
    <n v="221"/>
    <x v="3"/>
    <x v="3"/>
  </r>
  <r>
    <x v="2"/>
    <x v="3"/>
    <x v="17"/>
    <n v="581"/>
    <x v="3"/>
    <x v="3"/>
  </r>
  <r>
    <x v="2"/>
    <x v="3"/>
    <x v="18"/>
    <n v="690"/>
    <x v="3"/>
    <x v="3"/>
  </r>
  <r>
    <x v="2"/>
    <x v="3"/>
    <x v="19"/>
    <n v="420"/>
    <x v="3"/>
    <x v="3"/>
  </r>
  <r>
    <x v="2"/>
    <x v="3"/>
    <x v="20"/>
    <n v="603"/>
    <x v="3"/>
    <x v="3"/>
  </r>
  <r>
    <x v="2"/>
    <x v="3"/>
    <x v="21"/>
    <n v="535"/>
    <x v="3"/>
    <x v="3"/>
  </r>
  <r>
    <x v="2"/>
    <x v="3"/>
    <x v="22"/>
    <n v="209"/>
    <x v="3"/>
    <x v="3"/>
  </r>
  <r>
    <x v="2"/>
    <x v="3"/>
    <x v="23"/>
    <n v="614"/>
    <x v="3"/>
    <x v="3"/>
  </r>
  <r>
    <x v="2"/>
    <x v="3"/>
    <x v="24"/>
    <n v="765"/>
    <x v="3"/>
    <x v="3"/>
  </r>
  <r>
    <x v="2"/>
    <x v="3"/>
    <x v="25"/>
    <n v="152"/>
    <x v="3"/>
    <x v="3"/>
  </r>
  <r>
    <x v="2"/>
    <x v="3"/>
    <x v="26"/>
    <n v="380"/>
    <x v="3"/>
    <x v="3"/>
  </r>
  <r>
    <x v="2"/>
    <x v="3"/>
    <x v="27"/>
    <n v="288"/>
    <x v="3"/>
    <x v="3"/>
  </r>
  <r>
    <x v="2"/>
    <x v="3"/>
    <x v="28"/>
    <n v="402"/>
    <x v="3"/>
    <x v="3"/>
  </r>
  <r>
    <x v="2"/>
    <x v="3"/>
    <x v="29"/>
    <n v="462"/>
    <x v="3"/>
    <x v="3"/>
  </r>
  <r>
    <x v="2"/>
    <x v="3"/>
    <x v="30"/>
    <n v="709"/>
    <x v="3"/>
    <x v="3"/>
  </r>
  <r>
    <x v="2"/>
    <x v="3"/>
    <x v="31"/>
    <n v="260"/>
    <x v="3"/>
    <x v="3"/>
  </r>
  <r>
    <x v="2"/>
    <x v="3"/>
    <x v="32"/>
    <n v="166"/>
    <x v="3"/>
    <x v="3"/>
  </r>
  <r>
    <x v="2"/>
    <x v="3"/>
    <x v="33"/>
    <n v="1113"/>
    <x v="3"/>
    <x v="3"/>
  </r>
  <r>
    <x v="2"/>
    <x v="3"/>
    <x v="34"/>
    <n v="594"/>
    <x v="3"/>
    <x v="3"/>
  </r>
  <r>
    <x v="2"/>
    <x v="3"/>
    <x v="35"/>
    <n v="284"/>
    <x v="3"/>
    <x v="3"/>
  </r>
  <r>
    <x v="2"/>
    <x v="3"/>
    <x v="36"/>
    <n v="467"/>
    <x v="3"/>
    <x v="3"/>
  </r>
  <r>
    <x v="2"/>
    <x v="3"/>
    <x v="37"/>
    <n v="949"/>
    <x v="3"/>
    <x v="3"/>
  </r>
  <r>
    <x v="2"/>
    <x v="3"/>
    <x v="38"/>
    <n v="508"/>
    <x v="3"/>
    <x v="3"/>
  </r>
  <r>
    <x v="2"/>
    <x v="3"/>
    <x v="39"/>
    <n v="189"/>
    <x v="3"/>
    <x v="3"/>
  </r>
  <r>
    <x v="2"/>
    <x v="3"/>
    <x v="40"/>
    <n v="452"/>
    <x v="3"/>
    <x v="3"/>
  </r>
  <r>
    <x v="2"/>
    <x v="3"/>
    <x v="41"/>
    <n v="275"/>
    <x v="3"/>
    <x v="3"/>
  </r>
  <r>
    <x v="2"/>
    <x v="3"/>
    <x v="42"/>
    <n v="519"/>
    <x v="3"/>
    <x v="3"/>
  </r>
  <r>
    <x v="2"/>
    <x v="3"/>
    <x v="43"/>
    <n v="306"/>
    <x v="3"/>
    <x v="3"/>
  </r>
  <r>
    <x v="2"/>
    <x v="3"/>
    <x v="44"/>
    <n v="844"/>
    <x v="3"/>
    <x v="3"/>
  </r>
  <r>
    <x v="2"/>
    <x v="3"/>
    <x v="45"/>
    <n v="209"/>
    <x v="3"/>
    <x v="3"/>
  </r>
  <r>
    <x v="2"/>
    <x v="3"/>
    <x v="46"/>
    <n v="817"/>
    <x v="3"/>
    <x v="3"/>
  </r>
  <r>
    <x v="2"/>
    <x v="3"/>
    <x v="47"/>
    <n v="155"/>
    <x v="3"/>
    <x v="3"/>
  </r>
  <r>
    <x v="2"/>
    <x v="3"/>
    <x v="48"/>
    <n v="128"/>
    <x v="3"/>
    <x v="3"/>
  </r>
  <r>
    <x v="2"/>
    <x v="3"/>
    <x v="49"/>
    <n v="289"/>
    <x v="3"/>
    <x v="3"/>
  </r>
  <r>
    <x v="2"/>
    <x v="3"/>
    <x v="50"/>
    <n v="227"/>
    <x v="3"/>
    <x v="3"/>
  </r>
  <r>
    <x v="2"/>
    <x v="3"/>
    <x v="51"/>
    <n v="666"/>
    <x v="3"/>
    <x v="3"/>
  </r>
  <r>
    <x v="0"/>
    <x v="2"/>
    <x v="0"/>
    <n v="265"/>
    <x v="4"/>
    <x v="4"/>
  </r>
  <r>
    <x v="0"/>
    <x v="2"/>
    <x v="1"/>
    <n v="59"/>
    <x v="4"/>
    <x v="4"/>
  </r>
  <r>
    <x v="0"/>
    <x v="2"/>
    <x v="2"/>
    <n v="229"/>
    <x v="4"/>
    <x v="4"/>
  </r>
  <r>
    <x v="0"/>
    <x v="2"/>
    <x v="3"/>
    <n v="299"/>
    <x v="4"/>
    <x v="4"/>
  </r>
  <r>
    <x v="0"/>
    <x v="2"/>
    <x v="4"/>
    <n v="201"/>
    <x v="4"/>
    <x v="4"/>
  </r>
  <r>
    <x v="0"/>
    <x v="2"/>
    <x v="5"/>
    <n v="291"/>
    <x v="4"/>
    <x v="4"/>
  </r>
  <r>
    <x v="0"/>
    <x v="2"/>
    <x v="6"/>
    <n v="83"/>
    <x v="4"/>
    <x v="4"/>
  </r>
  <r>
    <x v="0"/>
    <x v="2"/>
    <x v="7"/>
    <n v="268"/>
    <x v="4"/>
    <x v="4"/>
  </r>
  <r>
    <x v="0"/>
    <x v="2"/>
    <x v="8"/>
    <n v="363"/>
    <x v="4"/>
    <x v="4"/>
  </r>
  <r>
    <x v="0"/>
    <x v="2"/>
    <x v="9"/>
    <n v="137"/>
    <x v="4"/>
    <x v="4"/>
  </r>
  <r>
    <x v="0"/>
    <x v="2"/>
    <x v="10"/>
    <n v="156"/>
    <x v="4"/>
    <x v="4"/>
  </r>
  <r>
    <x v="0"/>
    <x v="2"/>
    <x v="11"/>
    <n v="111"/>
    <x v="4"/>
    <x v="4"/>
  </r>
  <r>
    <x v="0"/>
    <x v="2"/>
    <x v="12"/>
    <n v="417"/>
    <x v="4"/>
    <x v="4"/>
  </r>
  <r>
    <x v="0"/>
    <x v="2"/>
    <x v="13"/>
    <n v="328"/>
    <x v="4"/>
    <x v="4"/>
  </r>
  <r>
    <x v="0"/>
    <x v="2"/>
    <x v="14"/>
    <n v="286"/>
    <x v="4"/>
    <x v="4"/>
  </r>
  <r>
    <x v="0"/>
    <x v="2"/>
    <x v="15"/>
    <n v="333"/>
    <x v="4"/>
    <x v="4"/>
  </r>
  <r>
    <x v="0"/>
    <x v="2"/>
    <x v="16"/>
    <n v="124"/>
    <x v="4"/>
    <x v="4"/>
  </r>
  <r>
    <x v="0"/>
    <x v="2"/>
    <x v="17"/>
    <n v="88"/>
    <x v="4"/>
    <x v="4"/>
  </r>
  <r>
    <x v="0"/>
    <x v="2"/>
    <x v="18"/>
    <n v="194"/>
    <x v="4"/>
    <x v="4"/>
  </r>
  <r>
    <x v="0"/>
    <x v="2"/>
    <x v="19"/>
    <n v="297"/>
    <x v="4"/>
    <x v="4"/>
  </r>
  <r>
    <x v="0"/>
    <x v="2"/>
    <x v="20"/>
    <n v="388"/>
    <x v="4"/>
    <x v="4"/>
  </r>
  <r>
    <x v="0"/>
    <x v="2"/>
    <x v="21"/>
    <n v="67"/>
    <x v="4"/>
    <x v="4"/>
  </r>
  <r>
    <x v="0"/>
    <x v="2"/>
    <x v="22"/>
    <n v="89"/>
    <x v="4"/>
    <x v="4"/>
  </r>
  <r>
    <x v="0"/>
    <x v="2"/>
    <x v="23"/>
    <n v="166"/>
    <x v="4"/>
    <x v="4"/>
  </r>
  <r>
    <x v="0"/>
    <x v="2"/>
    <x v="24"/>
    <n v="216"/>
    <x v="4"/>
    <x v="4"/>
  </r>
  <r>
    <x v="0"/>
    <x v="2"/>
    <x v="25"/>
    <n v="230"/>
    <x v="4"/>
    <x v="4"/>
  </r>
  <r>
    <x v="0"/>
    <x v="2"/>
    <x v="26"/>
    <n v="111"/>
    <x v="4"/>
    <x v="4"/>
  </r>
  <r>
    <x v="0"/>
    <x v="2"/>
    <x v="27"/>
    <n v="396"/>
    <x v="4"/>
    <x v="4"/>
  </r>
  <r>
    <x v="0"/>
    <x v="2"/>
    <x v="28"/>
    <n v="390"/>
    <x v="4"/>
    <x v="4"/>
  </r>
  <r>
    <x v="0"/>
    <x v="2"/>
    <x v="29"/>
    <n v="168"/>
    <x v="4"/>
    <x v="4"/>
  </r>
  <r>
    <x v="0"/>
    <x v="2"/>
    <x v="30"/>
    <n v="348"/>
    <x v="4"/>
    <x v="4"/>
  </r>
  <r>
    <x v="0"/>
    <x v="2"/>
    <x v="31"/>
    <n v="552"/>
    <x v="4"/>
    <x v="4"/>
  </r>
  <r>
    <x v="0"/>
    <x v="2"/>
    <x v="32"/>
    <n v="281"/>
    <x v="4"/>
    <x v="4"/>
  </r>
  <r>
    <x v="0"/>
    <x v="2"/>
    <x v="33"/>
    <n v="656"/>
    <x v="4"/>
    <x v="4"/>
  </r>
  <r>
    <x v="0"/>
    <x v="2"/>
    <x v="34"/>
    <n v="74"/>
    <x v="4"/>
    <x v="4"/>
  </r>
  <r>
    <x v="0"/>
    <x v="2"/>
    <x v="35"/>
    <n v="481"/>
    <x v="4"/>
    <x v="4"/>
  </r>
  <r>
    <x v="0"/>
    <x v="2"/>
    <x v="36"/>
    <n v="63"/>
    <x v="4"/>
    <x v="4"/>
  </r>
  <r>
    <x v="0"/>
    <x v="2"/>
    <x v="37"/>
    <n v="501"/>
    <x v="4"/>
    <x v="4"/>
  </r>
  <r>
    <x v="0"/>
    <x v="2"/>
    <x v="38"/>
    <n v="308"/>
    <x v="4"/>
    <x v="4"/>
  </r>
  <r>
    <x v="0"/>
    <x v="2"/>
    <x v="39"/>
    <n v="484"/>
    <x v="4"/>
    <x v="4"/>
  </r>
  <r>
    <x v="0"/>
    <x v="2"/>
    <x v="40"/>
    <n v="103"/>
    <x v="4"/>
    <x v="4"/>
  </r>
  <r>
    <x v="0"/>
    <x v="2"/>
    <x v="41"/>
    <n v="163"/>
    <x v="4"/>
    <x v="4"/>
  </r>
  <r>
    <x v="0"/>
    <x v="2"/>
    <x v="42"/>
    <n v="255"/>
    <x v="4"/>
    <x v="4"/>
  </r>
  <r>
    <x v="0"/>
    <x v="2"/>
    <x v="43"/>
    <n v="358"/>
    <x v="4"/>
    <x v="4"/>
  </r>
  <r>
    <x v="0"/>
    <x v="2"/>
    <x v="44"/>
    <n v="378"/>
    <x v="4"/>
    <x v="4"/>
  </r>
  <r>
    <x v="0"/>
    <x v="2"/>
    <x v="45"/>
    <n v="272"/>
    <x v="4"/>
    <x v="4"/>
  </r>
  <r>
    <x v="0"/>
    <x v="2"/>
    <x v="46"/>
    <n v="173"/>
    <x v="4"/>
    <x v="4"/>
  </r>
  <r>
    <x v="0"/>
    <x v="2"/>
    <x v="47"/>
    <n v="280"/>
    <x v="4"/>
    <x v="4"/>
  </r>
  <r>
    <x v="0"/>
    <x v="2"/>
    <x v="48"/>
    <n v="216"/>
    <x v="4"/>
    <x v="4"/>
  </r>
  <r>
    <x v="0"/>
    <x v="2"/>
    <x v="49"/>
    <n v="581"/>
    <x v="4"/>
    <x v="4"/>
  </r>
  <r>
    <x v="0"/>
    <x v="2"/>
    <x v="50"/>
    <n v="493"/>
    <x v="4"/>
    <x v="4"/>
  </r>
  <r>
    <x v="0"/>
    <x v="2"/>
    <x v="51"/>
    <n v="283"/>
    <x v="4"/>
    <x v="4"/>
  </r>
  <r>
    <x v="1"/>
    <x v="3"/>
    <x v="0"/>
    <n v="54"/>
    <x v="4"/>
    <x v="4"/>
  </r>
  <r>
    <x v="1"/>
    <x v="3"/>
    <x v="1"/>
    <n v="27"/>
    <x v="4"/>
    <x v="4"/>
  </r>
  <r>
    <x v="1"/>
    <x v="3"/>
    <x v="2"/>
    <n v="31"/>
    <x v="4"/>
    <x v="4"/>
  </r>
  <r>
    <x v="1"/>
    <x v="3"/>
    <x v="3"/>
    <n v="148"/>
    <x v="4"/>
    <x v="4"/>
  </r>
  <r>
    <x v="1"/>
    <x v="3"/>
    <x v="4"/>
    <n v="137"/>
    <x v="4"/>
    <x v="4"/>
  </r>
  <r>
    <x v="1"/>
    <x v="3"/>
    <x v="5"/>
    <n v="142"/>
    <x v="4"/>
    <x v="4"/>
  </r>
  <r>
    <x v="1"/>
    <x v="3"/>
    <x v="6"/>
    <n v="131"/>
    <x v="4"/>
    <x v="4"/>
  </r>
  <r>
    <x v="1"/>
    <x v="3"/>
    <x v="7"/>
    <n v="102"/>
    <x v="4"/>
    <x v="4"/>
  </r>
  <r>
    <x v="1"/>
    <x v="3"/>
    <x v="8"/>
    <n v="65"/>
    <x v="4"/>
    <x v="4"/>
  </r>
  <r>
    <x v="1"/>
    <x v="3"/>
    <x v="9"/>
    <n v="134"/>
    <x v="4"/>
    <x v="4"/>
  </r>
  <r>
    <x v="1"/>
    <x v="3"/>
    <x v="10"/>
    <n v="70"/>
    <x v="4"/>
    <x v="4"/>
  </r>
  <r>
    <x v="1"/>
    <x v="3"/>
    <x v="11"/>
    <n v="45"/>
    <x v="4"/>
    <x v="4"/>
  </r>
  <r>
    <x v="1"/>
    <x v="3"/>
    <x v="12"/>
    <n v="68"/>
    <x v="4"/>
    <x v="4"/>
  </r>
  <r>
    <x v="1"/>
    <x v="3"/>
    <x v="13"/>
    <n v="186"/>
    <x v="4"/>
    <x v="4"/>
  </r>
  <r>
    <x v="1"/>
    <x v="3"/>
    <x v="14"/>
    <n v="44"/>
    <x v="4"/>
    <x v="4"/>
  </r>
  <r>
    <x v="1"/>
    <x v="3"/>
    <x v="15"/>
    <n v="172"/>
    <x v="4"/>
    <x v="4"/>
  </r>
  <r>
    <x v="1"/>
    <x v="3"/>
    <x v="16"/>
    <n v="156"/>
    <x v="4"/>
    <x v="4"/>
  </r>
  <r>
    <x v="1"/>
    <x v="3"/>
    <x v="17"/>
    <n v="126"/>
    <x v="4"/>
    <x v="4"/>
  </r>
  <r>
    <x v="1"/>
    <x v="3"/>
    <x v="18"/>
    <n v="33"/>
    <x v="4"/>
    <x v="4"/>
  </r>
  <r>
    <x v="1"/>
    <x v="3"/>
    <x v="19"/>
    <n v="180"/>
    <x v="4"/>
    <x v="4"/>
  </r>
  <r>
    <x v="1"/>
    <x v="3"/>
    <x v="20"/>
    <n v="241"/>
    <x v="4"/>
    <x v="4"/>
  </r>
  <r>
    <x v="1"/>
    <x v="3"/>
    <x v="21"/>
    <n v="200"/>
    <x v="4"/>
    <x v="4"/>
  </r>
  <r>
    <x v="1"/>
    <x v="3"/>
    <x v="22"/>
    <n v="67"/>
    <x v="4"/>
    <x v="4"/>
  </r>
  <r>
    <x v="1"/>
    <x v="3"/>
    <x v="23"/>
    <n v="205"/>
    <x v="4"/>
    <x v="4"/>
  </r>
  <r>
    <x v="1"/>
    <x v="3"/>
    <x v="24"/>
    <n v="51"/>
    <x v="4"/>
    <x v="4"/>
  </r>
  <r>
    <x v="1"/>
    <x v="3"/>
    <x v="25"/>
    <n v="327"/>
    <x v="4"/>
    <x v="4"/>
  </r>
  <r>
    <x v="1"/>
    <x v="3"/>
    <x v="26"/>
    <n v="166"/>
    <x v="4"/>
    <x v="4"/>
  </r>
  <r>
    <x v="1"/>
    <x v="3"/>
    <x v="27"/>
    <n v="302"/>
    <x v="4"/>
    <x v="4"/>
  </r>
  <r>
    <x v="1"/>
    <x v="3"/>
    <x v="28"/>
    <n v="297"/>
    <x v="4"/>
    <x v="4"/>
  </r>
  <r>
    <x v="1"/>
    <x v="3"/>
    <x v="29"/>
    <n v="81"/>
    <x v="4"/>
    <x v="4"/>
  </r>
  <r>
    <x v="1"/>
    <x v="3"/>
    <x v="30"/>
    <n v="37"/>
    <x v="4"/>
    <x v="4"/>
  </r>
  <r>
    <x v="1"/>
    <x v="3"/>
    <x v="31"/>
    <n v="137"/>
    <x v="4"/>
    <x v="4"/>
  </r>
  <r>
    <x v="1"/>
    <x v="3"/>
    <x v="32"/>
    <n v="238"/>
    <x v="4"/>
    <x v="4"/>
  </r>
  <r>
    <x v="1"/>
    <x v="3"/>
    <x v="33"/>
    <n v="337"/>
    <x v="4"/>
    <x v="4"/>
  </r>
  <r>
    <x v="1"/>
    <x v="3"/>
    <x v="34"/>
    <n v="141"/>
    <x v="4"/>
    <x v="4"/>
  </r>
  <r>
    <x v="1"/>
    <x v="3"/>
    <x v="35"/>
    <n v="136"/>
    <x v="4"/>
    <x v="4"/>
  </r>
  <r>
    <x v="1"/>
    <x v="3"/>
    <x v="36"/>
    <n v="110"/>
    <x v="4"/>
    <x v="4"/>
  </r>
  <r>
    <x v="1"/>
    <x v="3"/>
    <x v="37"/>
    <n v="180"/>
    <x v="4"/>
    <x v="4"/>
  </r>
  <r>
    <x v="1"/>
    <x v="3"/>
    <x v="38"/>
    <n v="264"/>
    <x v="4"/>
    <x v="4"/>
  </r>
  <r>
    <x v="1"/>
    <x v="3"/>
    <x v="39"/>
    <n v="182"/>
    <x v="4"/>
    <x v="4"/>
  </r>
  <r>
    <x v="1"/>
    <x v="3"/>
    <x v="40"/>
    <n v="76"/>
    <x v="4"/>
    <x v="4"/>
  </r>
  <r>
    <x v="1"/>
    <x v="3"/>
    <x v="41"/>
    <n v="180"/>
    <x v="4"/>
    <x v="4"/>
  </r>
  <r>
    <x v="1"/>
    <x v="3"/>
    <x v="42"/>
    <n v="310"/>
    <x v="4"/>
    <x v="4"/>
  </r>
  <r>
    <x v="1"/>
    <x v="3"/>
    <x v="43"/>
    <n v="81"/>
    <x v="4"/>
    <x v="4"/>
  </r>
  <r>
    <x v="1"/>
    <x v="3"/>
    <x v="44"/>
    <n v="209"/>
    <x v="4"/>
    <x v="4"/>
  </r>
  <r>
    <x v="1"/>
    <x v="3"/>
    <x v="45"/>
    <n v="120"/>
    <x v="4"/>
    <x v="4"/>
  </r>
  <r>
    <x v="1"/>
    <x v="3"/>
    <x v="46"/>
    <n v="207"/>
    <x v="4"/>
    <x v="4"/>
  </r>
  <r>
    <x v="1"/>
    <x v="3"/>
    <x v="47"/>
    <n v="162"/>
    <x v="4"/>
    <x v="4"/>
  </r>
  <r>
    <x v="1"/>
    <x v="3"/>
    <x v="48"/>
    <n v="210"/>
    <x v="4"/>
    <x v="4"/>
  </r>
  <r>
    <x v="1"/>
    <x v="3"/>
    <x v="49"/>
    <n v="69"/>
    <x v="4"/>
    <x v="4"/>
  </r>
  <r>
    <x v="1"/>
    <x v="3"/>
    <x v="50"/>
    <n v="230"/>
    <x v="4"/>
    <x v="4"/>
  </r>
  <r>
    <x v="1"/>
    <x v="3"/>
    <x v="51"/>
    <n v="72"/>
    <x v="4"/>
    <x v="4"/>
  </r>
  <r>
    <x v="2"/>
    <x v="4"/>
    <x v="0"/>
    <n v="101"/>
    <x v="4"/>
    <x v="4"/>
  </r>
  <r>
    <x v="2"/>
    <x v="4"/>
    <x v="1"/>
    <n v="76"/>
    <x v="4"/>
    <x v="4"/>
  </r>
  <r>
    <x v="2"/>
    <x v="4"/>
    <x v="2"/>
    <n v="132"/>
    <x v="4"/>
    <x v="4"/>
  </r>
  <r>
    <x v="2"/>
    <x v="4"/>
    <x v="3"/>
    <n v="63"/>
    <x v="4"/>
    <x v="4"/>
  </r>
  <r>
    <x v="2"/>
    <x v="4"/>
    <x v="4"/>
    <n v="58"/>
    <x v="4"/>
    <x v="4"/>
  </r>
  <r>
    <x v="2"/>
    <x v="4"/>
    <x v="5"/>
    <n v="130"/>
    <x v="4"/>
    <x v="4"/>
  </r>
  <r>
    <x v="2"/>
    <x v="4"/>
    <x v="6"/>
    <n v="32"/>
    <x v="4"/>
    <x v="4"/>
  </r>
  <r>
    <x v="2"/>
    <x v="4"/>
    <x v="7"/>
    <n v="116"/>
    <x v="4"/>
    <x v="4"/>
  </r>
  <r>
    <x v="2"/>
    <x v="4"/>
    <x v="8"/>
    <n v="163"/>
    <x v="4"/>
    <x v="4"/>
  </r>
  <r>
    <x v="2"/>
    <x v="4"/>
    <x v="9"/>
    <n v="29"/>
    <x v="4"/>
    <x v="4"/>
  </r>
  <r>
    <x v="2"/>
    <x v="4"/>
    <x v="10"/>
    <n v="113"/>
    <x v="4"/>
    <x v="4"/>
  </r>
  <r>
    <x v="2"/>
    <x v="4"/>
    <x v="11"/>
    <n v="152"/>
    <x v="4"/>
    <x v="4"/>
  </r>
  <r>
    <x v="2"/>
    <x v="4"/>
    <x v="12"/>
    <n v="73"/>
    <x v="4"/>
    <x v="4"/>
  </r>
  <r>
    <x v="2"/>
    <x v="4"/>
    <x v="13"/>
    <n v="119"/>
    <x v="4"/>
    <x v="4"/>
  </r>
  <r>
    <x v="2"/>
    <x v="4"/>
    <x v="14"/>
    <n v="188"/>
    <x v="4"/>
    <x v="4"/>
  </r>
  <r>
    <x v="2"/>
    <x v="4"/>
    <x v="15"/>
    <n v="99"/>
    <x v="4"/>
    <x v="4"/>
  </r>
  <r>
    <x v="2"/>
    <x v="4"/>
    <x v="16"/>
    <n v="58"/>
    <x v="4"/>
    <x v="4"/>
  </r>
  <r>
    <x v="2"/>
    <x v="4"/>
    <x v="17"/>
    <n v="129"/>
    <x v="4"/>
    <x v="4"/>
  </r>
  <r>
    <x v="2"/>
    <x v="4"/>
    <x v="18"/>
    <n v="190"/>
    <x v="4"/>
    <x v="4"/>
  </r>
  <r>
    <x v="2"/>
    <x v="4"/>
    <x v="19"/>
    <n v="113"/>
    <x v="4"/>
    <x v="4"/>
  </r>
  <r>
    <x v="2"/>
    <x v="4"/>
    <x v="20"/>
    <n v="81"/>
    <x v="4"/>
    <x v="4"/>
  </r>
  <r>
    <x v="2"/>
    <x v="4"/>
    <x v="21"/>
    <n v="262"/>
    <x v="4"/>
    <x v="4"/>
  </r>
  <r>
    <x v="2"/>
    <x v="4"/>
    <x v="22"/>
    <n v="204"/>
    <x v="4"/>
    <x v="4"/>
  </r>
  <r>
    <x v="2"/>
    <x v="4"/>
    <x v="23"/>
    <n v="63"/>
    <x v="4"/>
    <x v="4"/>
  </r>
  <r>
    <x v="2"/>
    <x v="4"/>
    <x v="24"/>
    <n v="49"/>
    <x v="4"/>
    <x v="4"/>
  </r>
  <r>
    <x v="2"/>
    <x v="4"/>
    <x v="25"/>
    <n v="216"/>
    <x v="4"/>
    <x v="4"/>
  </r>
  <r>
    <x v="2"/>
    <x v="4"/>
    <x v="26"/>
    <n v="71"/>
    <x v="4"/>
    <x v="4"/>
  </r>
  <r>
    <x v="2"/>
    <x v="4"/>
    <x v="27"/>
    <n v="109"/>
    <x v="4"/>
    <x v="4"/>
  </r>
  <r>
    <x v="2"/>
    <x v="4"/>
    <x v="28"/>
    <n v="236"/>
    <x v="4"/>
    <x v="4"/>
  </r>
  <r>
    <x v="2"/>
    <x v="4"/>
    <x v="29"/>
    <n v="92"/>
    <x v="4"/>
    <x v="4"/>
  </r>
  <r>
    <x v="2"/>
    <x v="4"/>
    <x v="30"/>
    <n v="159"/>
    <x v="4"/>
    <x v="4"/>
  </r>
  <r>
    <x v="2"/>
    <x v="4"/>
    <x v="31"/>
    <n v="182"/>
    <x v="4"/>
    <x v="4"/>
  </r>
  <r>
    <x v="2"/>
    <x v="4"/>
    <x v="32"/>
    <n v="221"/>
    <x v="4"/>
    <x v="4"/>
  </r>
  <r>
    <x v="2"/>
    <x v="4"/>
    <x v="33"/>
    <n v="60"/>
    <x v="4"/>
    <x v="4"/>
  </r>
  <r>
    <x v="2"/>
    <x v="4"/>
    <x v="34"/>
    <n v="219"/>
    <x v="4"/>
    <x v="4"/>
  </r>
  <r>
    <x v="2"/>
    <x v="4"/>
    <x v="35"/>
    <n v="106"/>
    <x v="4"/>
    <x v="4"/>
  </r>
  <r>
    <x v="2"/>
    <x v="4"/>
    <x v="36"/>
    <n v="51"/>
    <x v="4"/>
    <x v="4"/>
  </r>
  <r>
    <x v="2"/>
    <x v="4"/>
    <x v="37"/>
    <n v="151"/>
    <x v="4"/>
    <x v="4"/>
  </r>
  <r>
    <x v="2"/>
    <x v="4"/>
    <x v="38"/>
    <n v="82"/>
    <x v="4"/>
    <x v="4"/>
  </r>
  <r>
    <x v="2"/>
    <x v="4"/>
    <x v="39"/>
    <n v="219"/>
    <x v="4"/>
    <x v="4"/>
  </r>
  <r>
    <x v="2"/>
    <x v="4"/>
    <x v="40"/>
    <n v="31"/>
    <x v="4"/>
    <x v="4"/>
  </r>
  <r>
    <x v="2"/>
    <x v="4"/>
    <x v="41"/>
    <n v="218"/>
    <x v="4"/>
    <x v="4"/>
  </r>
  <r>
    <x v="2"/>
    <x v="4"/>
    <x v="42"/>
    <n v="137"/>
    <x v="4"/>
    <x v="4"/>
  </r>
  <r>
    <x v="2"/>
    <x v="4"/>
    <x v="43"/>
    <n v="253"/>
    <x v="4"/>
    <x v="4"/>
  </r>
  <r>
    <x v="2"/>
    <x v="4"/>
    <x v="44"/>
    <n v="388"/>
    <x v="4"/>
    <x v="4"/>
  </r>
  <r>
    <x v="2"/>
    <x v="4"/>
    <x v="45"/>
    <n v="225"/>
    <x v="4"/>
    <x v="4"/>
  </r>
  <r>
    <x v="2"/>
    <x v="4"/>
    <x v="46"/>
    <n v="28"/>
    <x v="4"/>
    <x v="4"/>
  </r>
  <r>
    <x v="2"/>
    <x v="4"/>
    <x v="47"/>
    <n v="371"/>
    <x v="4"/>
    <x v="4"/>
  </r>
  <r>
    <x v="2"/>
    <x v="4"/>
    <x v="48"/>
    <n v="309"/>
    <x v="4"/>
    <x v="4"/>
  </r>
  <r>
    <x v="2"/>
    <x v="4"/>
    <x v="49"/>
    <n v="167"/>
    <x v="4"/>
    <x v="4"/>
  </r>
  <r>
    <x v="2"/>
    <x v="4"/>
    <x v="50"/>
    <n v="141"/>
    <x v="4"/>
    <x v="4"/>
  </r>
  <r>
    <x v="2"/>
    <x v="4"/>
    <x v="51"/>
    <n v="256"/>
    <x v="4"/>
    <x v="4"/>
  </r>
  <r>
    <x v="3"/>
    <x v="4"/>
    <x v="0"/>
    <n v="88"/>
    <x v="5"/>
    <x v="5"/>
  </r>
  <r>
    <x v="3"/>
    <x v="4"/>
    <x v="1"/>
    <n v="158"/>
    <x v="5"/>
    <x v="5"/>
  </r>
  <r>
    <x v="3"/>
    <x v="4"/>
    <x v="2"/>
    <n v="122"/>
    <x v="5"/>
    <x v="5"/>
  </r>
  <r>
    <x v="3"/>
    <x v="4"/>
    <x v="3"/>
    <n v="33"/>
    <x v="5"/>
    <x v="5"/>
  </r>
  <r>
    <x v="3"/>
    <x v="4"/>
    <x v="4"/>
    <n v="99"/>
    <x v="5"/>
    <x v="5"/>
  </r>
  <r>
    <x v="3"/>
    <x v="4"/>
    <x v="5"/>
    <n v="89"/>
    <x v="5"/>
    <x v="5"/>
  </r>
  <r>
    <x v="3"/>
    <x v="4"/>
    <x v="6"/>
    <n v="134"/>
    <x v="5"/>
    <x v="5"/>
  </r>
  <r>
    <x v="3"/>
    <x v="4"/>
    <x v="7"/>
    <n v="85"/>
    <x v="5"/>
    <x v="5"/>
  </r>
  <r>
    <x v="3"/>
    <x v="4"/>
    <x v="8"/>
    <n v="162"/>
    <x v="5"/>
    <x v="5"/>
  </r>
  <r>
    <x v="3"/>
    <x v="4"/>
    <x v="9"/>
    <n v="190"/>
    <x v="5"/>
    <x v="5"/>
  </r>
  <r>
    <x v="3"/>
    <x v="4"/>
    <x v="10"/>
    <n v="157"/>
    <x v="5"/>
    <x v="5"/>
  </r>
  <r>
    <x v="3"/>
    <x v="4"/>
    <x v="11"/>
    <n v="163"/>
    <x v="5"/>
    <x v="5"/>
  </r>
  <r>
    <x v="3"/>
    <x v="4"/>
    <x v="12"/>
    <n v="194"/>
    <x v="5"/>
    <x v="5"/>
  </r>
  <r>
    <x v="3"/>
    <x v="4"/>
    <x v="13"/>
    <n v="131"/>
    <x v="5"/>
    <x v="5"/>
  </r>
  <r>
    <x v="3"/>
    <x v="4"/>
    <x v="14"/>
    <n v="226"/>
    <x v="5"/>
    <x v="5"/>
  </r>
  <r>
    <x v="3"/>
    <x v="4"/>
    <x v="15"/>
    <n v="53"/>
    <x v="5"/>
    <x v="5"/>
  </r>
  <r>
    <x v="3"/>
    <x v="4"/>
    <x v="16"/>
    <n v="159"/>
    <x v="5"/>
    <x v="5"/>
  </r>
  <r>
    <x v="3"/>
    <x v="4"/>
    <x v="17"/>
    <n v="162"/>
    <x v="5"/>
    <x v="5"/>
  </r>
  <r>
    <x v="3"/>
    <x v="4"/>
    <x v="18"/>
    <n v="77"/>
    <x v="5"/>
    <x v="5"/>
  </r>
  <r>
    <x v="3"/>
    <x v="4"/>
    <x v="19"/>
    <n v="239"/>
    <x v="5"/>
    <x v="5"/>
  </r>
  <r>
    <x v="3"/>
    <x v="4"/>
    <x v="20"/>
    <n v="44"/>
    <x v="5"/>
    <x v="5"/>
  </r>
  <r>
    <x v="3"/>
    <x v="4"/>
    <x v="21"/>
    <n v="83"/>
    <x v="5"/>
    <x v="5"/>
  </r>
  <r>
    <x v="3"/>
    <x v="4"/>
    <x v="22"/>
    <n v="357"/>
    <x v="5"/>
    <x v="5"/>
  </r>
  <r>
    <x v="3"/>
    <x v="4"/>
    <x v="23"/>
    <n v="59"/>
    <x v="5"/>
    <x v="5"/>
  </r>
  <r>
    <x v="3"/>
    <x v="4"/>
    <x v="24"/>
    <n v="179"/>
    <x v="5"/>
    <x v="5"/>
  </r>
  <r>
    <x v="3"/>
    <x v="4"/>
    <x v="25"/>
    <n v="235"/>
    <x v="5"/>
    <x v="5"/>
  </r>
  <r>
    <x v="3"/>
    <x v="4"/>
    <x v="26"/>
    <n v="243"/>
    <x v="5"/>
    <x v="5"/>
  </r>
  <r>
    <x v="3"/>
    <x v="4"/>
    <x v="27"/>
    <n v="50"/>
    <x v="5"/>
    <x v="5"/>
  </r>
  <r>
    <x v="3"/>
    <x v="4"/>
    <x v="28"/>
    <n v="304"/>
    <x v="5"/>
    <x v="5"/>
  </r>
  <r>
    <x v="3"/>
    <x v="4"/>
    <x v="29"/>
    <n v="110"/>
    <x v="5"/>
    <x v="5"/>
  </r>
  <r>
    <x v="3"/>
    <x v="4"/>
    <x v="30"/>
    <n v="327"/>
    <x v="5"/>
    <x v="5"/>
  </r>
  <r>
    <x v="3"/>
    <x v="4"/>
    <x v="31"/>
    <n v="346"/>
    <x v="5"/>
    <x v="5"/>
  </r>
  <r>
    <x v="3"/>
    <x v="4"/>
    <x v="32"/>
    <n v="440"/>
    <x v="5"/>
    <x v="5"/>
  </r>
  <r>
    <x v="3"/>
    <x v="4"/>
    <x v="33"/>
    <n v="168"/>
    <x v="5"/>
    <x v="5"/>
  </r>
  <r>
    <x v="3"/>
    <x v="4"/>
    <x v="34"/>
    <n v="303"/>
    <x v="5"/>
    <x v="5"/>
  </r>
  <r>
    <x v="3"/>
    <x v="4"/>
    <x v="35"/>
    <n v="244"/>
    <x v="5"/>
    <x v="5"/>
  </r>
  <r>
    <x v="3"/>
    <x v="4"/>
    <x v="36"/>
    <n v="331"/>
    <x v="5"/>
    <x v="5"/>
  </r>
  <r>
    <x v="3"/>
    <x v="4"/>
    <x v="37"/>
    <n v="331"/>
    <x v="5"/>
    <x v="5"/>
  </r>
  <r>
    <x v="3"/>
    <x v="4"/>
    <x v="38"/>
    <n v="153"/>
    <x v="5"/>
    <x v="5"/>
  </r>
  <r>
    <x v="3"/>
    <x v="4"/>
    <x v="39"/>
    <n v="65"/>
    <x v="5"/>
    <x v="5"/>
  </r>
  <r>
    <x v="3"/>
    <x v="4"/>
    <x v="40"/>
    <n v="377"/>
    <x v="5"/>
    <x v="5"/>
  </r>
  <r>
    <x v="3"/>
    <x v="4"/>
    <x v="41"/>
    <n v="118"/>
    <x v="5"/>
    <x v="5"/>
  </r>
  <r>
    <x v="3"/>
    <x v="4"/>
    <x v="42"/>
    <n v="252"/>
    <x v="5"/>
    <x v="5"/>
  </r>
  <r>
    <x v="3"/>
    <x v="4"/>
    <x v="43"/>
    <n v="398"/>
    <x v="5"/>
    <x v="5"/>
  </r>
  <r>
    <x v="3"/>
    <x v="4"/>
    <x v="44"/>
    <n v="274"/>
    <x v="5"/>
    <x v="5"/>
  </r>
  <r>
    <x v="3"/>
    <x v="4"/>
    <x v="45"/>
    <n v="178"/>
    <x v="5"/>
    <x v="5"/>
  </r>
  <r>
    <x v="3"/>
    <x v="4"/>
    <x v="46"/>
    <n v="88"/>
    <x v="5"/>
    <x v="5"/>
  </r>
  <r>
    <x v="3"/>
    <x v="4"/>
    <x v="47"/>
    <n v="200"/>
    <x v="5"/>
    <x v="5"/>
  </r>
  <r>
    <x v="3"/>
    <x v="4"/>
    <x v="48"/>
    <n v="340"/>
    <x v="5"/>
    <x v="5"/>
  </r>
  <r>
    <x v="3"/>
    <x v="4"/>
    <x v="49"/>
    <n v="268"/>
    <x v="5"/>
    <x v="5"/>
  </r>
  <r>
    <x v="3"/>
    <x v="4"/>
    <x v="50"/>
    <n v="179"/>
    <x v="5"/>
    <x v="5"/>
  </r>
  <r>
    <x v="3"/>
    <x v="4"/>
    <x v="51"/>
    <n v="123"/>
    <x v="5"/>
    <x v="5"/>
  </r>
  <r>
    <x v="4"/>
    <x v="2"/>
    <x v="0"/>
    <n v="21"/>
    <x v="5"/>
    <x v="5"/>
  </r>
  <r>
    <x v="4"/>
    <x v="2"/>
    <x v="1"/>
    <n v="12"/>
    <x v="5"/>
    <x v="5"/>
  </r>
  <r>
    <x v="4"/>
    <x v="2"/>
    <x v="2"/>
    <n v="25"/>
    <x v="5"/>
    <x v="5"/>
  </r>
  <r>
    <x v="4"/>
    <x v="2"/>
    <x v="3"/>
    <n v="43"/>
    <x v="5"/>
    <x v="5"/>
  </r>
  <r>
    <x v="4"/>
    <x v="2"/>
    <x v="4"/>
    <n v="61"/>
    <x v="5"/>
    <x v="5"/>
  </r>
  <r>
    <x v="4"/>
    <x v="2"/>
    <x v="5"/>
    <n v="40"/>
    <x v="5"/>
    <x v="5"/>
  </r>
  <r>
    <x v="4"/>
    <x v="2"/>
    <x v="6"/>
    <n v="23"/>
    <x v="5"/>
    <x v="5"/>
  </r>
  <r>
    <x v="4"/>
    <x v="2"/>
    <x v="7"/>
    <n v="17"/>
    <x v="5"/>
    <x v="5"/>
  </r>
  <r>
    <x v="4"/>
    <x v="2"/>
    <x v="8"/>
    <n v="68"/>
    <x v="5"/>
    <x v="5"/>
  </r>
  <r>
    <x v="4"/>
    <x v="2"/>
    <x v="9"/>
    <n v="16"/>
    <x v="5"/>
    <x v="5"/>
  </r>
  <r>
    <x v="4"/>
    <x v="2"/>
    <x v="10"/>
    <n v="38"/>
    <x v="5"/>
    <x v="5"/>
  </r>
  <r>
    <x v="4"/>
    <x v="2"/>
    <x v="11"/>
    <n v="35"/>
    <x v="5"/>
    <x v="5"/>
  </r>
  <r>
    <x v="4"/>
    <x v="2"/>
    <x v="12"/>
    <n v="70"/>
    <x v="5"/>
    <x v="5"/>
  </r>
  <r>
    <x v="4"/>
    <x v="2"/>
    <x v="13"/>
    <n v="59"/>
    <x v="5"/>
    <x v="5"/>
  </r>
  <r>
    <x v="4"/>
    <x v="2"/>
    <x v="14"/>
    <n v="54"/>
    <x v="5"/>
    <x v="5"/>
  </r>
  <r>
    <x v="4"/>
    <x v="2"/>
    <x v="15"/>
    <n v="19"/>
    <x v="5"/>
    <x v="5"/>
  </r>
  <r>
    <x v="4"/>
    <x v="2"/>
    <x v="16"/>
    <n v="31"/>
    <x v="5"/>
    <x v="5"/>
  </r>
  <r>
    <x v="4"/>
    <x v="2"/>
    <x v="17"/>
    <n v="54"/>
    <x v="5"/>
    <x v="5"/>
  </r>
  <r>
    <x v="4"/>
    <x v="2"/>
    <x v="18"/>
    <n v="49"/>
    <x v="5"/>
    <x v="5"/>
  </r>
  <r>
    <x v="4"/>
    <x v="2"/>
    <x v="19"/>
    <n v="11"/>
    <x v="5"/>
    <x v="5"/>
  </r>
  <r>
    <x v="4"/>
    <x v="2"/>
    <x v="20"/>
    <n v="105"/>
    <x v="5"/>
    <x v="5"/>
  </r>
  <r>
    <x v="4"/>
    <x v="2"/>
    <x v="21"/>
    <n v="53"/>
    <x v="5"/>
    <x v="5"/>
  </r>
  <r>
    <x v="4"/>
    <x v="2"/>
    <x v="22"/>
    <n v="102"/>
    <x v="5"/>
    <x v="5"/>
  </r>
  <r>
    <x v="4"/>
    <x v="2"/>
    <x v="23"/>
    <n v="25"/>
    <x v="5"/>
    <x v="5"/>
  </r>
  <r>
    <x v="4"/>
    <x v="2"/>
    <x v="24"/>
    <n v="108"/>
    <x v="5"/>
    <x v="5"/>
  </r>
  <r>
    <x v="4"/>
    <x v="2"/>
    <x v="25"/>
    <n v="14"/>
    <x v="5"/>
    <x v="5"/>
  </r>
  <r>
    <x v="4"/>
    <x v="2"/>
    <x v="26"/>
    <n v="19"/>
    <x v="5"/>
    <x v="5"/>
  </r>
  <r>
    <x v="4"/>
    <x v="2"/>
    <x v="27"/>
    <n v="35"/>
    <x v="5"/>
    <x v="5"/>
  </r>
  <r>
    <x v="4"/>
    <x v="2"/>
    <x v="28"/>
    <n v="64"/>
    <x v="5"/>
    <x v="5"/>
  </r>
  <r>
    <x v="4"/>
    <x v="2"/>
    <x v="29"/>
    <n v="34"/>
    <x v="5"/>
    <x v="5"/>
  </r>
  <r>
    <x v="4"/>
    <x v="2"/>
    <x v="30"/>
    <n v="84"/>
    <x v="5"/>
    <x v="5"/>
  </r>
  <r>
    <x v="4"/>
    <x v="2"/>
    <x v="31"/>
    <n v="16"/>
    <x v="5"/>
    <x v="5"/>
  </r>
  <r>
    <x v="4"/>
    <x v="2"/>
    <x v="32"/>
    <n v="92"/>
    <x v="5"/>
    <x v="5"/>
  </r>
  <r>
    <x v="4"/>
    <x v="2"/>
    <x v="33"/>
    <n v="54"/>
    <x v="5"/>
    <x v="5"/>
  </r>
  <r>
    <x v="4"/>
    <x v="2"/>
    <x v="34"/>
    <n v="128"/>
    <x v="5"/>
    <x v="5"/>
  </r>
  <r>
    <x v="4"/>
    <x v="2"/>
    <x v="35"/>
    <n v="89"/>
    <x v="5"/>
    <x v="5"/>
  </r>
  <r>
    <x v="4"/>
    <x v="2"/>
    <x v="36"/>
    <n v="158"/>
    <x v="5"/>
    <x v="5"/>
  </r>
  <r>
    <x v="4"/>
    <x v="2"/>
    <x v="37"/>
    <n v="52"/>
    <x v="5"/>
    <x v="5"/>
  </r>
  <r>
    <x v="4"/>
    <x v="2"/>
    <x v="38"/>
    <n v="34"/>
    <x v="5"/>
    <x v="5"/>
  </r>
  <r>
    <x v="4"/>
    <x v="2"/>
    <x v="39"/>
    <n v="83"/>
    <x v="5"/>
    <x v="5"/>
  </r>
  <r>
    <x v="4"/>
    <x v="2"/>
    <x v="40"/>
    <n v="71"/>
    <x v="5"/>
    <x v="5"/>
  </r>
  <r>
    <x v="4"/>
    <x v="2"/>
    <x v="41"/>
    <n v="137"/>
    <x v="5"/>
    <x v="5"/>
  </r>
  <r>
    <x v="4"/>
    <x v="2"/>
    <x v="42"/>
    <n v="29"/>
    <x v="5"/>
    <x v="5"/>
  </r>
  <r>
    <x v="4"/>
    <x v="2"/>
    <x v="43"/>
    <n v="128"/>
    <x v="5"/>
    <x v="5"/>
  </r>
  <r>
    <x v="4"/>
    <x v="2"/>
    <x v="44"/>
    <n v="62"/>
    <x v="5"/>
    <x v="5"/>
  </r>
  <r>
    <x v="4"/>
    <x v="2"/>
    <x v="45"/>
    <n v="172"/>
    <x v="5"/>
    <x v="5"/>
  </r>
  <r>
    <x v="4"/>
    <x v="2"/>
    <x v="46"/>
    <n v="130"/>
    <x v="5"/>
    <x v="5"/>
  </r>
  <r>
    <x v="4"/>
    <x v="2"/>
    <x v="47"/>
    <n v="38"/>
    <x v="5"/>
    <x v="5"/>
  </r>
  <r>
    <x v="4"/>
    <x v="2"/>
    <x v="48"/>
    <n v="105"/>
    <x v="5"/>
    <x v="5"/>
  </r>
  <r>
    <x v="4"/>
    <x v="2"/>
    <x v="49"/>
    <n v="54"/>
    <x v="5"/>
    <x v="5"/>
  </r>
  <r>
    <x v="4"/>
    <x v="2"/>
    <x v="50"/>
    <n v="70"/>
    <x v="5"/>
    <x v="5"/>
  </r>
  <r>
    <x v="4"/>
    <x v="2"/>
    <x v="51"/>
    <n v="66"/>
    <x v="5"/>
    <x v="5"/>
  </r>
  <r>
    <x v="5"/>
    <x v="3"/>
    <x v="0"/>
    <n v="284"/>
    <x v="5"/>
    <x v="5"/>
  </r>
  <r>
    <x v="5"/>
    <x v="3"/>
    <x v="1"/>
    <n v="299"/>
    <x v="5"/>
    <x v="5"/>
  </r>
  <r>
    <x v="5"/>
    <x v="3"/>
    <x v="2"/>
    <n v="249"/>
    <x v="5"/>
    <x v="5"/>
  </r>
  <r>
    <x v="5"/>
    <x v="3"/>
    <x v="3"/>
    <n v="276"/>
    <x v="5"/>
    <x v="5"/>
  </r>
  <r>
    <x v="5"/>
    <x v="3"/>
    <x v="4"/>
    <n v="231"/>
    <x v="5"/>
    <x v="5"/>
  </r>
  <r>
    <x v="5"/>
    <x v="3"/>
    <x v="5"/>
    <n v="260"/>
    <x v="5"/>
    <x v="5"/>
  </r>
  <r>
    <x v="5"/>
    <x v="3"/>
    <x v="6"/>
    <n v="165"/>
    <x v="5"/>
    <x v="5"/>
  </r>
  <r>
    <x v="5"/>
    <x v="3"/>
    <x v="7"/>
    <n v="333"/>
    <x v="5"/>
    <x v="5"/>
  </r>
  <r>
    <x v="5"/>
    <x v="3"/>
    <x v="8"/>
    <n v="163"/>
    <x v="5"/>
    <x v="5"/>
  </r>
  <r>
    <x v="5"/>
    <x v="3"/>
    <x v="9"/>
    <n v="94"/>
    <x v="5"/>
    <x v="5"/>
  </r>
  <r>
    <x v="5"/>
    <x v="3"/>
    <x v="10"/>
    <n v="210"/>
    <x v="5"/>
    <x v="5"/>
  </r>
  <r>
    <x v="5"/>
    <x v="3"/>
    <x v="11"/>
    <n v="183"/>
    <x v="5"/>
    <x v="5"/>
  </r>
  <r>
    <x v="5"/>
    <x v="3"/>
    <x v="12"/>
    <n v="394"/>
    <x v="5"/>
    <x v="5"/>
  </r>
  <r>
    <x v="5"/>
    <x v="3"/>
    <x v="13"/>
    <n v="434"/>
    <x v="5"/>
    <x v="5"/>
  </r>
  <r>
    <x v="5"/>
    <x v="3"/>
    <x v="14"/>
    <n v="428"/>
    <x v="5"/>
    <x v="5"/>
  </r>
  <r>
    <x v="5"/>
    <x v="3"/>
    <x v="15"/>
    <n v="485"/>
    <x v="5"/>
    <x v="5"/>
  </r>
  <r>
    <x v="5"/>
    <x v="3"/>
    <x v="16"/>
    <n v="161"/>
    <x v="5"/>
    <x v="5"/>
  </r>
  <r>
    <x v="5"/>
    <x v="3"/>
    <x v="17"/>
    <n v="95"/>
    <x v="5"/>
    <x v="5"/>
  </r>
  <r>
    <x v="5"/>
    <x v="3"/>
    <x v="18"/>
    <n v="477"/>
    <x v="5"/>
    <x v="5"/>
  </r>
  <r>
    <x v="5"/>
    <x v="3"/>
    <x v="19"/>
    <n v="211"/>
    <x v="5"/>
    <x v="5"/>
  </r>
  <r>
    <x v="5"/>
    <x v="3"/>
    <x v="20"/>
    <n v="509"/>
    <x v="5"/>
    <x v="5"/>
  </r>
  <r>
    <x v="5"/>
    <x v="3"/>
    <x v="21"/>
    <n v="280"/>
    <x v="5"/>
    <x v="5"/>
  </r>
  <r>
    <x v="5"/>
    <x v="3"/>
    <x v="22"/>
    <n v="175"/>
    <x v="5"/>
    <x v="5"/>
  </r>
  <r>
    <x v="5"/>
    <x v="3"/>
    <x v="23"/>
    <n v="338"/>
    <x v="5"/>
    <x v="5"/>
  </r>
  <r>
    <x v="5"/>
    <x v="3"/>
    <x v="24"/>
    <n v="280"/>
    <x v="5"/>
    <x v="5"/>
  </r>
  <r>
    <x v="5"/>
    <x v="3"/>
    <x v="25"/>
    <n v="533"/>
    <x v="5"/>
    <x v="5"/>
  </r>
  <r>
    <x v="5"/>
    <x v="3"/>
    <x v="26"/>
    <n v="96"/>
    <x v="5"/>
    <x v="5"/>
  </r>
  <r>
    <x v="5"/>
    <x v="3"/>
    <x v="27"/>
    <n v="472"/>
    <x v="5"/>
    <x v="5"/>
  </r>
  <r>
    <x v="5"/>
    <x v="3"/>
    <x v="28"/>
    <n v="211"/>
    <x v="5"/>
    <x v="5"/>
  </r>
  <r>
    <x v="5"/>
    <x v="3"/>
    <x v="29"/>
    <n v="269"/>
    <x v="5"/>
    <x v="5"/>
  </r>
  <r>
    <x v="5"/>
    <x v="3"/>
    <x v="30"/>
    <n v="223"/>
    <x v="5"/>
    <x v="5"/>
  </r>
  <r>
    <x v="5"/>
    <x v="3"/>
    <x v="31"/>
    <n v="452"/>
    <x v="5"/>
    <x v="5"/>
  </r>
  <r>
    <x v="5"/>
    <x v="3"/>
    <x v="32"/>
    <n v="506"/>
    <x v="5"/>
    <x v="5"/>
  </r>
  <r>
    <x v="5"/>
    <x v="3"/>
    <x v="33"/>
    <n v="137"/>
    <x v="5"/>
    <x v="5"/>
  </r>
  <r>
    <x v="5"/>
    <x v="3"/>
    <x v="34"/>
    <n v="370"/>
    <x v="5"/>
    <x v="5"/>
  </r>
  <r>
    <x v="5"/>
    <x v="3"/>
    <x v="35"/>
    <n v="337"/>
    <x v="5"/>
    <x v="5"/>
  </r>
  <r>
    <x v="5"/>
    <x v="3"/>
    <x v="36"/>
    <n v="550"/>
    <x v="5"/>
    <x v="5"/>
  </r>
  <r>
    <x v="5"/>
    <x v="3"/>
    <x v="37"/>
    <n v="94"/>
    <x v="5"/>
    <x v="5"/>
  </r>
  <r>
    <x v="5"/>
    <x v="3"/>
    <x v="38"/>
    <n v="253"/>
    <x v="5"/>
    <x v="5"/>
  </r>
  <r>
    <x v="5"/>
    <x v="3"/>
    <x v="39"/>
    <n v="610"/>
    <x v="5"/>
    <x v="5"/>
  </r>
  <r>
    <x v="5"/>
    <x v="3"/>
    <x v="40"/>
    <n v="730"/>
    <x v="5"/>
    <x v="5"/>
  </r>
  <r>
    <x v="5"/>
    <x v="3"/>
    <x v="41"/>
    <n v="776"/>
    <x v="5"/>
    <x v="5"/>
  </r>
  <r>
    <x v="5"/>
    <x v="3"/>
    <x v="42"/>
    <n v="355"/>
    <x v="5"/>
    <x v="5"/>
  </r>
  <r>
    <x v="5"/>
    <x v="3"/>
    <x v="43"/>
    <n v="118"/>
    <x v="5"/>
    <x v="5"/>
  </r>
  <r>
    <x v="5"/>
    <x v="3"/>
    <x v="44"/>
    <n v="737"/>
    <x v="5"/>
    <x v="5"/>
  </r>
  <r>
    <x v="5"/>
    <x v="3"/>
    <x v="45"/>
    <n v="684"/>
    <x v="5"/>
    <x v="5"/>
  </r>
  <r>
    <x v="5"/>
    <x v="3"/>
    <x v="46"/>
    <n v="217"/>
    <x v="5"/>
    <x v="5"/>
  </r>
  <r>
    <x v="5"/>
    <x v="3"/>
    <x v="47"/>
    <n v="533"/>
    <x v="5"/>
    <x v="5"/>
  </r>
  <r>
    <x v="5"/>
    <x v="3"/>
    <x v="48"/>
    <n v="352"/>
    <x v="5"/>
    <x v="5"/>
  </r>
  <r>
    <x v="5"/>
    <x v="3"/>
    <x v="49"/>
    <n v="679"/>
    <x v="5"/>
    <x v="5"/>
  </r>
  <r>
    <x v="5"/>
    <x v="3"/>
    <x v="50"/>
    <n v="249"/>
    <x v="5"/>
    <x v="5"/>
  </r>
  <r>
    <x v="5"/>
    <x v="3"/>
    <x v="51"/>
    <n v="394"/>
    <x v="5"/>
    <x v="5"/>
  </r>
  <r>
    <x v="0"/>
    <x v="3"/>
    <x v="0"/>
    <n v="330"/>
    <x v="6"/>
    <x v="6"/>
  </r>
  <r>
    <x v="0"/>
    <x v="3"/>
    <x v="1"/>
    <n v="100"/>
    <x v="6"/>
    <x v="6"/>
  </r>
  <r>
    <x v="0"/>
    <x v="3"/>
    <x v="2"/>
    <n v="279"/>
    <x v="6"/>
    <x v="6"/>
  </r>
  <r>
    <x v="0"/>
    <x v="3"/>
    <x v="3"/>
    <n v="235"/>
    <x v="6"/>
    <x v="6"/>
  </r>
  <r>
    <x v="0"/>
    <x v="3"/>
    <x v="4"/>
    <n v="405"/>
    <x v="6"/>
    <x v="6"/>
  </r>
  <r>
    <x v="0"/>
    <x v="3"/>
    <x v="5"/>
    <n v="184"/>
    <x v="6"/>
    <x v="6"/>
  </r>
  <r>
    <x v="0"/>
    <x v="3"/>
    <x v="6"/>
    <n v="252"/>
    <x v="6"/>
    <x v="6"/>
  </r>
  <r>
    <x v="0"/>
    <x v="3"/>
    <x v="7"/>
    <n v="150"/>
    <x v="6"/>
    <x v="6"/>
  </r>
  <r>
    <x v="0"/>
    <x v="3"/>
    <x v="8"/>
    <n v="272"/>
    <x v="6"/>
    <x v="6"/>
  </r>
  <r>
    <x v="0"/>
    <x v="3"/>
    <x v="9"/>
    <n v="532"/>
    <x v="6"/>
    <x v="6"/>
  </r>
  <r>
    <x v="0"/>
    <x v="3"/>
    <x v="10"/>
    <n v="414"/>
    <x v="6"/>
    <x v="6"/>
  </r>
  <r>
    <x v="0"/>
    <x v="3"/>
    <x v="11"/>
    <n v="393"/>
    <x v="6"/>
    <x v="6"/>
  </r>
  <r>
    <x v="0"/>
    <x v="3"/>
    <x v="12"/>
    <n v="493"/>
    <x v="6"/>
    <x v="6"/>
  </r>
  <r>
    <x v="0"/>
    <x v="3"/>
    <x v="13"/>
    <n v="619"/>
    <x v="6"/>
    <x v="6"/>
  </r>
  <r>
    <x v="0"/>
    <x v="3"/>
    <x v="14"/>
    <n v="201"/>
    <x v="6"/>
    <x v="6"/>
  </r>
  <r>
    <x v="0"/>
    <x v="3"/>
    <x v="15"/>
    <n v="192"/>
    <x v="6"/>
    <x v="6"/>
  </r>
  <r>
    <x v="0"/>
    <x v="3"/>
    <x v="16"/>
    <n v="682"/>
    <x v="6"/>
    <x v="6"/>
  </r>
  <r>
    <x v="0"/>
    <x v="3"/>
    <x v="17"/>
    <n v="531"/>
    <x v="6"/>
    <x v="6"/>
  </r>
  <r>
    <x v="0"/>
    <x v="3"/>
    <x v="18"/>
    <n v="589"/>
    <x v="6"/>
    <x v="6"/>
  </r>
  <r>
    <x v="0"/>
    <x v="3"/>
    <x v="19"/>
    <n v="473"/>
    <x v="6"/>
    <x v="6"/>
  </r>
  <r>
    <x v="0"/>
    <x v="3"/>
    <x v="20"/>
    <n v="302"/>
    <x v="6"/>
    <x v="6"/>
  </r>
  <r>
    <x v="0"/>
    <x v="3"/>
    <x v="21"/>
    <n v="560"/>
    <x v="6"/>
    <x v="6"/>
  </r>
  <r>
    <x v="0"/>
    <x v="3"/>
    <x v="22"/>
    <n v="692"/>
    <x v="6"/>
    <x v="6"/>
  </r>
  <r>
    <x v="0"/>
    <x v="3"/>
    <x v="23"/>
    <n v="461"/>
    <x v="6"/>
    <x v="6"/>
  </r>
  <r>
    <x v="0"/>
    <x v="3"/>
    <x v="24"/>
    <n v="788"/>
    <x v="6"/>
    <x v="6"/>
  </r>
  <r>
    <x v="0"/>
    <x v="3"/>
    <x v="25"/>
    <n v="458"/>
    <x v="6"/>
    <x v="6"/>
  </r>
  <r>
    <x v="0"/>
    <x v="3"/>
    <x v="26"/>
    <n v="488"/>
    <x v="6"/>
    <x v="6"/>
  </r>
  <r>
    <x v="0"/>
    <x v="3"/>
    <x v="27"/>
    <n v="772"/>
    <x v="6"/>
    <x v="6"/>
  </r>
  <r>
    <x v="0"/>
    <x v="3"/>
    <x v="28"/>
    <n v="1209"/>
    <x v="6"/>
    <x v="6"/>
  </r>
  <r>
    <x v="0"/>
    <x v="3"/>
    <x v="29"/>
    <n v="140"/>
    <x v="6"/>
    <x v="6"/>
  </r>
  <r>
    <x v="0"/>
    <x v="3"/>
    <x v="30"/>
    <n v="301"/>
    <x v="6"/>
    <x v="6"/>
  </r>
  <r>
    <x v="0"/>
    <x v="3"/>
    <x v="31"/>
    <n v="873"/>
    <x v="6"/>
    <x v="6"/>
  </r>
  <r>
    <x v="0"/>
    <x v="3"/>
    <x v="32"/>
    <n v="354"/>
    <x v="6"/>
    <x v="6"/>
  </r>
  <r>
    <x v="0"/>
    <x v="3"/>
    <x v="33"/>
    <n v="733"/>
    <x v="6"/>
    <x v="6"/>
  </r>
  <r>
    <x v="0"/>
    <x v="3"/>
    <x v="34"/>
    <n v="657"/>
    <x v="6"/>
    <x v="6"/>
  </r>
  <r>
    <x v="0"/>
    <x v="3"/>
    <x v="35"/>
    <n v="1060"/>
    <x v="6"/>
    <x v="6"/>
  </r>
  <r>
    <x v="0"/>
    <x v="3"/>
    <x v="36"/>
    <n v="873"/>
    <x v="6"/>
    <x v="6"/>
  </r>
  <r>
    <x v="0"/>
    <x v="3"/>
    <x v="37"/>
    <n v="492"/>
    <x v="6"/>
    <x v="6"/>
  </r>
  <r>
    <x v="0"/>
    <x v="3"/>
    <x v="38"/>
    <n v="132"/>
    <x v="6"/>
    <x v="6"/>
  </r>
  <r>
    <x v="0"/>
    <x v="3"/>
    <x v="39"/>
    <n v="857"/>
    <x v="6"/>
    <x v="6"/>
  </r>
  <r>
    <x v="0"/>
    <x v="3"/>
    <x v="40"/>
    <n v="661"/>
    <x v="6"/>
    <x v="6"/>
  </r>
  <r>
    <x v="0"/>
    <x v="3"/>
    <x v="41"/>
    <n v="986"/>
    <x v="6"/>
    <x v="6"/>
  </r>
  <r>
    <x v="0"/>
    <x v="3"/>
    <x v="42"/>
    <n v="390"/>
    <x v="6"/>
    <x v="6"/>
  </r>
  <r>
    <x v="0"/>
    <x v="3"/>
    <x v="43"/>
    <n v="771"/>
    <x v="6"/>
    <x v="6"/>
  </r>
  <r>
    <x v="0"/>
    <x v="3"/>
    <x v="44"/>
    <n v="1149"/>
    <x v="6"/>
    <x v="6"/>
  </r>
  <r>
    <x v="0"/>
    <x v="3"/>
    <x v="45"/>
    <n v="374"/>
    <x v="6"/>
    <x v="6"/>
  </r>
  <r>
    <x v="0"/>
    <x v="3"/>
    <x v="46"/>
    <n v="739"/>
    <x v="6"/>
    <x v="6"/>
  </r>
  <r>
    <x v="0"/>
    <x v="3"/>
    <x v="47"/>
    <n v="640"/>
    <x v="6"/>
    <x v="6"/>
  </r>
  <r>
    <x v="0"/>
    <x v="3"/>
    <x v="48"/>
    <n v="813"/>
    <x v="6"/>
    <x v="6"/>
  </r>
  <r>
    <x v="0"/>
    <x v="3"/>
    <x v="49"/>
    <n v="275"/>
    <x v="6"/>
    <x v="6"/>
  </r>
  <r>
    <x v="0"/>
    <x v="3"/>
    <x v="50"/>
    <n v="484"/>
    <x v="6"/>
    <x v="6"/>
  </r>
  <r>
    <x v="0"/>
    <x v="3"/>
    <x v="51"/>
    <n v="904"/>
    <x v="6"/>
    <x v="6"/>
  </r>
  <r>
    <x v="1"/>
    <x v="4"/>
    <x v="0"/>
    <n v="298"/>
    <x v="6"/>
    <x v="6"/>
  </r>
  <r>
    <x v="1"/>
    <x v="4"/>
    <x v="1"/>
    <n v="108"/>
    <x v="6"/>
    <x v="6"/>
  </r>
  <r>
    <x v="1"/>
    <x v="4"/>
    <x v="2"/>
    <n v="359"/>
    <x v="6"/>
    <x v="6"/>
  </r>
  <r>
    <x v="1"/>
    <x v="4"/>
    <x v="3"/>
    <n v="576"/>
    <x v="6"/>
    <x v="6"/>
  </r>
  <r>
    <x v="1"/>
    <x v="4"/>
    <x v="4"/>
    <n v="400"/>
    <x v="6"/>
    <x v="6"/>
  </r>
  <r>
    <x v="1"/>
    <x v="4"/>
    <x v="5"/>
    <n v="247"/>
    <x v="6"/>
    <x v="6"/>
  </r>
  <r>
    <x v="1"/>
    <x v="4"/>
    <x v="6"/>
    <n v="181"/>
    <x v="6"/>
    <x v="6"/>
  </r>
  <r>
    <x v="1"/>
    <x v="4"/>
    <x v="7"/>
    <n v="262"/>
    <x v="6"/>
    <x v="6"/>
  </r>
  <r>
    <x v="1"/>
    <x v="4"/>
    <x v="8"/>
    <n v="417"/>
    <x v="6"/>
    <x v="6"/>
  </r>
  <r>
    <x v="1"/>
    <x v="4"/>
    <x v="9"/>
    <n v="533"/>
    <x v="6"/>
    <x v="6"/>
  </r>
  <r>
    <x v="1"/>
    <x v="4"/>
    <x v="10"/>
    <n v="239"/>
    <x v="6"/>
    <x v="6"/>
  </r>
  <r>
    <x v="1"/>
    <x v="4"/>
    <x v="11"/>
    <n v="425"/>
    <x v="6"/>
    <x v="6"/>
  </r>
  <r>
    <x v="1"/>
    <x v="4"/>
    <x v="12"/>
    <n v="476"/>
    <x v="6"/>
    <x v="6"/>
  </r>
  <r>
    <x v="1"/>
    <x v="4"/>
    <x v="13"/>
    <n v="309"/>
    <x v="6"/>
    <x v="6"/>
  </r>
  <r>
    <x v="1"/>
    <x v="4"/>
    <x v="14"/>
    <n v="499"/>
    <x v="6"/>
    <x v="6"/>
  </r>
  <r>
    <x v="1"/>
    <x v="4"/>
    <x v="15"/>
    <n v="494"/>
    <x v="6"/>
    <x v="6"/>
  </r>
  <r>
    <x v="1"/>
    <x v="4"/>
    <x v="16"/>
    <n v="294"/>
    <x v="6"/>
    <x v="6"/>
  </r>
  <r>
    <x v="1"/>
    <x v="4"/>
    <x v="17"/>
    <n v="511"/>
    <x v="6"/>
    <x v="6"/>
  </r>
  <r>
    <x v="1"/>
    <x v="4"/>
    <x v="18"/>
    <n v="648"/>
    <x v="6"/>
    <x v="6"/>
  </r>
  <r>
    <x v="1"/>
    <x v="4"/>
    <x v="19"/>
    <n v="796"/>
    <x v="6"/>
    <x v="6"/>
  </r>
  <r>
    <x v="1"/>
    <x v="4"/>
    <x v="20"/>
    <n v="673"/>
    <x v="6"/>
    <x v="6"/>
  </r>
  <r>
    <x v="1"/>
    <x v="4"/>
    <x v="21"/>
    <n v="544"/>
    <x v="6"/>
    <x v="6"/>
  </r>
  <r>
    <x v="1"/>
    <x v="4"/>
    <x v="22"/>
    <n v="315"/>
    <x v="6"/>
    <x v="6"/>
  </r>
  <r>
    <x v="1"/>
    <x v="4"/>
    <x v="23"/>
    <n v="138"/>
    <x v="6"/>
    <x v="6"/>
  </r>
  <r>
    <x v="1"/>
    <x v="4"/>
    <x v="24"/>
    <n v="369"/>
    <x v="6"/>
    <x v="6"/>
  </r>
  <r>
    <x v="1"/>
    <x v="4"/>
    <x v="25"/>
    <n v="679"/>
    <x v="6"/>
    <x v="6"/>
  </r>
  <r>
    <x v="1"/>
    <x v="4"/>
    <x v="26"/>
    <n v="466"/>
    <x v="6"/>
    <x v="6"/>
  </r>
  <r>
    <x v="1"/>
    <x v="4"/>
    <x v="27"/>
    <n v="465"/>
    <x v="6"/>
    <x v="6"/>
  </r>
  <r>
    <x v="1"/>
    <x v="4"/>
    <x v="28"/>
    <n v="235"/>
    <x v="6"/>
    <x v="6"/>
  </r>
  <r>
    <x v="1"/>
    <x v="4"/>
    <x v="29"/>
    <n v="558"/>
    <x v="6"/>
    <x v="6"/>
  </r>
  <r>
    <x v="1"/>
    <x v="4"/>
    <x v="30"/>
    <n v="505"/>
    <x v="6"/>
    <x v="6"/>
  </r>
  <r>
    <x v="1"/>
    <x v="4"/>
    <x v="31"/>
    <n v="291"/>
    <x v="6"/>
    <x v="6"/>
  </r>
  <r>
    <x v="1"/>
    <x v="4"/>
    <x v="32"/>
    <n v="333"/>
    <x v="6"/>
    <x v="6"/>
  </r>
  <r>
    <x v="1"/>
    <x v="4"/>
    <x v="33"/>
    <n v="313"/>
    <x v="6"/>
    <x v="6"/>
  </r>
  <r>
    <x v="1"/>
    <x v="4"/>
    <x v="34"/>
    <n v="545"/>
    <x v="6"/>
    <x v="6"/>
  </r>
  <r>
    <x v="1"/>
    <x v="4"/>
    <x v="35"/>
    <n v="845"/>
    <x v="6"/>
    <x v="6"/>
  </r>
  <r>
    <x v="1"/>
    <x v="4"/>
    <x v="36"/>
    <n v="210"/>
    <x v="6"/>
    <x v="6"/>
  </r>
  <r>
    <x v="1"/>
    <x v="4"/>
    <x v="37"/>
    <n v="921"/>
    <x v="6"/>
    <x v="6"/>
  </r>
  <r>
    <x v="1"/>
    <x v="4"/>
    <x v="38"/>
    <n v="1144"/>
    <x v="6"/>
    <x v="6"/>
  </r>
  <r>
    <x v="1"/>
    <x v="4"/>
    <x v="39"/>
    <n v="458"/>
    <x v="6"/>
    <x v="6"/>
  </r>
  <r>
    <x v="1"/>
    <x v="4"/>
    <x v="40"/>
    <n v="308"/>
    <x v="6"/>
    <x v="6"/>
  </r>
  <r>
    <x v="1"/>
    <x v="4"/>
    <x v="41"/>
    <n v="469"/>
    <x v="6"/>
    <x v="6"/>
  </r>
  <r>
    <x v="1"/>
    <x v="4"/>
    <x v="42"/>
    <n v="537"/>
    <x v="6"/>
    <x v="6"/>
  </r>
  <r>
    <x v="1"/>
    <x v="4"/>
    <x v="43"/>
    <n v="609"/>
    <x v="6"/>
    <x v="6"/>
  </r>
  <r>
    <x v="1"/>
    <x v="4"/>
    <x v="44"/>
    <n v="886"/>
    <x v="6"/>
    <x v="6"/>
  </r>
  <r>
    <x v="1"/>
    <x v="4"/>
    <x v="45"/>
    <n v="859"/>
    <x v="6"/>
    <x v="6"/>
  </r>
  <r>
    <x v="1"/>
    <x v="4"/>
    <x v="46"/>
    <n v="1133"/>
    <x v="6"/>
    <x v="6"/>
  </r>
  <r>
    <x v="1"/>
    <x v="4"/>
    <x v="47"/>
    <n v="484"/>
    <x v="6"/>
    <x v="6"/>
  </r>
  <r>
    <x v="1"/>
    <x v="4"/>
    <x v="48"/>
    <n v="209"/>
    <x v="6"/>
    <x v="6"/>
  </r>
  <r>
    <x v="1"/>
    <x v="4"/>
    <x v="49"/>
    <n v="423"/>
    <x v="6"/>
    <x v="6"/>
  </r>
  <r>
    <x v="1"/>
    <x v="4"/>
    <x v="50"/>
    <n v="488"/>
    <x v="6"/>
    <x v="6"/>
  </r>
  <r>
    <x v="1"/>
    <x v="4"/>
    <x v="51"/>
    <n v="698"/>
    <x v="6"/>
    <x v="6"/>
  </r>
  <r>
    <x v="2"/>
    <x v="5"/>
    <x v="0"/>
    <n v="170"/>
    <x v="6"/>
    <x v="6"/>
  </r>
  <r>
    <x v="2"/>
    <x v="5"/>
    <x v="1"/>
    <n v="369"/>
    <x v="6"/>
    <x v="6"/>
  </r>
  <r>
    <x v="2"/>
    <x v="5"/>
    <x v="2"/>
    <n v="106"/>
    <x v="6"/>
    <x v="6"/>
  </r>
  <r>
    <x v="2"/>
    <x v="5"/>
    <x v="3"/>
    <n v="353"/>
    <x v="6"/>
    <x v="6"/>
  </r>
  <r>
    <x v="2"/>
    <x v="5"/>
    <x v="4"/>
    <n v="225"/>
    <x v="6"/>
    <x v="6"/>
  </r>
  <r>
    <x v="2"/>
    <x v="5"/>
    <x v="5"/>
    <n v="446"/>
    <x v="6"/>
    <x v="6"/>
  </r>
  <r>
    <x v="2"/>
    <x v="5"/>
    <x v="6"/>
    <n v="198"/>
    <x v="6"/>
    <x v="6"/>
  </r>
  <r>
    <x v="2"/>
    <x v="5"/>
    <x v="7"/>
    <n v="379"/>
    <x v="6"/>
    <x v="6"/>
  </r>
  <r>
    <x v="2"/>
    <x v="5"/>
    <x v="8"/>
    <n v="247"/>
    <x v="6"/>
    <x v="6"/>
  </r>
  <r>
    <x v="2"/>
    <x v="5"/>
    <x v="9"/>
    <n v="414"/>
    <x v="6"/>
    <x v="6"/>
  </r>
  <r>
    <x v="2"/>
    <x v="5"/>
    <x v="10"/>
    <n v="110"/>
    <x v="6"/>
    <x v="6"/>
  </r>
  <r>
    <x v="2"/>
    <x v="5"/>
    <x v="11"/>
    <n v="284"/>
    <x v="6"/>
    <x v="6"/>
  </r>
  <r>
    <x v="2"/>
    <x v="5"/>
    <x v="12"/>
    <n v="524"/>
    <x v="6"/>
    <x v="6"/>
  </r>
  <r>
    <x v="2"/>
    <x v="5"/>
    <x v="13"/>
    <n v="177"/>
    <x v="6"/>
    <x v="6"/>
  </r>
  <r>
    <x v="2"/>
    <x v="5"/>
    <x v="14"/>
    <n v="414"/>
    <x v="6"/>
    <x v="6"/>
  </r>
  <r>
    <x v="2"/>
    <x v="5"/>
    <x v="15"/>
    <n v="626"/>
    <x v="6"/>
    <x v="6"/>
  </r>
  <r>
    <x v="2"/>
    <x v="5"/>
    <x v="16"/>
    <n v="335"/>
    <x v="6"/>
    <x v="6"/>
  </r>
  <r>
    <x v="2"/>
    <x v="5"/>
    <x v="17"/>
    <n v="615"/>
    <x v="6"/>
    <x v="6"/>
  </r>
  <r>
    <x v="2"/>
    <x v="5"/>
    <x v="18"/>
    <n v="399"/>
    <x v="6"/>
    <x v="6"/>
  </r>
  <r>
    <x v="2"/>
    <x v="5"/>
    <x v="19"/>
    <n v="90"/>
    <x v="6"/>
    <x v="6"/>
  </r>
  <r>
    <x v="2"/>
    <x v="5"/>
    <x v="20"/>
    <n v="178"/>
    <x v="6"/>
    <x v="6"/>
  </r>
  <r>
    <x v="2"/>
    <x v="5"/>
    <x v="21"/>
    <n v="476"/>
    <x v="6"/>
    <x v="6"/>
  </r>
  <r>
    <x v="2"/>
    <x v="5"/>
    <x v="22"/>
    <n v="378"/>
    <x v="6"/>
    <x v="6"/>
  </r>
  <r>
    <x v="2"/>
    <x v="5"/>
    <x v="23"/>
    <n v="128"/>
    <x v="6"/>
    <x v="6"/>
  </r>
  <r>
    <x v="2"/>
    <x v="5"/>
    <x v="24"/>
    <n v="284"/>
    <x v="6"/>
    <x v="6"/>
  </r>
  <r>
    <x v="2"/>
    <x v="5"/>
    <x v="25"/>
    <n v="371"/>
    <x v="6"/>
    <x v="6"/>
  </r>
  <r>
    <x v="2"/>
    <x v="5"/>
    <x v="26"/>
    <n v="166"/>
    <x v="6"/>
    <x v="6"/>
  </r>
  <r>
    <x v="2"/>
    <x v="5"/>
    <x v="27"/>
    <n v="701"/>
    <x v="6"/>
    <x v="6"/>
  </r>
  <r>
    <x v="2"/>
    <x v="5"/>
    <x v="28"/>
    <n v="480"/>
    <x v="6"/>
    <x v="6"/>
  </r>
  <r>
    <x v="2"/>
    <x v="5"/>
    <x v="29"/>
    <n v="292"/>
    <x v="6"/>
    <x v="6"/>
  </r>
  <r>
    <x v="2"/>
    <x v="5"/>
    <x v="30"/>
    <n v="922"/>
    <x v="6"/>
    <x v="6"/>
  </r>
  <r>
    <x v="2"/>
    <x v="5"/>
    <x v="31"/>
    <n v="130"/>
    <x v="6"/>
    <x v="6"/>
  </r>
  <r>
    <x v="2"/>
    <x v="5"/>
    <x v="32"/>
    <n v="336"/>
    <x v="6"/>
    <x v="6"/>
  </r>
  <r>
    <x v="2"/>
    <x v="5"/>
    <x v="33"/>
    <n v="384"/>
    <x v="6"/>
    <x v="6"/>
  </r>
  <r>
    <x v="2"/>
    <x v="5"/>
    <x v="34"/>
    <n v="344"/>
    <x v="6"/>
    <x v="6"/>
  </r>
  <r>
    <x v="2"/>
    <x v="5"/>
    <x v="35"/>
    <n v="370"/>
    <x v="6"/>
    <x v="6"/>
  </r>
  <r>
    <x v="2"/>
    <x v="5"/>
    <x v="36"/>
    <n v="298"/>
    <x v="6"/>
    <x v="6"/>
  </r>
  <r>
    <x v="2"/>
    <x v="5"/>
    <x v="37"/>
    <n v="290"/>
    <x v="6"/>
    <x v="6"/>
  </r>
  <r>
    <x v="2"/>
    <x v="5"/>
    <x v="38"/>
    <n v="814"/>
    <x v="6"/>
    <x v="6"/>
  </r>
  <r>
    <x v="2"/>
    <x v="5"/>
    <x v="39"/>
    <n v="676"/>
    <x v="6"/>
    <x v="6"/>
  </r>
  <r>
    <x v="2"/>
    <x v="5"/>
    <x v="40"/>
    <n v="592"/>
    <x v="6"/>
    <x v="6"/>
  </r>
  <r>
    <x v="2"/>
    <x v="5"/>
    <x v="41"/>
    <n v="304"/>
    <x v="6"/>
    <x v="6"/>
  </r>
  <r>
    <x v="2"/>
    <x v="5"/>
    <x v="42"/>
    <n v="118"/>
    <x v="6"/>
    <x v="6"/>
  </r>
  <r>
    <x v="2"/>
    <x v="5"/>
    <x v="43"/>
    <n v="1132"/>
    <x v="6"/>
    <x v="6"/>
  </r>
  <r>
    <x v="2"/>
    <x v="5"/>
    <x v="44"/>
    <n v="525"/>
    <x v="6"/>
    <x v="6"/>
  </r>
  <r>
    <x v="2"/>
    <x v="5"/>
    <x v="45"/>
    <n v="742"/>
    <x v="6"/>
    <x v="6"/>
  </r>
  <r>
    <x v="2"/>
    <x v="5"/>
    <x v="46"/>
    <n v="836"/>
    <x v="6"/>
    <x v="6"/>
  </r>
  <r>
    <x v="2"/>
    <x v="5"/>
    <x v="47"/>
    <n v="993"/>
    <x v="6"/>
    <x v="6"/>
  </r>
  <r>
    <x v="2"/>
    <x v="5"/>
    <x v="48"/>
    <n v="347"/>
    <x v="6"/>
    <x v="6"/>
  </r>
  <r>
    <x v="2"/>
    <x v="5"/>
    <x v="49"/>
    <n v="519"/>
    <x v="6"/>
    <x v="6"/>
  </r>
  <r>
    <x v="2"/>
    <x v="5"/>
    <x v="50"/>
    <n v="441"/>
    <x v="6"/>
    <x v="6"/>
  </r>
  <r>
    <x v="2"/>
    <x v="5"/>
    <x v="51"/>
    <n v="188"/>
    <x v="6"/>
    <x v="6"/>
  </r>
  <r>
    <x v="3"/>
    <x v="5"/>
    <x v="0"/>
    <n v="217"/>
    <x v="7"/>
    <x v="7"/>
  </r>
  <r>
    <x v="3"/>
    <x v="5"/>
    <x v="1"/>
    <n v="232"/>
    <x v="7"/>
    <x v="7"/>
  </r>
  <r>
    <x v="3"/>
    <x v="5"/>
    <x v="2"/>
    <n v="78"/>
    <x v="7"/>
    <x v="7"/>
  </r>
  <r>
    <x v="3"/>
    <x v="5"/>
    <x v="3"/>
    <n v="277"/>
    <x v="7"/>
    <x v="7"/>
  </r>
  <r>
    <x v="3"/>
    <x v="5"/>
    <x v="4"/>
    <n v="119"/>
    <x v="7"/>
    <x v="7"/>
  </r>
  <r>
    <x v="3"/>
    <x v="5"/>
    <x v="5"/>
    <n v="318"/>
    <x v="7"/>
    <x v="7"/>
  </r>
  <r>
    <x v="3"/>
    <x v="5"/>
    <x v="6"/>
    <n v="216"/>
    <x v="7"/>
    <x v="7"/>
  </r>
  <r>
    <x v="3"/>
    <x v="5"/>
    <x v="7"/>
    <n v="202"/>
    <x v="7"/>
    <x v="7"/>
  </r>
  <r>
    <x v="3"/>
    <x v="5"/>
    <x v="8"/>
    <n v="165"/>
    <x v="7"/>
    <x v="7"/>
  </r>
  <r>
    <x v="3"/>
    <x v="5"/>
    <x v="9"/>
    <n v="413"/>
    <x v="7"/>
    <x v="7"/>
  </r>
  <r>
    <x v="3"/>
    <x v="5"/>
    <x v="10"/>
    <n v="147"/>
    <x v="7"/>
    <x v="7"/>
  </r>
  <r>
    <x v="3"/>
    <x v="5"/>
    <x v="11"/>
    <n v="334"/>
    <x v="7"/>
    <x v="7"/>
  </r>
  <r>
    <x v="3"/>
    <x v="5"/>
    <x v="12"/>
    <n v="422"/>
    <x v="7"/>
    <x v="7"/>
  </r>
  <r>
    <x v="3"/>
    <x v="5"/>
    <x v="13"/>
    <n v="103"/>
    <x v="7"/>
    <x v="7"/>
  </r>
  <r>
    <x v="3"/>
    <x v="5"/>
    <x v="14"/>
    <n v="527"/>
    <x v="7"/>
    <x v="7"/>
  </r>
  <r>
    <x v="3"/>
    <x v="5"/>
    <x v="15"/>
    <n v="302"/>
    <x v="7"/>
    <x v="7"/>
  </r>
  <r>
    <x v="3"/>
    <x v="5"/>
    <x v="16"/>
    <n v="188"/>
    <x v="7"/>
    <x v="7"/>
  </r>
  <r>
    <x v="3"/>
    <x v="5"/>
    <x v="17"/>
    <n v="238"/>
    <x v="7"/>
    <x v="7"/>
  </r>
  <r>
    <x v="3"/>
    <x v="5"/>
    <x v="18"/>
    <n v="141"/>
    <x v="7"/>
    <x v="7"/>
  </r>
  <r>
    <x v="3"/>
    <x v="5"/>
    <x v="19"/>
    <n v="395"/>
    <x v="7"/>
    <x v="7"/>
  </r>
  <r>
    <x v="3"/>
    <x v="5"/>
    <x v="20"/>
    <n v="211"/>
    <x v="7"/>
    <x v="7"/>
  </r>
  <r>
    <x v="3"/>
    <x v="5"/>
    <x v="21"/>
    <n v="150"/>
    <x v="7"/>
    <x v="7"/>
  </r>
  <r>
    <x v="3"/>
    <x v="5"/>
    <x v="22"/>
    <n v="435"/>
    <x v="7"/>
    <x v="7"/>
  </r>
  <r>
    <x v="3"/>
    <x v="5"/>
    <x v="23"/>
    <n v="269"/>
    <x v="7"/>
    <x v="7"/>
  </r>
  <r>
    <x v="3"/>
    <x v="5"/>
    <x v="24"/>
    <n v="676"/>
    <x v="7"/>
    <x v="7"/>
  </r>
  <r>
    <x v="3"/>
    <x v="5"/>
    <x v="25"/>
    <n v="582"/>
    <x v="7"/>
    <x v="7"/>
  </r>
  <r>
    <x v="3"/>
    <x v="5"/>
    <x v="26"/>
    <n v="276"/>
    <x v="7"/>
    <x v="7"/>
  </r>
  <r>
    <x v="3"/>
    <x v="5"/>
    <x v="27"/>
    <n v="369"/>
    <x v="7"/>
    <x v="7"/>
  </r>
  <r>
    <x v="3"/>
    <x v="5"/>
    <x v="28"/>
    <n v="362"/>
    <x v="7"/>
    <x v="7"/>
  </r>
  <r>
    <x v="3"/>
    <x v="5"/>
    <x v="29"/>
    <n v="478"/>
    <x v="7"/>
    <x v="7"/>
  </r>
  <r>
    <x v="3"/>
    <x v="5"/>
    <x v="30"/>
    <n v="428"/>
    <x v="7"/>
    <x v="7"/>
  </r>
  <r>
    <x v="3"/>
    <x v="5"/>
    <x v="31"/>
    <n v="492"/>
    <x v="7"/>
    <x v="7"/>
  </r>
  <r>
    <x v="3"/>
    <x v="5"/>
    <x v="32"/>
    <n v="355"/>
    <x v="7"/>
    <x v="7"/>
  </r>
  <r>
    <x v="3"/>
    <x v="5"/>
    <x v="33"/>
    <n v="197"/>
    <x v="7"/>
    <x v="7"/>
  </r>
  <r>
    <x v="3"/>
    <x v="5"/>
    <x v="34"/>
    <n v="94"/>
    <x v="7"/>
    <x v="7"/>
  </r>
  <r>
    <x v="3"/>
    <x v="5"/>
    <x v="35"/>
    <n v="152"/>
    <x v="7"/>
    <x v="7"/>
  </r>
  <r>
    <x v="3"/>
    <x v="5"/>
    <x v="36"/>
    <n v="678"/>
    <x v="7"/>
    <x v="7"/>
  </r>
  <r>
    <x v="3"/>
    <x v="5"/>
    <x v="37"/>
    <n v="335"/>
    <x v="7"/>
    <x v="7"/>
  </r>
  <r>
    <x v="3"/>
    <x v="5"/>
    <x v="38"/>
    <n v="306"/>
    <x v="7"/>
    <x v="7"/>
  </r>
  <r>
    <x v="3"/>
    <x v="5"/>
    <x v="39"/>
    <n v="743"/>
    <x v="7"/>
    <x v="7"/>
  </r>
  <r>
    <x v="3"/>
    <x v="5"/>
    <x v="40"/>
    <n v="375"/>
    <x v="7"/>
    <x v="7"/>
  </r>
  <r>
    <x v="3"/>
    <x v="5"/>
    <x v="41"/>
    <n v="270"/>
    <x v="7"/>
    <x v="7"/>
  </r>
  <r>
    <x v="3"/>
    <x v="5"/>
    <x v="42"/>
    <n v="326"/>
    <x v="7"/>
    <x v="7"/>
  </r>
  <r>
    <x v="3"/>
    <x v="5"/>
    <x v="43"/>
    <n v="432"/>
    <x v="7"/>
    <x v="7"/>
  </r>
  <r>
    <x v="3"/>
    <x v="5"/>
    <x v="44"/>
    <n v="600"/>
    <x v="7"/>
    <x v="7"/>
  </r>
  <r>
    <x v="3"/>
    <x v="5"/>
    <x v="45"/>
    <n v="301"/>
    <x v="7"/>
    <x v="7"/>
  </r>
  <r>
    <x v="3"/>
    <x v="5"/>
    <x v="46"/>
    <n v="541"/>
    <x v="7"/>
    <x v="7"/>
  </r>
  <r>
    <x v="3"/>
    <x v="5"/>
    <x v="47"/>
    <n v="274"/>
    <x v="7"/>
    <x v="7"/>
  </r>
  <r>
    <x v="3"/>
    <x v="5"/>
    <x v="48"/>
    <n v="503"/>
    <x v="7"/>
    <x v="7"/>
  </r>
  <r>
    <x v="3"/>
    <x v="5"/>
    <x v="49"/>
    <n v="280"/>
    <x v="7"/>
    <x v="7"/>
  </r>
  <r>
    <x v="3"/>
    <x v="5"/>
    <x v="50"/>
    <n v="219"/>
    <x v="7"/>
    <x v="7"/>
  </r>
  <r>
    <x v="3"/>
    <x v="5"/>
    <x v="51"/>
    <n v="541"/>
    <x v="7"/>
    <x v="7"/>
  </r>
  <r>
    <x v="4"/>
    <x v="3"/>
    <x v="0"/>
    <n v="46"/>
    <x v="7"/>
    <x v="7"/>
  </r>
  <r>
    <x v="4"/>
    <x v="3"/>
    <x v="1"/>
    <n v="72"/>
    <x v="7"/>
    <x v="7"/>
  </r>
  <r>
    <x v="4"/>
    <x v="3"/>
    <x v="2"/>
    <n v="57"/>
    <x v="7"/>
    <x v="7"/>
  </r>
  <r>
    <x v="4"/>
    <x v="3"/>
    <x v="3"/>
    <n v="45"/>
    <x v="7"/>
    <x v="7"/>
  </r>
  <r>
    <x v="4"/>
    <x v="3"/>
    <x v="4"/>
    <n v="32"/>
    <x v="7"/>
    <x v="7"/>
  </r>
  <r>
    <x v="4"/>
    <x v="3"/>
    <x v="5"/>
    <n v="59"/>
    <x v="7"/>
    <x v="7"/>
  </r>
  <r>
    <x v="4"/>
    <x v="3"/>
    <x v="6"/>
    <n v="62"/>
    <x v="7"/>
    <x v="7"/>
  </r>
  <r>
    <x v="4"/>
    <x v="3"/>
    <x v="7"/>
    <n v="46"/>
    <x v="7"/>
    <x v="7"/>
  </r>
  <r>
    <x v="4"/>
    <x v="3"/>
    <x v="8"/>
    <n v="26"/>
    <x v="7"/>
    <x v="7"/>
  </r>
  <r>
    <x v="4"/>
    <x v="3"/>
    <x v="9"/>
    <n v="49"/>
    <x v="7"/>
    <x v="7"/>
  </r>
  <r>
    <x v="4"/>
    <x v="3"/>
    <x v="10"/>
    <n v="104"/>
    <x v="7"/>
    <x v="7"/>
  </r>
  <r>
    <x v="4"/>
    <x v="3"/>
    <x v="11"/>
    <n v="20"/>
    <x v="7"/>
    <x v="7"/>
  </r>
  <r>
    <x v="4"/>
    <x v="3"/>
    <x v="12"/>
    <n v="79"/>
    <x v="7"/>
    <x v="7"/>
  </r>
  <r>
    <x v="4"/>
    <x v="3"/>
    <x v="13"/>
    <n v="118"/>
    <x v="7"/>
    <x v="7"/>
  </r>
  <r>
    <x v="4"/>
    <x v="3"/>
    <x v="14"/>
    <n v="39"/>
    <x v="7"/>
    <x v="7"/>
  </r>
  <r>
    <x v="4"/>
    <x v="3"/>
    <x v="15"/>
    <n v="44"/>
    <x v="7"/>
    <x v="7"/>
  </r>
  <r>
    <x v="4"/>
    <x v="3"/>
    <x v="16"/>
    <n v="76"/>
    <x v="7"/>
    <x v="7"/>
  </r>
  <r>
    <x v="4"/>
    <x v="3"/>
    <x v="17"/>
    <n v="78"/>
    <x v="7"/>
    <x v="7"/>
  </r>
  <r>
    <x v="4"/>
    <x v="3"/>
    <x v="18"/>
    <n v="59"/>
    <x v="7"/>
    <x v="7"/>
  </r>
  <r>
    <x v="4"/>
    <x v="3"/>
    <x v="19"/>
    <n v="39"/>
    <x v="7"/>
    <x v="7"/>
  </r>
  <r>
    <x v="4"/>
    <x v="3"/>
    <x v="20"/>
    <n v="21"/>
    <x v="7"/>
    <x v="7"/>
  </r>
  <r>
    <x v="4"/>
    <x v="3"/>
    <x v="21"/>
    <n v="51"/>
    <x v="7"/>
    <x v="7"/>
  </r>
  <r>
    <x v="4"/>
    <x v="3"/>
    <x v="22"/>
    <n v="64"/>
    <x v="7"/>
    <x v="7"/>
  </r>
  <r>
    <x v="4"/>
    <x v="3"/>
    <x v="23"/>
    <n v="74"/>
    <x v="7"/>
    <x v="7"/>
  </r>
  <r>
    <x v="4"/>
    <x v="3"/>
    <x v="24"/>
    <n v="85"/>
    <x v="7"/>
    <x v="7"/>
  </r>
  <r>
    <x v="4"/>
    <x v="3"/>
    <x v="25"/>
    <n v="99"/>
    <x v="7"/>
    <x v="7"/>
  </r>
  <r>
    <x v="4"/>
    <x v="3"/>
    <x v="26"/>
    <n v="87"/>
    <x v="7"/>
    <x v="7"/>
  </r>
  <r>
    <x v="4"/>
    <x v="3"/>
    <x v="27"/>
    <n v="154"/>
    <x v="7"/>
    <x v="7"/>
  </r>
  <r>
    <x v="4"/>
    <x v="3"/>
    <x v="28"/>
    <n v="90"/>
    <x v="7"/>
    <x v="7"/>
  </r>
  <r>
    <x v="4"/>
    <x v="3"/>
    <x v="29"/>
    <n v="45"/>
    <x v="7"/>
    <x v="7"/>
  </r>
  <r>
    <x v="4"/>
    <x v="3"/>
    <x v="30"/>
    <n v="85"/>
    <x v="7"/>
    <x v="7"/>
  </r>
  <r>
    <x v="4"/>
    <x v="3"/>
    <x v="31"/>
    <n v="87"/>
    <x v="7"/>
    <x v="7"/>
  </r>
  <r>
    <x v="4"/>
    <x v="3"/>
    <x v="32"/>
    <n v="67"/>
    <x v="7"/>
    <x v="7"/>
  </r>
  <r>
    <x v="4"/>
    <x v="3"/>
    <x v="33"/>
    <n v="93"/>
    <x v="7"/>
    <x v="7"/>
  </r>
  <r>
    <x v="4"/>
    <x v="3"/>
    <x v="34"/>
    <n v="58"/>
    <x v="7"/>
    <x v="7"/>
  </r>
  <r>
    <x v="4"/>
    <x v="3"/>
    <x v="35"/>
    <n v="121"/>
    <x v="7"/>
    <x v="7"/>
  </r>
  <r>
    <x v="4"/>
    <x v="3"/>
    <x v="36"/>
    <n v="25"/>
    <x v="7"/>
    <x v="7"/>
  </r>
  <r>
    <x v="4"/>
    <x v="3"/>
    <x v="37"/>
    <n v="49"/>
    <x v="7"/>
    <x v="7"/>
  </r>
  <r>
    <x v="4"/>
    <x v="3"/>
    <x v="38"/>
    <n v="94"/>
    <x v="7"/>
    <x v="7"/>
  </r>
  <r>
    <x v="4"/>
    <x v="3"/>
    <x v="39"/>
    <n v="113"/>
    <x v="7"/>
    <x v="7"/>
  </r>
  <r>
    <x v="4"/>
    <x v="3"/>
    <x v="40"/>
    <n v="170"/>
    <x v="7"/>
    <x v="7"/>
  </r>
  <r>
    <x v="4"/>
    <x v="3"/>
    <x v="41"/>
    <n v="146"/>
    <x v="7"/>
    <x v="7"/>
  </r>
  <r>
    <x v="4"/>
    <x v="3"/>
    <x v="42"/>
    <n v="81"/>
    <x v="7"/>
    <x v="7"/>
  </r>
  <r>
    <x v="4"/>
    <x v="3"/>
    <x v="43"/>
    <n v="73"/>
    <x v="7"/>
    <x v="7"/>
  </r>
  <r>
    <x v="4"/>
    <x v="3"/>
    <x v="44"/>
    <n v="114"/>
    <x v="7"/>
    <x v="7"/>
  </r>
  <r>
    <x v="4"/>
    <x v="3"/>
    <x v="45"/>
    <n v="38"/>
    <x v="7"/>
    <x v="7"/>
  </r>
  <r>
    <x v="4"/>
    <x v="3"/>
    <x v="46"/>
    <n v="50"/>
    <x v="7"/>
    <x v="7"/>
  </r>
  <r>
    <x v="4"/>
    <x v="3"/>
    <x v="47"/>
    <n v="46"/>
    <x v="7"/>
    <x v="7"/>
  </r>
  <r>
    <x v="4"/>
    <x v="3"/>
    <x v="48"/>
    <n v="52"/>
    <x v="7"/>
    <x v="7"/>
  </r>
  <r>
    <x v="4"/>
    <x v="3"/>
    <x v="49"/>
    <n v="129"/>
    <x v="7"/>
    <x v="7"/>
  </r>
  <r>
    <x v="4"/>
    <x v="3"/>
    <x v="50"/>
    <n v="196"/>
    <x v="7"/>
    <x v="7"/>
  </r>
  <r>
    <x v="4"/>
    <x v="3"/>
    <x v="51"/>
    <n v="96"/>
    <x v="7"/>
    <x v="7"/>
  </r>
  <r>
    <x v="5"/>
    <x v="4"/>
    <x v="0"/>
    <n v="36"/>
    <x v="7"/>
    <x v="7"/>
  </r>
  <r>
    <x v="5"/>
    <x v="4"/>
    <x v="1"/>
    <n v="20"/>
    <x v="7"/>
    <x v="7"/>
  </r>
  <r>
    <x v="5"/>
    <x v="4"/>
    <x v="2"/>
    <n v="30"/>
    <x v="7"/>
    <x v="7"/>
  </r>
  <r>
    <x v="5"/>
    <x v="4"/>
    <x v="3"/>
    <n v="25"/>
    <x v="7"/>
    <x v="7"/>
  </r>
  <r>
    <x v="5"/>
    <x v="4"/>
    <x v="4"/>
    <n v="15"/>
    <x v="7"/>
    <x v="7"/>
  </r>
  <r>
    <x v="5"/>
    <x v="4"/>
    <x v="5"/>
    <n v="15"/>
    <x v="7"/>
    <x v="7"/>
  </r>
  <r>
    <x v="5"/>
    <x v="4"/>
    <x v="6"/>
    <n v="34"/>
    <x v="7"/>
    <x v="7"/>
  </r>
  <r>
    <x v="5"/>
    <x v="4"/>
    <x v="7"/>
    <n v="30"/>
    <x v="7"/>
    <x v="7"/>
  </r>
  <r>
    <x v="5"/>
    <x v="4"/>
    <x v="8"/>
    <n v="29"/>
    <x v="7"/>
    <x v="7"/>
  </r>
  <r>
    <x v="5"/>
    <x v="4"/>
    <x v="9"/>
    <n v="11"/>
    <x v="7"/>
    <x v="7"/>
  </r>
  <r>
    <x v="5"/>
    <x v="4"/>
    <x v="10"/>
    <n v="49"/>
    <x v="7"/>
    <x v="7"/>
  </r>
  <r>
    <x v="5"/>
    <x v="4"/>
    <x v="11"/>
    <n v="11"/>
    <x v="7"/>
    <x v="7"/>
  </r>
  <r>
    <x v="5"/>
    <x v="4"/>
    <x v="12"/>
    <n v="14"/>
    <x v="7"/>
    <x v="7"/>
  </r>
  <r>
    <x v="5"/>
    <x v="4"/>
    <x v="13"/>
    <n v="34"/>
    <x v="7"/>
    <x v="7"/>
  </r>
  <r>
    <x v="5"/>
    <x v="4"/>
    <x v="14"/>
    <n v="49"/>
    <x v="7"/>
    <x v="7"/>
  </r>
  <r>
    <x v="5"/>
    <x v="4"/>
    <x v="15"/>
    <n v="41"/>
    <x v="7"/>
    <x v="7"/>
  </r>
  <r>
    <x v="5"/>
    <x v="4"/>
    <x v="16"/>
    <n v="25"/>
    <x v="7"/>
    <x v="7"/>
  </r>
  <r>
    <x v="5"/>
    <x v="4"/>
    <x v="17"/>
    <n v="15"/>
    <x v="7"/>
    <x v="7"/>
  </r>
  <r>
    <x v="5"/>
    <x v="4"/>
    <x v="18"/>
    <n v="55"/>
    <x v="7"/>
    <x v="7"/>
  </r>
  <r>
    <x v="5"/>
    <x v="4"/>
    <x v="19"/>
    <n v="25"/>
    <x v="7"/>
    <x v="7"/>
  </r>
  <r>
    <x v="5"/>
    <x v="4"/>
    <x v="20"/>
    <n v="53"/>
    <x v="7"/>
    <x v="7"/>
  </r>
  <r>
    <x v="5"/>
    <x v="4"/>
    <x v="21"/>
    <n v="13"/>
    <x v="7"/>
    <x v="7"/>
  </r>
  <r>
    <x v="5"/>
    <x v="4"/>
    <x v="22"/>
    <n v="17"/>
    <x v="7"/>
    <x v="7"/>
  </r>
  <r>
    <x v="5"/>
    <x v="4"/>
    <x v="23"/>
    <n v="23"/>
    <x v="7"/>
    <x v="7"/>
  </r>
  <r>
    <x v="5"/>
    <x v="4"/>
    <x v="24"/>
    <n v="43"/>
    <x v="7"/>
    <x v="7"/>
  </r>
  <r>
    <x v="5"/>
    <x v="4"/>
    <x v="25"/>
    <n v="39"/>
    <x v="7"/>
    <x v="7"/>
  </r>
  <r>
    <x v="5"/>
    <x v="4"/>
    <x v="26"/>
    <n v="14"/>
    <x v="7"/>
    <x v="7"/>
  </r>
  <r>
    <x v="5"/>
    <x v="4"/>
    <x v="27"/>
    <n v="33"/>
    <x v="7"/>
    <x v="7"/>
  </r>
  <r>
    <x v="5"/>
    <x v="4"/>
    <x v="28"/>
    <n v="30"/>
    <x v="7"/>
    <x v="7"/>
  </r>
  <r>
    <x v="5"/>
    <x v="4"/>
    <x v="29"/>
    <n v="51"/>
    <x v="7"/>
    <x v="7"/>
  </r>
  <r>
    <x v="5"/>
    <x v="4"/>
    <x v="30"/>
    <n v="18"/>
    <x v="7"/>
    <x v="7"/>
  </r>
  <r>
    <x v="5"/>
    <x v="4"/>
    <x v="31"/>
    <n v="17"/>
    <x v="7"/>
    <x v="7"/>
  </r>
  <r>
    <x v="5"/>
    <x v="4"/>
    <x v="32"/>
    <n v="15"/>
    <x v="7"/>
    <x v="7"/>
  </r>
  <r>
    <x v="5"/>
    <x v="4"/>
    <x v="33"/>
    <n v="49"/>
    <x v="7"/>
    <x v="7"/>
  </r>
  <r>
    <x v="5"/>
    <x v="4"/>
    <x v="34"/>
    <n v="75"/>
    <x v="7"/>
    <x v="7"/>
  </r>
  <r>
    <x v="5"/>
    <x v="4"/>
    <x v="35"/>
    <n v="40"/>
    <x v="7"/>
    <x v="7"/>
  </r>
  <r>
    <x v="5"/>
    <x v="4"/>
    <x v="36"/>
    <n v="31"/>
    <x v="7"/>
    <x v="7"/>
  </r>
  <r>
    <x v="5"/>
    <x v="4"/>
    <x v="37"/>
    <n v="15"/>
    <x v="7"/>
    <x v="7"/>
  </r>
  <r>
    <x v="5"/>
    <x v="4"/>
    <x v="38"/>
    <n v="16"/>
    <x v="7"/>
    <x v="7"/>
  </r>
  <r>
    <x v="5"/>
    <x v="4"/>
    <x v="39"/>
    <n v="44"/>
    <x v="7"/>
    <x v="7"/>
  </r>
  <r>
    <x v="5"/>
    <x v="4"/>
    <x v="40"/>
    <n v="51"/>
    <x v="7"/>
    <x v="7"/>
  </r>
  <r>
    <x v="5"/>
    <x v="4"/>
    <x v="41"/>
    <n v="27"/>
    <x v="7"/>
    <x v="7"/>
  </r>
  <r>
    <x v="5"/>
    <x v="4"/>
    <x v="42"/>
    <n v="40"/>
    <x v="7"/>
    <x v="7"/>
  </r>
  <r>
    <x v="5"/>
    <x v="4"/>
    <x v="43"/>
    <n v="85"/>
    <x v="7"/>
    <x v="7"/>
  </r>
  <r>
    <x v="5"/>
    <x v="4"/>
    <x v="44"/>
    <n v="48"/>
    <x v="7"/>
    <x v="7"/>
  </r>
  <r>
    <x v="5"/>
    <x v="4"/>
    <x v="45"/>
    <n v="77"/>
    <x v="7"/>
    <x v="7"/>
  </r>
  <r>
    <x v="5"/>
    <x v="4"/>
    <x v="46"/>
    <n v="60"/>
    <x v="7"/>
    <x v="7"/>
  </r>
  <r>
    <x v="5"/>
    <x v="4"/>
    <x v="47"/>
    <n v="39"/>
    <x v="7"/>
    <x v="7"/>
  </r>
  <r>
    <x v="5"/>
    <x v="4"/>
    <x v="48"/>
    <n v="31"/>
    <x v="7"/>
    <x v="7"/>
  </r>
  <r>
    <x v="5"/>
    <x v="4"/>
    <x v="49"/>
    <n v="14"/>
    <x v="7"/>
    <x v="7"/>
  </r>
  <r>
    <x v="5"/>
    <x v="4"/>
    <x v="50"/>
    <n v="28"/>
    <x v="7"/>
    <x v="7"/>
  </r>
  <r>
    <x v="5"/>
    <x v="4"/>
    <x v="51"/>
    <n v="33"/>
    <x v="7"/>
    <x v="7"/>
  </r>
  <r>
    <x v="0"/>
    <x v="4"/>
    <x v="0"/>
    <n v="238"/>
    <x v="8"/>
    <x v="8"/>
  </r>
  <r>
    <x v="0"/>
    <x v="4"/>
    <x v="1"/>
    <n v="268"/>
    <x v="8"/>
    <x v="8"/>
  </r>
  <r>
    <x v="0"/>
    <x v="4"/>
    <x v="2"/>
    <n v="169"/>
    <x v="8"/>
    <x v="8"/>
  </r>
  <r>
    <x v="0"/>
    <x v="4"/>
    <x v="3"/>
    <n v="319"/>
    <x v="8"/>
    <x v="8"/>
  </r>
  <r>
    <x v="0"/>
    <x v="4"/>
    <x v="4"/>
    <n v="209"/>
    <x v="8"/>
    <x v="8"/>
  </r>
  <r>
    <x v="0"/>
    <x v="4"/>
    <x v="5"/>
    <n v="433"/>
    <x v="8"/>
    <x v="8"/>
  </r>
  <r>
    <x v="0"/>
    <x v="4"/>
    <x v="6"/>
    <n v="76"/>
    <x v="8"/>
    <x v="8"/>
  </r>
  <r>
    <x v="0"/>
    <x v="4"/>
    <x v="7"/>
    <n v="163"/>
    <x v="8"/>
    <x v="8"/>
  </r>
  <r>
    <x v="0"/>
    <x v="4"/>
    <x v="8"/>
    <n v="302"/>
    <x v="8"/>
    <x v="8"/>
  </r>
  <r>
    <x v="0"/>
    <x v="4"/>
    <x v="9"/>
    <n v="369"/>
    <x v="8"/>
    <x v="8"/>
  </r>
  <r>
    <x v="0"/>
    <x v="4"/>
    <x v="10"/>
    <n v="112"/>
    <x v="8"/>
    <x v="8"/>
  </r>
  <r>
    <x v="0"/>
    <x v="4"/>
    <x v="11"/>
    <n v="299"/>
    <x v="8"/>
    <x v="8"/>
  </r>
  <r>
    <x v="0"/>
    <x v="4"/>
    <x v="12"/>
    <n v="103"/>
    <x v="8"/>
    <x v="8"/>
  </r>
  <r>
    <x v="0"/>
    <x v="4"/>
    <x v="13"/>
    <n v="166"/>
    <x v="8"/>
    <x v="8"/>
  </r>
  <r>
    <x v="0"/>
    <x v="4"/>
    <x v="14"/>
    <n v="462"/>
    <x v="8"/>
    <x v="8"/>
  </r>
  <r>
    <x v="0"/>
    <x v="4"/>
    <x v="15"/>
    <n v="267"/>
    <x v="8"/>
    <x v="8"/>
  </r>
  <r>
    <x v="0"/>
    <x v="4"/>
    <x v="16"/>
    <n v="537"/>
    <x v="8"/>
    <x v="8"/>
  </r>
  <r>
    <x v="0"/>
    <x v="4"/>
    <x v="17"/>
    <n v="160"/>
    <x v="8"/>
    <x v="8"/>
  </r>
  <r>
    <x v="0"/>
    <x v="4"/>
    <x v="18"/>
    <n v="462"/>
    <x v="8"/>
    <x v="8"/>
  </r>
  <r>
    <x v="0"/>
    <x v="4"/>
    <x v="19"/>
    <n v="594"/>
    <x v="8"/>
    <x v="8"/>
  </r>
  <r>
    <x v="0"/>
    <x v="4"/>
    <x v="20"/>
    <n v="262"/>
    <x v="8"/>
    <x v="8"/>
  </r>
  <r>
    <x v="0"/>
    <x v="4"/>
    <x v="21"/>
    <n v="500"/>
    <x v="8"/>
    <x v="8"/>
  </r>
  <r>
    <x v="0"/>
    <x v="4"/>
    <x v="22"/>
    <n v="196"/>
    <x v="8"/>
    <x v="8"/>
  </r>
  <r>
    <x v="0"/>
    <x v="4"/>
    <x v="23"/>
    <n v="737"/>
    <x v="8"/>
    <x v="8"/>
  </r>
  <r>
    <x v="0"/>
    <x v="4"/>
    <x v="24"/>
    <n v="332"/>
    <x v="8"/>
    <x v="8"/>
  </r>
  <r>
    <x v="0"/>
    <x v="4"/>
    <x v="25"/>
    <n v="273"/>
    <x v="8"/>
    <x v="8"/>
  </r>
  <r>
    <x v="0"/>
    <x v="4"/>
    <x v="26"/>
    <n v="362"/>
    <x v="8"/>
    <x v="8"/>
  </r>
  <r>
    <x v="0"/>
    <x v="4"/>
    <x v="27"/>
    <n v="525"/>
    <x v="8"/>
    <x v="8"/>
  </r>
  <r>
    <x v="0"/>
    <x v="4"/>
    <x v="28"/>
    <n v="422"/>
    <x v="8"/>
    <x v="8"/>
  </r>
  <r>
    <x v="0"/>
    <x v="4"/>
    <x v="29"/>
    <n v="702"/>
    <x v="8"/>
    <x v="8"/>
  </r>
  <r>
    <x v="0"/>
    <x v="4"/>
    <x v="30"/>
    <n v="341"/>
    <x v="8"/>
    <x v="8"/>
  </r>
  <r>
    <x v="0"/>
    <x v="4"/>
    <x v="31"/>
    <n v="261"/>
    <x v="8"/>
    <x v="8"/>
  </r>
  <r>
    <x v="0"/>
    <x v="4"/>
    <x v="32"/>
    <n v="235"/>
    <x v="8"/>
    <x v="8"/>
  </r>
  <r>
    <x v="0"/>
    <x v="4"/>
    <x v="33"/>
    <n v="378"/>
    <x v="8"/>
    <x v="8"/>
  </r>
  <r>
    <x v="0"/>
    <x v="4"/>
    <x v="34"/>
    <n v="980"/>
    <x v="8"/>
    <x v="8"/>
  </r>
  <r>
    <x v="0"/>
    <x v="4"/>
    <x v="35"/>
    <n v="599"/>
    <x v="8"/>
    <x v="8"/>
  </r>
  <r>
    <x v="0"/>
    <x v="4"/>
    <x v="36"/>
    <n v="323"/>
    <x v="8"/>
    <x v="8"/>
  </r>
  <r>
    <x v="0"/>
    <x v="4"/>
    <x v="37"/>
    <n v="464"/>
    <x v="8"/>
    <x v="8"/>
  </r>
  <r>
    <x v="0"/>
    <x v="4"/>
    <x v="38"/>
    <n v="97"/>
    <x v="8"/>
    <x v="8"/>
  </r>
  <r>
    <x v="0"/>
    <x v="4"/>
    <x v="39"/>
    <n v="274"/>
    <x v="8"/>
    <x v="8"/>
  </r>
  <r>
    <x v="0"/>
    <x v="4"/>
    <x v="40"/>
    <n v="295"/>
    <x v="8"/>
    <x v="8"/>
  </r>
  <r>
    <x v="0"/>
    <x v="4"/>
    <x v="41"/>
    <n v="505"/>
    <x v="8"/>
    <x v="8"/>
  </r>
  <r>
    <x v="0"/>
    <x v="4"/>
    <x v="42"/>
    <n v="302"/>
    <x v="8"/>
    <x v="8"/>
  </r>
  <r>
    <x v="0"/>
    <x v="4"/>
    <x v="43"/>
    <n v="922"/>
    <x v="8"/>
    <x v="8"/>
  </r>
  <r>
    <x v="0"/>
    <x v="4"/>
    <x v="44"/>
    <n v="198"/>
    <x v="8"/>
    <x v="8"/>
  </r>
  <r>
    <x v="0"/>
    <x v="4"/>
    <x v="45"/>
    <n v="371"/>
    <x v="8"/>
    <x v="8"/>
  </r>
  <r>
    <x v="0"/>
    <x v="4"/>
    <x v="46"/>
    <n v="333"/>
    <x v="8"/>
    <x v="8"/>
  </r>
  <r>
    <x v="0"/>
    <x v="4"/>
    <x v="47"/>
    <n v="829"/>
    <x v="8"/>
    <x v="8"/>
  </r>
  <r>
    <x v="0"/>
    <x v="4"/>
    <x v="48"/>
    <n v="401"/>
    <x v="8"/>
    <x v="8"/>
  </r>
  <r>
    <x v="0"/>
    <x v="4"/>
    <x v="49"/>
    <n v="359"/>
    <x v="8"/>
    <x v="8"/>
  </r>
  <r>
    <x v="0"/>
    <x v="4"/>
    <x v="50"/>
    <n v="777"/>
    <x v="8"/>
    <x v="8"/>
  </r>
  <r>
    <x v="0"/>
    <x v="4"/>
    <x v="51"/>
    <n v="574"/>
    <x v="8"/>
    <x v="8"/>
  </r>
  <r>
    <x v="1"/>
    <x v="5"/>
    <x v="0"/>
    <n v="153"/>
    <x v="8"/>
    <x v="8"/>
  </r>
  <r>
    <x v="1"/>
    <x v="5"/>
    <x v="1"/>
    <n v="396"/>
    <x v="8"/>
    <x v="8"/>
  </r>
  <r>
    <x v="1"/>
    <x v="5"/>
    <x v="2"/>
    <n v="412"/>
    <x v="8"/>
    <x v="8"/>
  </r>
  <r>
    <x v="1"/>
    <x v="5"/>
    <x v="3"/>
    <n v="300"/>
    <x v="8"/>
    <x v="8"/>
  </r>
  <r>
    <x v="1"/>
    <x v="5"/>
    <x v="4"/>
    <n v="343"/>
    <x v="8"/>
    <x v="8"/>
  </r>
  <r>
    <x v="1"/>
    <x v="5"/>
    <x v="5"/>
    <n v="565"/>
    <x v="8"/>
    <x v="8"/>
  </r>
  <r>
    <x v="1"/>
    <x v="5"/>
    <x v="6"/>
    <n v="524"/>
    <x v="8"/>
    <x v="8"/>
  </r>
  <r>
    <x v="1"/>
    <x v="5"/>
    <x v="7"/>
    <n v="521"/>
    <x v="8"/>
    <x v="8"/>
  </r>
  <r>
    <x v="1"/>
    <x v="5"/>
    <x v="8"/>
    <n v="270"/>
    <x v="8"/>
    <x v="8"/>
  </r>
  <r>
    <x v="1"/>
    <x v="5"/>
    <x v="9"/>
    <n v="245"/>
    <x v="8"/>
    <x v="8"/>
  </r>
  <r>
    <x v="1"/>
    <x v="5"/>
    <x v="10"/>
    <n v="393"/>
    <x v="8"/>
    <x v="8"/>
  </r>
  <r>
    <x v="1"/>
    <x v="5"/>
    <x v="11"/>
    <n v="184"/>
    <x v="8"/>
    <x v="8"/>
  </r>
  <r>
    <x v="1"/>
    <x v="5"/>
    <x v="12"/>
    <n v="346"/>
    <x v="8"/>
    <x v="8"/>
  </r>
  <r>
    <x v="1"/>
    <x v="5"/>
    <x v="13"/>
    <n v="494"/>
    <x v="8"/>
    <x v="8"/>
  </r>
  <r>
    <x v="1"/>
    <x v="5"/>
    <x v="14"/>
    <n v="460"/>
    <x v="8"/>
    <x v="8"/>
  </r>
  <r>
    <x v="1"/>
    <x v="5"/>
    <x v="15"/>
    <n v="429"/>
    <x v="8"/>
    <x v="8"/>
  </r>
  <r>
    <x v="1"/>
    <x v="5"/>
    <x v="16"/>
    <n v="309"/>
    <x v="8"/>
    <x v="8"/>
  </r>
  <r>
    <x v="1"/>
    <x v="5"/>
    <x v="17"/>
    <n v="170"/>
    <x v="8"/>
    <x v="8"/>
  </r>
  <r>
    <x v="1"/>
    <x v="5"/>
    <x v="18"/>
    <n v="264"/>
    <x v="8"/>
    <x v="8"/>
  </r>
  <r>
    <x v="1"/>
    <x v="5"/>
    <x v="19"/>
    <n v="510"/>
    <x v="8"/>
    <x v="8"/>
  </r>
  <r>
    <x v="1"/>
    <x v="5"/>
    <x v="20"/>
    <n v="588"/>
    <x v="8"/>
    <x v="8"/>
  </r>
  <r>
    <x v="1"/>
    <x v="5"/>
    <x v="21"/>
    <n v="458"/>
    <x v="8"/>
    <x v="8"/>
  </r>
  <r>
    <x v="1"/>
    <x v="5"/>
    <x v="22"/>
    <n v="262"/>
    <x v="8"/>
    <x v="8"/>
  </r>
  <r>
    <x v="1"/>
    <x v="5"/>
    <x v="23"/>
    <n v="377"/>
    <x v="8"/>
    <x v="8"/>
  </r>
  <r>
    <x v="1"/>
    <x v="5"/>
    <x v="24"/>
    <n v="592"/>
    <x v="8"/>
    <x v="8"/>
  </r>
  <r>
    <x v="1"/>
    <x v="5"/>
    <x v="25"/>
    <n v="459"/>
    <x v="8"/>
    <x v="8"/>
  </r>
  <r>
    <x v="1"/>
    <x v="5"/>
    <x v="26"/>
    <n v="520"/>
    <x v="8"/>
    <x v="8"/>
  </r>
  <r>
    <x v="1"/>
    <x v="5"/>
    <x v="27"/>
    <n v="520"/>
    <x v="8"/>
    <x v="8"/>
  </r>
  <r>
    <x v="1"/>
    <x v="5"/>
    <x v="28"/>
    <n v="236"/>
    <x v="8"/>
    <x v="8"/>
  </r>
  <r>
    <x v="1"/>
    <x v="5"/>
    <x v="29"/>
    <n v="886"/>
    <x v="8"/>
    <x v="8"/>
  </r>
  <r>
    <x v="1"/>
    <x v="5"/>
    <x v="30"/>
    <n v="757"/>
    <x v="8"/>
    <x v="8"/>
  </r>
  <r>
    <x v="1"/>
    <x v="5"/>
    <x v="31"/>
    <n v="275"/>
    <x v="8"/>
    <x v="8"/>
  </r>
  <r>
    <x v="1"/>
    <x v="5"/>
    <x v="32"/>
    <n v="206"/>
    <x v="8"/>
    <x v="8"/>
  </r>
  <r>
    <x v="1"/>
    <x v="5"/>
    <x v="33"/>
    <n v="413"/>
    <x v="8"/>
    <x v="8"/>
  </r>
  <r>
    <x v="1"/>
    <x v="5"/>
    <x v="34"/>
    <n v="498"/>
    <x v="8"/>
    <x v="8"/>
  </r>
  <r>
    <x v="1"/>
    <x v="5"/>
    <x v="35"/>
    <n v="943"/>
    <x v="8"/>
    <x v="8"/>
  </r>
  <r>
    <x v="1"/>
    <x v="5"/>
    <x v="36"/>
    <n v="196"/>
    <x v="8"/>
    <x v="8"/>
  </r>
  <r>
    <x v="1"/>
    <x v="5"/>
    <x v="37"/>
    <n v="614"/>
    <x v="8"/>
    <x v="8"/>
  </r>
  <r>
    <x v="1"/>
    <x v="5"/>
    <x v="38"/>
    <n v="645"/>
    <x v="8"/>
    <x v="8"/>
  </r>
  <r>
    <x v="1"/>
    <x v="5"/>
    <x v="39"/>
    <n v="1444"/>
    <x v="8"/>
    <x v="8"/>
  </r>
  <r>
    <x v="1"/>
    <x v="5"/>
    <x v="40"/>
    <n v="314"/>
    <x v="8"/>
    <x v="8"/>
  </r>
  <r>
    <x v="1"/>
    <x v="5"/>
    <x v="41"/>
    <n v="155"/>
    <x v="8"/>
    <x v="8"/>
  </r>
  <r>
    <x v="1"/>
    <x v="5"/>
    <x v="42"/>
    <n v="151"/>
    <x v="8"/>
    <x v="8"/>
  </r>
  <r>
    <x v="1"/>
    <x v="5"/>
    <x v="43"/>
    <n v="291"/>
    <x v="8"/>
    <x v="8"/>
  </r>
  <r>
    <x v="1"/>
    <x v="5"/>
    <x v="44"/>
    <n v="451"/>
    <x v="8"/>
    <x v="8"/>
  </r>
  <r>
    <x v="1"/>
    <x v="5"/>
    <x v="45"/>
    <n v="1221"/>
    <x v="8"/>
    <x v="8"/>
  </r>
  <r>
    <x v="1"/>
    <x v="5"/>
    <x v="46"/>
    <n v="1650"/>
    <x v="8"/>
    <x v="8"/>
  </r>
  <r>
    <x v="1"/>
    <x v="5"/>
    <x v="47"/>
    <n v="673"/>
    <x v="8"/>
    <x v="8"/>
  </r>
  <r>
    <x v="1"/>
    <x v="5"/>
    <x v="48"/>
    <n v="318"/>
    <x v="8"/>
    <x v="8"/>
  </r>
  <r>
    <x v="1"/>
    <x v="5"/>
    <x v="49"/>
    <n v="589"/>
    <x v="8"/>
    <x v="8"/>
  </r>
  <r>
    <x v="1"/>
    <x v="5"/>
    <x v="50"/>
    <n v="141"/>
    <x v="8"/>
    <x v="8"/>
  </r>
  <r>
    <x v="1"/>
    <x v="5"/>
    <x v="51"/>
    <n v="1592"/>
    <x v="8"/>
    <x v="8"/>
  </r>
  <r>
    <x v="4"/>
    <x v="4"/>
    <x v="0"/>
    <n v="405"/>
    <x v="9"/>
    <x v="9"/>
  </r>
  <r>
    <x v="4"/>
    <x v="4"/>
    <x v="1"/>
    <n v="170"/>
    <x v="9"/>
    <x v="9"/>
  </r>
  <r>
    <x v="4"/>
    <x v="4"/>
    <x v="2"/>
    <n v="337"/>
    <x v="9"/>
    <x v="9"/>
  </r>
  <r>
    <x v="4"/>
    <x v="4"/>
    <x v="3"/>
    <n v="480"/>
    <x v="9"/>
    <x v="9"/>
  </r>
  <r>
    <x v="4"/>
    <x v="4"/>
    <x v="4"/>
    <n v="394"/>
    <x v="9"/>
    <x v="9"/>
  </r>
  <r>
    <x v="4"/>
    <x v="4"/>
    <x v="5"/>
    <n v="366"/>
    <x v="9"/>
    <x v="9"/>
  </r>
  <r>
    <x v="4"/>
    <x v="4"/>
    <x v="6"/>
    <n v="87"/>
    <x v="9"/>
    <x v="9"/>
  </r>
  <r>
    <x v="4"/>
    <x v="4"/>
    <x v="7"/>
    <n v="561"/>
    <x v="9"/>
    <x v="9"/>
  </r>
  <r>
    <x v="4"/>
    <x v="4"/>
    <x v="8"/>
    <n v="368"/>
    <x v="9"/>
    <x v="9"/>
  </r>
  <r>
    <x v="4"/>
    <x v="4"/>
    <x v="9"/>
    <n v="359"/>
    <x v="9"/>
    <x v="9"/>
  </r>
  <r>
    <x v="4"/>
    <x v="4"/>
    <x v="10"/>
    <n v="245"/>
    <x v="9"/>
    <x v="9"/>
  </r>
  <r>
    <x v="4"/>
    <x v="4"/>
    <x v="11"/>
    <n v="298"/>
    <x v="9"/>
    <x v="9"/>
  </r>
  <r>
    <x v="4"/>
    <x v="4"/>
    <x v="12"/>
    <n v="595"/>
    <x v="9"/>
    <x v="9"/>
  </r>
  <r>
    <x v="4"/>
    <x v="4"/>
    <x v="13"/>
    <n v="336"/>
    <x v="9"/>
    <x v="9"/>
  </r>
  <r>
    <x v="4"/>
    <x v="4"/>
    <x v="14"/>
    <n v="338"/>
    <x v="9"/>
    <x v="9"/>
  </r>
  <r>
    <x v="4"/>
    <x v="4"/>
    <x v="15"/>
    <n v="349"/>
    <x v="9"/>
    <x v="9"/>
  </r>
  <r>
    <x v="4"/>
    <x v="4"/>
    <x v="16"/>
    <n v="510"/>
    <x v="9"/>
    <x v="9"/>
  </r>
  <r>
    <x v="4"/>
    <x v="4"/>
    <x v="17"/>
    <n v="456"/>
    <x v="9"/>
    <x v="9"/>
  </r>
  <r>
    <x v="4"/>
    <x v="4"/>
    <x v="18"/>
    <n v="141"/>
    <x v="9"/>
    <x v="9"/>
  </r>
  <r>
    <x v="4"/>
    <x v="4"/>
    <x v="19"/>
    <n v="494"/>
    <x v="9"/>
    <x v="9"/>
  </r>
  <r>
    <x v="4"/>
    <x v="4"/>
    <x v="20"/>
    <n v="276"/>
    <x v="9"/>
    <x v="9"/>
  </r>
  <r>
    <x v="4"/>
    <x v="4"/>
    <x v="21"/>
    <n v="222"/>
    <x v="9"/>
    <x v="9"/>
  </r>
  <r>
    <x v="4"/>
    <x v="4"/>
    <x v="22"/>
    <n v="232"/>
    <x v="9"/>
    <x v="9"/>
  </r>
  <r>
    <x v="4"/>
    <x v="4"/>
    <x v="23"/>
    <n v="137"/>
    <x v="9"/>
    <x v="9"/>
  </r>
  <r>
    <x v="4"/>
    <x v="4"/>
    <x v="24"/>
    <n v="303"/>
    <x v="9"/>
    <x v="9"/>
  </r>
  <r>
    <x v="4"/>
    <x v="4"/>
    <x v="25"/>
    <n v="320"/>
    <x v="9"/>
    <x v="9"/>
  </r>
  <r>
    <x v="4"/>
    <x v="4"/>
    <x v="26"/>
    <n v="286"/>
    <x v="9"/>
    <x v="9"/>
  </r>
  <r>
    <x v="4"/>
    <x v="4"/>
    <x v="27"/>
    <n v="260"/>
    <x v="9"/>
    <x v="9"/>
  </r>
  <r>
    <x v="4"/>
    <x v="4"/>
    <x v="28"/>
    <n v="227"/>
    <x v="9"/>
    <x v="9"/>
  </r>
  <r>
    <x v="4"/>
    <x v="4"/>
    <x v="29"/>
    <n v="994"/>
    <x v="9"/>
    <x v="9"/>
  </r>
  <r>
    <x v="4"/>
    <x v="4"/>
    <x v="30"/>
    <n v="395"/>
    <x v="9"/>
    <x v="9"/>
  </r>
  <r>
    <x v="4"/>
    <x v="4"/>
    <x v="31"/>
    <n v="840"/>
    <x v="9"/>
    <x v="9"/>
  </r>
  <r>
    <x v="4"/>
    <x v="4"/>
    <x v="32"/>
    <n v="303"/>
    <x v="9"/>
    <x v="9"/>
  </r>
  <r>
    <x v="4"/>
    <x v="4"/>
    <x v="33"/>
    <n v="432"/>
    <x v="9"/>
    <x v="9"/>
  </r>
  <r>
    <x v="4"/>
    <x v="4"/>
    <x v="34"/>
    <n v="280"/>
    <x v="9"/>
    <x v="9"/>
  </r>
  <r>
    <x v="4"/>
    <x v="4"/>
    <x v="35"/>
    <n v="939"/>
    <x v="9"/>
    <x v="9"/>
  </r>
  <r>
    <x v="4"/>
    <x v="4"/>
    <x v="36"/>
    <n v="575"/>
    <x v="9"/>
    <x v="9"/>
  </r>
  <r>
    <x v="4"/>
    <x v="4"/>
    <x v="37"/>
    <n v="545"/>
    <x v="9"/>
    <x v="9"/>
  </r>
  <r>
    <x v="4"/>
    <x v="4"/>
    <x v="38"/>
    <n v="104"/>
    <x v="9"/>
    <x v="9"/>
  </r>
  <r>
    <x v="4"/>
    <x v="4"/>
    <x v="39"/>
    <n v="579"/>
    <x v="9"/>
    <x v="9"/>
  </r>
  <r>
    <x v="4"/>
    <x v="4"/>
    <x v="40"/>
    <n v="445"/>
    <x v="9"/>
    <x v="9"/>
  </r>
  <r>
    <x v="4"/>
    <x v="4"/>
    <x v="41"/>
    <n v="975"/>
    <x v="9"/>
    <x v="9"/>
  </r>
  <r>
    <x v="4"/>
    <x v="4"/>
    <x v="42"/>
    <n v="176"/>
    <x v="9"/>
    <x v="9"/>
  </r>
  <r>
    <x v="4"/>
    <x v="4"/>
    <x v="43"/>
    <n v="251"/>
    <x v="9"/>
    <x v="9"/>
  </r>
  <r>
    <x v="4"/>
    <x v="4"/>
    <x v="44"/>
    <n v="291"/>
    <x v="9"/>
    <x v="9"/>
  </r>
  <r>
    <x v="4"/>
    <x v="4"/>
    <x v="45"/>
    <n v="296"/>
    <x v="9"/>
    <x v="9"/>
  </r>
  <r>
    <x v="4"/>
    <x v="4"/>
    <x v="46"/>
    <n v="266"/>
    <x v="9"/>
    <x v="9"/>
  </r>
  <r>
    <x v="4"/>
    <x v="4"/>
    <x v="47"/>
    <n v="717"/>
    <x v="9"/>
    <x v="9"/>
  </r>
  <r>
    <x v="4"/>
    <x v="4"/>
    <x v="48"/>
    <n v="500"/>
    <x v="9"/>
    <x v="9"/>
  </r>
  <r>
    <x v="4"/>
    <x v="4"/>
    <x v="49"/>
    <n v="479"/>
    <x v="9"/>
    <x v="9"/>
  </r>
  <r>
    <x v="4"/>
    <x v="4"/>
    <x v="50"/>
    <n v="475"/>
    <x v="9"/>
    <x v="9"/>
  </r>
  <r>
    <x v="4"/>
    <x v="4"/>
    <x v="51"/>
    <n v="835"/>
    <x v="9"/>
    <x v="9"/>
  </r>
  <r>
    <x v="5"/>
    <x v="5"/>
    <x v="0"/>
    <n v="355"/>
    <x v="9"/>
    <x v="9"/>
  </r>
  <r>
    <x v="5"/>
    <x v="5"/>
    <x v="1"/>
    <n v="310"/>
    <x v="9"/>
    <x v="9"/>
  </r>
  <r>
    <x v="5"/>
    <x v="5"/>
    <x v="2"/>
    <n v="418"/>
    <x v="9"/>
    <x v="9"/>
  </r>
  <r>
    <x v="5"/>
    <x v="5"/>
    <x v="3"/>
    <n v="272"/>
    <x v="9"/>
    <x v="9"/>
  </r>
  <r>
    <x v="5"/>
    <x v="5"/>
    <x v="4"/>
    <n v="474"/>
    <x v="9"/>
    <x v="9"/>
  </r>
  <r>
    <x v="5"/>
    <x v="5"/>
    <x v="5"/>
    <n v="363"/>
    <x v="9"/>
    <x v="9"/>
  </r>
  <r>
    <x v="5"/>
    <x v="5"/>
    <x v="6"/>
    <n v="485"/>
    <x v="9"/>
    <x v="9"/>
  </r>
  <r>
    <x v="5"/>
    <x v="5"/>
    <x v="7"/>
    <n v="126"/>
    <x v="9"/>
    <x v="9"/>
  </r>
  <r>
    <x v="5"/>
    <x v="5"/>
    <x v="8"/>
    <n v="100"/>
    <x v="9"/>
    <x v="9"/>
  </r>
  <r>
    <x v="5"/>
    <x v="5"/>
    <x v="9"/>
    <n v="230"/>
    <x v="9"/>
    <x v="9"/>
  </r>
  <r>
    <x v="5"/>
    <x v="5"/>
    <x v="10"/>
    <n v="240"/>
    <x v="9"/>
    <x v="9"/>
  </r>
  <r>
    <x v="5"/>
    <x v="5"/>
    <x v="11"/>
    <n v="423"/>
    <x v="9"/>
    <x v="9"/>
  </r>
  <r>
    <x v="5"/>
    <x v="5"/>
    <x v="12"/>
    <n v="283"/>
    <x v="9"/>
    <x v="9"/>
  </r>
  <r>
    <x v="5"/>
    <x v="5"/>
    <x v="13"/>
    <n v="392"/>
    <x v="9"/>
    <x v="9"/>
  </r>
  <r>
    <x v="5"/>
    <x v="5"/>
    <x v="14"/>
    <n v="472"/>
    <x v="9"/>
    <x v="9"/>
  </r>
  <r>
    <x v="5"/>
    <x v="5"/>
    <x v="15"/>
    <n v="399"/>
    <x v="9"/>
    <x v="9"/>
  </r>
  <r>
    <x v="5"/>
    <x v="5"/>
    <x v="16"/>
    <n v="215"/>
    <x v="9"/>
    <x v="9"/>
  </r>
  <r>
    <x v="5"/>
    <x v="5"/>
    <x v="17"/>
    <n v="531"/>
    <x v="9"/>
    <x v="9"/>
  </r>
  <r>
    <x v="5"/>
    <x v="5"/>
    <x v="18"/>
    <n v="127"/>
    <x v="9"/>
    <x v="9"/>
  </r>
  <r>
    <x v="5"/>
    <x v="5"/>
    <x v="19"/>
    <n v="186"/>
    <x v="9"/>
    <x v="9"/>
  </r>
  <r>
    <x v="5"/>
    <x v="5"/>
    <x v="20"/>
    <n v="446"/>
    <x v="9"/>
    <x v="9"/>
  </r>
  <r>
    <x v="5"/>
    <x v="5"/>
    <x v="21"/>
    <n v="206"/>
    <x v="9"/>
    <x v="9"/>
  </r>
  <r>
    <x v="5"/>
    <x v="5"/>
    <x v="22"/>
    <n v="489"/>
    <x v="9"/>
    <x v="9"/>
  </r>
  <r>
    <x v="5"/>
    <x v="5"/>
    <x v="23"/>
    <n v="363"/>
    <x v="9"/>
    <x v="9"/>
  </r>
  <r>
    <x v="5"/>
    <x v="5"/>
    <x v="24"/>
    <n v="350"/>
    <x v="9"/>
    <x v="9"/>
  </r>
  <r>
    <x v="5"/>
    <x v="5"/>
    <x v="25"/>
    <n v="633"/>
    <x v="9"/>
    <x v="9"/>
  </r>
  <r>
    <x v="5"/>
    <x v="5"/>
    <x v="26"/>
    <n v="172"/>
    <x v="9"/>
    <x v="9"/>
  </r>
  <r>
    <x v="5"/>
    <x v="5"/>
    <x v="27"/>
    <n v="213"/>
    <x v="9"/>
    <x v="9"/>
  </r>
  <r>
    <x v="5"/>
    <x v="5"/>
    <x v="28"/>
    <n v="848"/>
    <x v="9"/>
    <x v="9"/>
  </r>
  <r>
    <x v="5"/>
    <x v="5"/>
    <x v="29"/>
    <n v="316"/>
    <x v="9"/>
    <x v="9"/>
  </r>
  <r>
    <x v="5"/>
    <x v="5"/>
    <x v="30"/>
    <n v="339"/>
    <x v="9"/>
    <x v="9"/>
  </r>
  <r>
    <x v="5"/>
    <x v="5"/>
    <x v="31"/>
    <n v="148"/>
    <x v="9"/>
    <x v="9"/>
  </r>
  <r>
    <x v="5"/>
    <x v="5"/>
    <x v="32"/>
    <n v="150"/>
    <x v="9"/>
    <x v="9"/>
  </r>
  <r>
    <x v="5"/>
    <x v="5"/>
    <x v="33"/>
    <n v="364"/>
    <x v="9"/>
    <x v="9"/>
  </r>
  <r>
    <x v="5"/>
    <x v="5"/>
    <x v="34"/>
    <n v="305"/>
    <x v="9"/>
    <x v="9"/>
  </r>
  <r>
    <x v="5"/>
    <x v="5"/>
    <x v="35"/>
    <n v="235"/>
    <x v="9"/>
    <x v="9"/>
  </r>
  <r>
    <x v="5"/>
    <x v="5"/>
    <x v="36"/>
    <n v="324"/>
    <x v="9"/>
    <x v="9"/>
  </r>
  <r>
    <x v="5"/>
    <x v="5"/>
    <x v="37"/>
    <n v="577"/>
    <x v="9"/>
    <x v="9"/>
  </r>
  <r>
    <x v="5"/>
    <x v="5"/>
    <x v="38"/>
    <n v="519"/>
    <x v="9"/>
    <x v="9"/>
  </r>
  <r>
    <x v="5"/>
    <x v="5"/>
    <x v="39"/>
    <n v="884"/>
    <x v="9"/>
    <x v="9"/>
  </r>
  <r>
    <x v="5"/>
    <x v="5"/>
    <x v="40"/>
    <n v="337"/>
    <x v="9"/>
    <x v="9"/>
  </r>
  <r>
    <x v="5"/>
    <x v="5"/>
    <x v="41"/>
    <n v="1063"/>
    <x v="9"/>
    <x v="9"/>
  </r>
  <r>
    <x v="5"/>
    <x v="5"/>
    <x v="42"/>
    <n v="437"/>
    <x v="9"/>
    <x v="9"/>
  </r>
  <r>
    <x v="5"/>
    <x v="5"/>
    <x v="43"/>
    <n v="360"/>
    <x v="9"/>
    <x v="9"/>
  </r>
  <r>
    <x v="5"/>
    <x v="5"/>
    <x v="44"/>
    <n v="522"/>
    <x v="9"/>
    <x v="9"/>
  </r>
  <r>
    <x v="5"/>
    <x v="5"/>
    <x v="45"/>
    <n v="237"/>
    <x v="9"/>
    <x v="9"/>
  </r>
  <r>
    <x v="5"/>
    <x v="5"/>
    <x v="46"/>
    <n v="318"/>
    <x v="9"/>
    <x v="9"/>
  </r>
  <r>
    <x v="5"/>
    <x v="5"/>
    <x v="47"/>
    <n v="432"/>
    <x v="9"/>
    <x v="9"/>
  </r>
  <r>
    <x v="5"/>
    <x v="5"/>
    <x v="48"/>
    <n v="474"/>
    <x v="9"/>
    <x v="9"/>
  </r>
  <r>
    <x v="5"/>
    <x v="5"/>
    <x v="49"/>
    <n v="625"/>
    <x v="9"/>
    <x v="9"/>
  </r>
  <r>
    <x v="5"/>
    <x v="5"/>
    <x v="50"/>
    <n v="791"/>
    <x v="9"/>
    <x v="9"/>
  </r>
  <r>
    <x v="5"/>
    <x v="5"/>
    <x v="51"/>
    <n v="338"/>
    <x v="9"/>
    <x v="9"/>
  </r>
  <r>
    <x v="0"/>
    <x v="5"/>
    <x v="0"/>
    <n v="59"/>
    <x v="10"/>
    <x v="10"/>
  </r>
  <r>
    <x v="0"/>
    <x v="5"/>
    <x v="1"/>
    <n v="236"/>
    <x v="10"/>
    <x v="10"/>
  </r>
  <r>
    <x v="0"/>
    <x v="5"/>
    <x v="2"/>
    <n v="195"/>
    <x v="10"/>
    <x v="10"/>
  </r>
  <r>
    <x v="0"/>
    <x v="5"/>
    <x v="3"/>
    <n v="355"/>
    <x v="10"/>
    <x v="10"/>
  </r>
  <r>
    <x v="0"/>
    <x v="5"/>
    <x v="4"/>
    <n v="276"/>
    <x v="10"/>
    <x v="10"/>
  </r>
  <r>
    <x v="0"/>
    <x v="5"/>
    <x v="5"/>
    <n v="283"/>
    <x v="10"/>
    <x v="10"/>
  </r>
  <r>
    <x v="0"/>
    <x v="5"/>
    <x v="6"/>
    <n v="169"/>
    <x v="10"/>
    <x v="10"/>
  </r>
  <r>
    <x v="0"/>
    <x v="5"/>
    <x v="7"/>
    <n v="283"/>
    <x v="10"/>
    <x v="10"/>
  </r>
  <r>
    <x v="0"/>
    <x v="5"/>
    <x v="8"/>
    <n v="399"/>
    <x v="10"/>
    <x v="10"/>
  </r>
  <r>
    <x v="0"/>
    <x v="5"/>
    <x v="9"/>
    <n v="400"/>
    <x v="10"/>
    <x v="10"/>
  </r>
  <r>
    <x v="0"/>
    <x v="5"/>
    <x v="10"/>
    <n v="127"/>
    <x v="10"/>
    <x v="10"/>
  </r>
  <r>
    <x v="0"/>
    <x v="5"/>
    <x v="11"/>
    <n v="207"/>
    <x v="10"/>
    <x v="10"/>
  </r>
  <r>
    <x v="0"/>
    <x v="5"/>
    <x v="12"/>
    <n v="144"/>
    <x v="10"/>
    <x v="10"/>
  </r>
  <r>
    <x v="0"/>
    <x v="5"/>
    <x v="13"/>
    <n v="110"/>
    <x v="10"/>
    <x v="10"/>
  </r>
  <r>
    <x v="0"/>
    <x v="5"/>
    <x v="14"/>
    <n v="245"/>
    <x v="10"/>
    <x v="10"/>
  </r>
  <r>
    <x v="0"/>
    <x v="5"/>
    <x v="15"/>
    <n v="331"/>
    <x v="10"/>
    <x v="10"/>
  </r>
  <r>
    <x v="0"/>
    <x v="5"/>
    <x v="16"/>
    <n v="130"/>
    <x v="10"/>
    <x v="10"/>
  </r>
  <r>
    <x v="0"/>
    <x v="5"/>
    <x v="17"/>
    <n v="169"/>
    <x v="10"/>
    <x v="10"/>
  </r>
  <r>
    <x v="0"/>
    <x v="5"/>
    <x v="18"/>
    <n v="303"/>
    <x v="10"/>
    <x v="10"/>
  </r>
  <r>
    <x v="0"/>
    <x v="5"/>
    <x v="19"/>
    <n v="210"/>
    <x v="10"/>
    <x v="10"/>
  </r>
  <r>
    <x v="0"/>
    <x v="5"/>
    <x v="20"/>
    <n v="209"/>
    <x v="10"/>
    <x v="10"/>
  </r>
  <r>
    <x v="0"/>
    <x v="5"/>
    <x v="21"/>
    <n v="359"/>
    <x v="10"/>
    <x v="10"/>
  </r>
  <r>
    <x v="0"/>
    <x v="5"/>
    <x v="22"/>
    <n v="413"/>
    <x v="10"/>
    <x v="10"/>
  </r>
  <r>
    <x v="0"/>
    <x v="5"/>
    <x v="23"/>
    <n v="392"/>
    <x v="10"/>
    <x v="10"/>
  </r>
  <r>
    <x v="0"/>
    <x v="5"/>
    <x v="24"/>
    <n v="176"/>
    <x v="10"/>
    <x v="10"/>
  </r>
  <r>
    <x v="0"/>
    <x v="5"/>
    <x v="25"/>
    <n v="448"/>
    <x v="10"/>
    <x v="10"/>
  </r>
  <r>
    <x v="0"/>
    <x v="5"/>
    <x v="26"/>
    <n v="406"/>
    <x v="10"/>
    <x v="10"/>
  </r>
  <r>
    <x v="0"/>
    <x v="5"/>
    <x v="27"/>
    <n v="399"/>
    <x v="10"/>
    <x v="10"/>
  </r>
  <r>
    <x v="0"/>
    <x v="5"/>
    <x v="28"/>
    <n v="279"/>
    <x v="10"/>
    <x v="10"/>
  </r>
  <r>
    <x v="0"/>
    <x v="5"/>
    <x v="29"/>
    <n v="416"/>
    <x v="10"/>
    <x v="10"/>
  </r>
  <r>
    <x v="0"/>
    <x v="5"/>
    <x v="30"/>
    <n v="577"/>
    <x v="10"/>
    <x v="10"/>
  </r>
  <r>
    <x v="0"/>
    <x v="5"/>
    <x v="31"/>
    <n v="283"/>
    <x v="10"/>
    <x v="10"/>
  </r>
  <r>
    <x v="0"/>
    <x v="5"/>
    <x v="32"/>
    <n v="320"/>
    <x v="10"/>
    <x v="10"/>
  </r>
  <r>
    <x v="0"/>
    <x v="5"/>
    <x v="33"/>
    <n v="425"/>
    <x v="10"/>
    <x v="10"/>
  </r>
  <r>
    <x v="0"/>
    <x v="5"/>
    <x v="34"/>
    <n v="295"/>
    <x v="10"/>
    <x v="10"/>
  </r>
  <r>
    <x v="0"/>
    <x v="5"/>
    <x v="35"/>
    <n v="325"/>
    <x v="10"/>
    <x v="10"/>
  </r>
  <r>
    <x v="0"/>
    <x v="5"/>
    <x v="36"/>
    <n v="244"/>
    <x v="10"/>
    <x v="10"/>
  </r>
  <r>
    <x v="0"/>
    <x v="5"/>
    <x v="37"/>
    <n v="268"/>
    <x v="10"/>
    <x v="10"/>
  </r>
  <r>
    <x v="0"/>
    <x v="5"/>
    <x v="38"/>
    <n v="884"/>
    <x v="10"/>
    <x v="10"/>
  </r>
  <r>
    <x v="0"/>
    <x v="5"/>
    <x v="39"/>
    <n v="445"/>
    <x v="10"/>
    <x v="10"/>
  </r>
  <r>
    <x v="0"/>
    <x v="5"/>
    <x v="40"/>
    <n v="325"/>
    <x v="10"/>
    <x v="10"/>
  </r>
  <r>
    <x v="0"/>
    <x v="5"/>
    <x v="41"/>
    <n v="198"/>
    <x v="10"/>
    <x v="10"/>
  </r>
  <r>
    <x v="0"/>
    <x v="5"/>
    <x v="42"/>
    <n v="553"/>
    <x v="10"/>
    <x v="10"/>
  </r>
  <r>
    <x v="0"/>
    <x v="5"/>
    <x v="43"/>
    <n v="177"/>
    <x v="10"/>
    <x v="10"/>
  </r>
  <r>
    <x v="0"/>
    <x v="5"/>
    <x v="44"/>
    <n v="239"/>
    <x v="10"/>
    <x v="10"/>
  </r>
  <r>
    <x v="0"/>
    <x v="5"/>
    <x v="45"/>
    <n v="930"/>
    <x v="10"/>
    <x v="10"/>
  </r>
  <r>
    <x v="0"/>
    <x v="5"/>
    <x v="46"/>
    <n v="593"/>
    <x v="10"/>
    <x v="10"/>
  </r>
  <r>
    <x v="0"/>
    <x v="5"/>
    <x v="47"/>
    <n v="846"/>
    <x v="10"/>
    <x v="10"/>
  </r>
  <r>
    <x v="0"/>
    <x v="5"/>
    <x v="48"/>
    <n v="401"/>
    <x v="10"/>
    <x v="10"/>
  </r>
  <r>
    <x v="0"/>
    <x v="5"/>
    <x v="49"/>
    <n v="429"/>
    <x v="10"/>
    <x v="10"/>
  </r>
  <r>
    <x v="0"/>
    <x v="5"/>
    <x v="50"/>
    <n v="695"/>
    <x v="10"/>
    <x v="10"/>
  </r>
  <r>
    <x v="0"/>
    <x v="5"/>
    <x v="51"/>
    <n v="294"/>
    <x v="10"/>
    <x v="10"/>
  </r>
  <r>
    <x v="2"/>
    <x v="0"/>
    <x v="0"/>
    <n v="167"/>
    <x v="10"/>
    <x v="10"/>
  </r>
  <r>
    <x v="2"/>
    <x v="0"/>
    <x v="1"/>
    <n v="62"/>
    <x v="10"/>
    <x v="10"/>
  </r>
  <r>
    <x v="2"/>
    <x v="0"/>
    <x v="2"/>
    <n v="48"/>
    <x v="10"/>
    <x v="10"/>
  </r>
  <r>
    <x v="2"/>
    <x v="0"/>
    <x v="3"/>
    <n v="41"/>
    <x v="10"/>
    <x v="10"/>
  </r>
  <r>
    <x v="2"/>
    <x v="0"/>
    <x v="4"/>
    <n v="212"/>
    <x v="10"/>
    <x v="10"/>
  </r>
  <r>
    <x v="2"/>
    <x v="0"/>
    <x v="5"/>
    <n v="139"/>
    <x v="10"/>
    <x v="10"/>
  </r>
  <r>
    <x v="2"/>
    <x v="0"/>
    <x v="6"/>
    <n v="76"/>
    <x v="10"/>
    <x v="10"/>
  </r>
  <r>
    <x v="2"/>
    <x v="0"/>
    <x v="7"/>
    <n v="190"/>
    <x v="10"/>
    <x v="10"/>
  </r>
  <r>
    <x v="2"/>
    <x v="0"/>
    <x v="8"/>
    <n v="81"/>
    <x v="10"/>
    <x v="10"/>
  </r>
  <r>
    <x v="2"/>
    <x v="0"/>
    <x v="9"/>
    <n v="115"/>
    <x v="10"/>
    <x v="10"/>
  </r>
  <r>
    <x v="2"/>
    <x v="0"/>
    <x v="10"/>
    <n v="105"/>
    <x v="10"/>
    <x v="10"/>
  </r>
  <r>
    <x v="2"/>
    <x v="0"/>
    <x v="11"/>
    <n v="162"/>
    <x v="10"/>
    <x v="10"/>
  </r>
  <r>
    <x v="2"/>
    <x v="0"/>
    <x v="12"/>
    <n v="130"/>
    <x v="10"/>
    <x v="10"/>
  </r>
  <r>
    <x v="2"/>
    <x v="0"/>
    <x v="13"/>
    <n v="142"/>
    <x v="10"/>
    <x v="10"/>
  </r>
  <r>
    <x v="2"/>
    <x v="0"/>
    <x v="14"/>
    <n v="195"/>
    <x v="10"/>
    <x v="10"/>
  </r>
  <r>
    <x v="2"/>
    <x v="0"/>
    <x v="15"/>
    <n v="79"/>
    <x v="10"/>
    <x v="10"/>
  </r>
  <r>
    <x v="2"/>
    <x v="0"/>
    <x v="16"/>
    <n v="66"/>
    <x v="10"/>
    <x v="10"/>
  </r>
  <r>
    <x v="2"/>
    <x v="0"/>
    <x v="17"/>
    <n v="212"/>
    <x v="10"/>
    <x v="10"/>
  </r>
  <r>
    <x v="2"/>
    <x v="0"/>
    <x v="18"/>
    <n v="99"/>
    <x v="10"/>
    <x v="10"/>
  </r>
  <r>
    <x v="2"/>
    <x v="0"/>
    <x v="19"/>
    <n v="181"/>
    <x v="10"/>
    <x v="10"/>
  </r>
  <r>
    <x v="2"/>
    <x v="0"/>
    <x v="20"/>
    <n v="55"/>
    <x v="10"/>
    <x v="10"/>
  </r>
  <r>
    <x v="2"/>
    <x v="0"/>
    <x v="21"/>
    <n v="164"/>
    <x v="10"/>
    <x v="10"/>
  </r>
  <r>
    <x v="2"/>
    <x v="0"/>
    <x v="22"/>
    <n v="75"/>
    <x v="10"/>
    <x v="10"/>
  </r>
  <r>
    <x v="2"/>
    <x v="0"/>
    <x v="23"/>
    <n v="227"/>
    <x v="10"/>
    <x v="10"/>
  </r>
  <r>
    <x v="2"/>
    <x v="0"/>
    <x v="24"/>
    <n v="107"/>
    <x v="10"/>
    <x v="10"/>
  </r>
  <r>
    <x v="2"/>
    <x v="0"/>
    <x v="25"/>
    <n v="226"/>
    <x v="10"/>
    <x v="10"/>
  </r>
  <r>
    <x v="2"/>
    <x v="0"/>
    <x v="26"/>
    <n v="244"/>
    <x v="10"/>
    <x v="10"/>
  </r>
  <r>
    <x v="2"/>
    <x v="0"/>
    <x v="27"/>
    <n v="255"/>
    <x v="10"/>
    <x v="10"/>
  </r>
  <r>
    <x v="2"/>
    <x v="0"/>
    <x v="28"/>
    <n v="175"/>
    <x v="10"/>
    <x v="10"/>
  </r>
  <r>
    <x v="2"/>
    <x v="0"/>
    <x v="29"/>
    <n v="96"/>
    <x v="10"/>
    <x v="10"/>
  </r>
  <r>
    <x v="2"/>
    <x v="0"/>
    <x v="30"/>
    <n v="125"/>
    <x v="10"/>
    <x v="10"/>
  </r>
  <r>
    <x v="2"/>
    <x v="0"/>
    <x v="31"/>
    <n v="216"/>
    <x v="10"/>
    <x v="10"/>
  </r>
  <r>
    <x v="2"/>
    <x v="0"/>
    <x v="32"/>
    <n v="96"/>
    <x v="10"/>
    <x v="10"/>
  </r>
  <r>
    <x v="2"/>
    <x v="0"/>
    <x v="33"/>
    <n v="155"/>
    <x v="10"/>
    <x v="10"/>
  </r>
  <r>
    <x v="2"/>
    <x v="0"/>
    <x v="34"/>
    <n v="148"/>
    <x v="10"/>
    <x v="10"/>
  </r>
  <r>
    <x v="2"/>
    <x v="0"/>
    <x v="35"/>
    <n v="83"/>
    <x v="10"/>
    <x v="10"/>
  </r>
  <r>
    <x v="2"/>
    <x v="0"/>
    <x v="36"/>
    <n v="435"/>
    <x v="10"/>
    <x v="10"/>
  </r>
  <r>
    <x v="2"/>
    <x v="0"/>
    <x v="37"/>
    <n v="194"/>
    <x v="10"/>
    <x v="10"/>
  </r>
  <r>
    <x v="2"/>
    <x v="0"/>
    <x v="38"/>
    <n v="205"/>
    <x v="10"/>
    <x v="10"/>
  </r>
  <r>
    <x v="2"/>
    <x v="0"/>
    <x v="39"/>
    <n v="130"/>
    <x v="10"/>
    <x v="10"/>
  </r>
  <r>
    <x v="2"/>
    <x v="0"/>
    <x v="40"/>
    <n v="417"/>
    <x v="10"/>
    <x v="10"/>
  </r>
  <r>
    <x v="2"/>
    <x v="0"/>
    <x v="41"/>
    <n v="158"/>
    <x v="10"/>
    <x v="10"/>
  </r>
  <r>
    <x v="2"/>
    <x v="0"/>
    <x v="42"/>
    <n v="297"/>
    <x v="10"/>
    <x v="10"/>
  </r>
  <r>
    <x v="2"/>
    <x v="0"/>
    <x v="43"/>
    <n v="219"/>
    <x v="10"/>
    <x v="10"/>
  </r>
  <r>
    <x v="2"/>
    <x v="0"/>
    <x v="44"/>
    <n v="282"/>
    <x v="10"/>
    <x v="10"/>
  </r>
  <r>
    <x v="2"/>
    <x v="0"/>
    <x v="45"/>
    <n v="277"/>
    <x v="10"/>
    <x v="10"/>
  </r>
  <r>
    <x v="2"/>
    <x v="0"/>
    <x v="46"/>
    <n v="177"/>
    <x v="10"/>
    <x v="10"/>
  </r>
  <r>
    <x v="2"/>
    <x v="0"/>
    <x v="47"/>
    <n v="111"/>
    <x v="10"/>
    <x v="10"/>
  </r>
  <r>
    <x v="2"/>
    <x v="0"/>
    <x v="48"/>
    <n v="258"/>
    <x v="10"/>
    <x v="10"/>
  </r>
  <r>
    <x v="2"/>
    <x v="0"/>
    <x v="49"/>
    <n v="355"/>
    <x v="10"/>
    <x v="10"/>
  </r>
  <r>
    <x v="2"/>
    <x v="0"/>
    <x v="50"/>
    <n v="163"/>
    <x v="10"/>
    <x v="10"/>
  </r>
  <r>
    <x v="2"/>
    <x v="0"/>
    <x v="51"/>
    <n v="203"/>
    <x v="10"/>
    <x v="10"/>
  </r>
  <r>
    <x v="3"/>
    <x v="0"/>
    <x v="0"/>
    <n v="225"/>
    <x v="11"/>
    <x v="11"/>
  </r>
  <r>
    <x v="3"/>
    <x v="0"/>
    <x v="1"/>
    <n v="212"/>
    <x v="11"/>
    <x v="11"/>
  </r>
  <r>
    <x v="3"/>
    <x v="0"/>
    <x v="2"/>
    <n v="61"/>
    <x v="11"/>
    <x v="11"/>
  </r>
  <r>
    <x v="3"/>
    <x v="0"/>
    <x v="3"/>
    <n v="116"/>
    <x v="11"/>
    <x v="11"/>
  </r>
  <r>
    <x v="3"/>
    <x v="0"/>
    <x v="4"/>
    <n v="89"/>
    <x v="11"/>
    <x v="11"/>
  </r>
  <r>
    <x v="3"/>
    <x v="0"/>
    <x v="5"/>
    <n v="209"/>
    <x v="11"/>
    <x v="11"/>
  </r>
  <r>
    <x v="3"/>
    <x v="0"/>
    <x v="6"/>
    <n v="274"/>
    <x v="11"/>
    <x v="11"/>
  </r>
  <r>
    <x v="3"/>
    <x v="0"/>
    <x v="7"/>
    <n v="69"/>
    <x v="11"/>
    <x v="11"/>
  </r>
  <r>
    <x v="3"/>
    <x v="0"/>
    <x v="8"/>
    <n v="238"/>
    <x v="11"/>
    <x v="11"/>
  </r>
  <r>
    <x v="3"/>
    <x v="0"/>
    <x v="9"/>
    <n v="149"/>
    <x v="11"/>
    <x v="11"/>
  </r>
  <r>
    <x v="3"/>
    <x v="0"/>
    <x v="10"/>
    <n v="79"/>
    <x v="11"/>
    <x v="11"/>
  </r>
  <r>
    <x v="3"/>
    <x v="0"/>
    <x v="11"/>
    <n v="235"/>
    <x v="11"/>
    <x v="11"/>
  </r>
  <r>
    <x v="3"/>
    <x v="0"/>
    <x v="12"/>
    <n v="134"/>
    <x v="11"/>
    <x v="11"/>
  </r>
  <r>
    <x v="3"/>
    <x v="0"/>
    <x v="13"/>
    <n v="357"/>
    <x v="11"/>
    <x v="11"/>
  </r>
  <r>
    <x v="3"/>
    <x v="0"/>
    <x v="14"/>
    <n v="272"/>
    <x v="11"/>
    <x v="11"/>
  </r>
  <r>
    <x v="3"/>
    <x v="0"/>
    <x v="15"/>
    <n v="282"/>
    <x v="11"/>
    <x v="11"/>
  </r>
  <r>
    <x v="3"/>
    <x v="0"/>
    <x v="16"/>
    <n v="157"/>
    <x v="11"/>
    <x v="11"/>
  </r>
  <r>
    <x v="3"/>
    <x v="0"/>
    <x v="17"/>
    <n v="106"/>
    <x v="11"/>
    <x v="11"/>
  </r>
  <r>
    <x v="3"/>
    <x v="0"/>
    <x v="18"/>
    <n v="252"/>
    <x v="11"/>
    <x v="11"/>
  </r>
  <r>
    <x v="3"/>
    <x v="0"/>
    <x v="19"/>
    <n v="157"/>
    <x v="11"/>
    <x v="11"/>
  </r>
  <r>
    <x v="3"/>
    <x v="0"/>
    <x v="20"/>
    <n v="383"/>
    <x v="11"/>
    <x v="11"/>
  </r>
  <r>
    <x v="3"/>
    <x v="0"/>
    <x v="21"/>
    <n v="123"/>
    <x v="11"/>
    <x v="11"/>
  </r>
  <r>
    <x v="3"/>
    <x v="0"/>
    <x v="22"/>
    <n v="67"/>
    <x v="11"/>
    <x v="11"/>
  </r>
  <r>
    <x v="3"/>
    <x v="0"/>
    <x v="23"/>
    <n v="68"/>
    <x v="11"/>
    <x v="11"/>
  </r>
  <r>
    <x v="3"/>
    <x v="0"/>
    <x v="24"/>
    <n v="453"/>
    <x v="11"/>
    <x v="11"/>
  </r>
  <r>
    <x v="3"/>
    <x v="0"/>
    <x v="25"/>
    <n v="309"/>
    <x v="11"/>
    <x v="11"/>
  </r>
  <r>
    <x v="3"/>
    <x v="0"/>
    <x v="26"/>
    <n v="249"/>
    <x v="11"/>
    <x v="11"/>
  </r>
  <r>
    <x v="3"/>
    <x v="0"/>
    <x v="27"/>
    <n v="243"/>
    <x v="11"/>
    <x v="11"/>
  </r>
  <r>
    <x v="3"/>
    <x v="0"/>
    <x v="28"/>
    <n v="126"/>
    <x v="11"/>
    <x v="11"/>
  </r>
  <r>
    <x v="3"/>
    <x v="0"/>
    <x v="29"/>
    <n v="394"/>
    <x v="11"/>
    <x v="11"/>
  </r>
  <r>
    <x v="3"/>
    <x v="0"/>
    <x v="30"/>
    <n v="433"/>
    <x v="11"/>
    <x v="11"/>
  </r>
  <r>
    <x v="3"/>
    <x v="0"/>
    <x v="31"/>
    <n v="459"/>
    <x v="11"/>
    <x v="11"/>
  </r>
  <r>
    <x v="3"/>
    <x v="0"/>
    <x v="32"/>
    <n v="235"/>
    <x v="11"/>
    <x v="11"/>
  </r>
  <r>
    <x v="3"/>
    <x v="0"/>
    <x v="33"/>
    <n v="148"/>
    <x v="11"/>
    <x v="11"/>
  </r>
  <r>
    <x v="3"/>
    <x v="0"/>
    <x v="34"/>
    <n v="224"/>
    <x v="11"/>
    <x v="11"/>
  </r>
  <r>
    <x v="3"/>
    <x v="0"/>
    <x v="35"/>
    <n v="76"/>
    <x v="11"/>
    <x v="11"/>
  </r>
  <r>
    <x v="3"/>
    <x v="0"/>
    <x v="36"/>
    <n v="382"/>
    <x v="11"/>
    <x v="11"/>
  </r>
  <r>
    <x v="3"/>
    <x v="0"/>
    <x v="37"/>
    <n v="137"/>
    <x v="11"/>
    <x v="11"/>
  </r>
  <r>
    <x v="3"/>
    <x v="0"/>
    <x v="38"/>
    <n v="265"/>
    <x v="11"/>
    <x v="11"/>
  </r>
  <r>
    <x v="3"/>
    <x v="0"/>
    <x v="39"/>
    <n v="147"/>
    <x v="11"/>
    <x v="11"/>
  </r>
  <r>
    <x v="3"/>
    <x v="0"/>
    <x v="40"/>
    <n v="493"/>
    <x v="11"/>
    <x v="11"/>
  </r>
  <r>
    <x v="3"/>
    <x v="0"/>
    <x v="41"/>
    <n v="156"/>
    <x v="11"/>
    <x v="11"/>
  </r>
  <r>
    <x v="3"/>
    <x v="0"/>
    <x v="42"/>
    <n v="233"/>
    <x v="11"/>
    <x v="11"/>
  </r>
  <r>
    <x v="3"/>
    <x v="0"/>
    <x v="43"/>
    <n v="155"/>
    <x v="11"/>
    <x v="11"/>
  </r>
  <r>
    <x v="3"/>
    <x v="0"/>
    <x v="44"/>
    <n v="206"/>
    <x v="11"/>
    <x v="11"/>
  </r>
  <r>
    <x v="3"/>
    <x v="0"/>
    <x v="45"/>
    <n v="189"/>
    <x v="11"/>
    <x v="11"/>
  </r>
  <r>
    <x v="3"/>
    <x v="0"/>
    <x v="46"/>
    <n v="97"/>
    <x v="11"/>
    <x v="11"/>
  </r>
  <r>
    <x v="3"/>
    <x v="0"/>
    <x v="47"/>
    <n v="136"/>
    <x v="11"/>
    <x v="11"/>
  </r>
  <r>
    <x v="3"/>
    <x v="0"/>
    <x v="48"/>
    <n v="401"/>
    <x v="11"/>
    <x v="11"/>
  </r>
  <r>
    <x v="3"/>
    <x v="0"/>
    <x v="49"/>
    <n v="493"/>
    <x v="11"/>
    <x v="11"/>
  </r>
  <r>
    <x v="3"/>
    <x v="0"/>
    <x v="50"/>
    <n v="257"/>
    <x v="11"/>
    <x v="11"/>
  </r>
  <r>
    <x v="3"/>
    <x v="0"/>
    <x v="51"/>
    <n v="237"/>
    <x v="11"/>
    <x v="11"/>
  </r>
  <r>
    <x v="4"/>
    <x v="5"/>
    <x v="0"/>
    <n v="244"/>
    <x v="11"/>
    <x v="11"/>
  </r>
  <r>
    <x v="4"/>
    <x v="5"/>
    <x v="1"/>
    <n v="160"/>
    <x v="11"/>
    <x v="11"/>
  </r>
  <r>
    <x v="4"/>
    <x v="5"/>
    <x v="2"/>
    <n v="298"/>
    <x v="11"/>
    <x v="11"/>
  </r>
  <r>
    <x v="4"/>
    <x v="5"/>
    <x v="3"/>
    <n v="238"/>
    <x v="11"/>
    <x v="11"/>
  </r>
  <r>
    <x v="4"/>
    <x v="5"/>
    <x v="4"/>
    <n v="316"/>
    <x v="11"/>
    <x v="11"/>
  </r>
  <r>
    <x v="4"/>
    <x v="5"/>
    <x v="5"/>
    <n v="238"/>
    <x v="11"/>
    <x v="11"/>
  </r>
  <r>
    <x v="4"/>
    <x v="5"/>
    <x v="6"/>
    <n v="299"/>
    <x v="11"/>
    <x v="11"/>
  </r>
  <r>
    <x v="4"/>
    <x v="5"/>
    <x v="7"/>
    <n v="326"/>
    <x v="11"/>
    <x v="11"/>
  </r>
  <r>
    <x v="4"/>
    <x v="5"/>
    <x v="8"/>
    <n v="114"/>
    <x v="11"/>
    <x v="11"/>
  </r>
  <r>
    <x v="4"/>
    <x v="5"/>
    <x v="9"/>
    <n v="182"/>
    <x v="11"/>
    <x v="11"/>
  </r>
  <r>
    <x v="4"/>
    <x v="5"/>
    <x v="10"/>
    <n v="77"/>
    <x v="11"/>
    <x v="11"/>
  </r>
  <r>
    <x v="4"/>
    <x v="5"/>
    <x v="11"/>
    <n v="279"/>
    <x v="11"/>
    <x v="11"/>
  </r>
  <r>
    <x v="4"/>
    <x v="5"/>
    <x v="12"/>
    <n v="435"/>
    <x v="11"/>
    <x v="11"/>
  </r>
  <r>
    <x v="4"/>
    <x v="5"/>
    <x v="13"/>
    <n v="248"/>
    <x v="11"/>
    <x v="11"/>
  </r>
  <r>
    <x v="4"/>
    <x v="5"/>
    <x v="14"/>
    <n v="315"/>
    <x v="11"/>
    <x v="11"/>
  </r>
  <r>
    <x v="4"/>
    <x v="5"/>
    <x v="15"/>
    <n v="110"/>
    <x v="11"/>
    <x v="11"/>
  </r>
  <r>
    <x v="4"/>
    <x v="5"/>
    <x v="16"/>
    <n v="118"/>
    <x v="11"/>
    <x v="11"/>
  </r>
  <r>
    <x v="4"/>
    <x v="5"/>
    <x v="17"/>
    <n v="167"/>
    <x v="11"/>
    <x v="11"/>
  </r>
  <r>
    <x v="4"/>
    <x v="5"/>
    <x v="18"/>
    <n v="506"/>
    <x v="11"/>
    <x v="11"/>
  </r>
  <r>
    <x v="4"/>
    <x v="5"/>
    <x v="19"/>
    <n v="224"/>
    <x v="11"/>
    <x v="11"/>
  </r>
  <r>
    <x v="4"/>
    <x v="5"/>
    <x v="20"/>
    <n v="60"/>
    <x v="11"/>
    <x v="11"/>
  </r>
  <r>
    <x v="4"/>
    <x v="5"/>
    <x v="21"/>
    <n v="579"/>
    <x v="11"/>
    <x v="11"/>
  </r>
  <r>
    <x v="4"/>
    <x v="5"/>
    <x v="22"/>
    <n v="195"/>
    <x v="11"/>
    <x v="11"/>
  </r>
  <r>
    <x v="4"/>
    <x v="5"/>
    <x v="23"/>
    <n v="639"/>
    <x v="11"/>
    <x v="11"/>
  </r>
  <r>
    <x v="4"/>
    <x v="5"/>
    <x v="24"/>
    <n v="323"/>
    <x v="11"/>
    <x v="11"/>
  </r>
  <r>
    <x v="4"/>
    <x v="5"/>
    <x v="25"/>
    <n v="458"/>
    <x v="11"/>
    <x v="11"/>
  </r>
  <r>
    <x v="4"/>
    <x v="5"/>
    <x v="26"/>
    <n v="326"/>
    <x v="11"/>
    <x v="11"/>
  </r>
  <r>
    <x v="4"/>
    <x v="5"/>
    <x v="27"/>
    <n v="471"/>
    <x v="11"/>
    <x v="11"/>
  </r>
  <r>
    <x v="4"/>
    <x v="5"/>
    <x v="28"/>
    <n v="167"/>
    <x v="11"/>
    <x v="11"/>
  </r>
  <r>
    <x v="4"/>
    <x v="5"/>
    <x v="29"/>
    <n v="115"/>
    <x v="11"/>
    <x v="11"/>
  </r>
  <r>
    <x v="4"/>
    <x v="5"/>
    <x v="30"/>
    <n v="252"/>
    <x v="11"/>
    <x v="11"/>
  </r>
  <r>
    <x v="4"/>
    <x v="5"/>
    <x v="31"/>
    <n v="150"/>
    <x v="11"/>
    <x v="11"/>
  </r>
  <r>
    <x v="4"/>
    <x v="5"/>
    <x v="32"/>
    <n v="115"/>
    <x v="11"/>
    <x v="11"/>
  </r>
  <r>
    <x v="4"/>
    <x v="5"/>
    <x v="33"/>
    <n v="348"/>
    <x v="11"/>
    <x v="11"/>
  </r>
  <r>
    <x v="4"/>
    <x v="5"/>
    <x v="34"/>
    <n v="445"/>
    <x v="11"/>
    <x v="11"/>
  </r>
  <r>
    <x v="4"/>
    <x v="5"/>
    <x v="35"/>
    <n v="342"/>
    <x v="11"/>
    <x v="11"/>
  </r>
  <r>
    <x v="4"/>
    <x v="5"/>
    <x v="36"/>
    <n v="767"/>
    <x v="11"/>
    <x v="11"/>
  </r>
  <r>
    <x v="4"/>
    <x v="5"/>
    <x v="37"/>
    <n v="267"/>
    <x v="11"/>
    <x v="11"/>
  </r>
  <r>
    <x v="4"/>
    <x v="5"/>
    <x v="38"/>
    <n v="243"/>
    <x v="11"/>
    <x v="11"/>
  </r>
  <r>
    <x v="4"/>
    <x v="5"/>
    <x v="39"/>
    <n v="781"/>
    <x v="11"/>
    <x v="11"/>
  </r>
  <r>
    <x v="4"/>
    <x v="5"/>
    <x v="40"/>
    <n v="572"/>
    <x v="11"/>
    <x v="11"/>
  </r>
  <r>
    <x v="4"/>
    <x v="5"/>
    <x v="41"/>
    <n v="117"/>
    <x v="11"/>
    <x v="11"/>
  </r>
  <r>
    <x v="4"/>
    <x v="5"/>
    <x v="42"/>
    <n v="260"/>
    <x v="11"/>
    <x v="11"/>
  </r>
  <r>
    <x v="4"/>
    <x v="5"/>
    <x v="43"/>
    <n v="206"/>
    <x v="11"/>
    <x v="11"/>
  </r>
  <r>
    <x v="4"/>
    <x v="5"/>
    <x v="44"/>
    <n v="393"/>
    <x v="11"/>
    <x v="11"/>
  </r>
  <r>
    <x v="4"/>
    <x v="5"/>
    <x v="45"/>
    <n v="631"/>
    <x v="11"/>
    <x v="11"/>
  </r>
  <r>
    <x v="4"/>
    <x v="5"/>
    <x v="46"/>
    <n v="225"/>
    <x v="11"/>
    <x v="11"/>
  </r>
  <r>
    <x v="4"/>
    <x v="5"/>
    <x v="47"/>
    <n v="253"/>
    <x v="11"/>
    <x v="11"/>
  </r>
  <r>
    <x v="4"/>
    <x v="5"/>
    <x v="48"/>
    <n v="69"/>
    <x v="11"/>
    <x v="11"/>
  </r>
  <r>
    <x v="4"/>
    <x v="5"/>
    <x v="49"/>
    <n v="779"/>
    <x v="11"/>
    <x v="11"/>
  </r>
  <r>
    <x v="4"/>
    <x v="5"/>
    <x v="50"/>
    <n v="392"/>
    <x v="11"/>
    <x v="11"/>
  </r>
  <r>
    <x v="4"/>
    <x v="5"/>
    <x v="51"/>
    <n v="776"/>
    <x v="11"/>
    <x v="11"/>
  </r>
  <r>
    <x v="1"/>
    <x v="0"/>
    <x v="0"/>
    <n v="308"/>
    <x v="12"/>
    <x v="12"/>
  </r>
  <r>
    <x v="1"/>
    <x v="0"/>
    <x v="1"/>
    <n v="79"/>
    <x v="12"/>
    <x v="12"/>
  </r>
  <r>
    <x v="1"/>
    <x v="0"/>
    <x v="2"/>
    <n v="352"/>
    <x v="12"/>
    <x v="12"/>
  </r>
  <r>
    <x v="1"/>
    <x v="0"/>
    <x v="3"/>
    <n v="317"/>
    <x v="12"/>
    <x v="12"/>
  </r>
  <r>
    <x v="1"/>
    <x v="0"/>
    <x v="4"/>
    <n v="95"/>
    <x v="12"/>
    <x v="12"/>
  </r>
  <r>
    <x v="1"/>
    <x v="0"/>
    <x v="5"/>
    <n v="160"/>
    <x v="12"/>
    <x v="12"/>
  </r>
  <r>
    <x v="1"/>
    <x v="0"/>
    <x v="6"/>
    <n v="405"/>
    <x v="12"/>
    <x v="12"/>
  </r>
  <r>
    <x v="1"/>
    <x v="0"/>
    <x v="7"/>
    <n v="151"/>
    <x v="12"/>
    <x v="12"/>
  </r>
  <r>
    <x v="1"/>
    <x v="0"/>
    <x v="8"/>
    <n v="267"/>
    <x v="12"/>
    <x v="12"/>
  </r>
  <r>
    <x v="1"/>
    <x v="0"/>
    <x v="9"/>
    <n v="232"/>
    <x v="12"/>
    <x v="12"/>
  </r>
  <r>
    <x v="1"/>
    <x v="0"/>
    <x v="10"/>
    <n v="216"/>
    <x v="12"/>
    <x v="12"/>
  </r>
  <r>
    <x v="1"/>
    <x v="0"/>
    <x v="11"/>
    <n v="179"/>
    <x v="12"/>
    <x v="12"/>
  </r>
  <r>
    <x v="1"/>
    <x v="0"/>
    <x v="12"/>
    <n v="408"/>
    <x v="12"/>
    <x v="12"/>
  </r>
  <r>
    <x v="1"/>
    <x v="0"/>
    <x v="13"/>
    <n v="405"/>
    <x v="12"/>
    <x v="12"/>
  </r>
  <r>
    <x v="1"/>
    <x v="0"/>
    <x v="14"/>
    <n v="450"/>
    <x v="12"/>
    <x v="12"/>
  </r>
  <r>
    <x v="1"/>
    <x v="0"/>
    <x v="15"/>
    <n v="186"/>
    <x v="12"/>
    <x v="12"/>
  </r>
  <r>
    <x v="1"/>
    <x v="0"/>
    <x v="16"/>
    <n v="233"/>
    <x v="12"/>
    <x v="12"/>
  </r>
  <r>
    <x v="1"/>
    <x v="0"/>
    <x v="17"/>
    <n v="410"/>
    <x v="12"/>
    <x v="12"/>
  </r>
  <r>
    <x v="1"/>
    <x v="0"/>
    <x v="18"/>
    <n v="323"/>
    <x v="12"/>
    <x v="12"/>
  </r>
  <r>
    <x v="1"/>
    <x v="0"/>
    <x v="19"/>
    <n v="558"/>
    <x v="12"/>
    <x v="12"/>
  </r>
  <r>
    <x v="1"/>
    <x v="0"/>
    <x v="20"/>
    <n v="120"/>
    <x v="12"/>
    <x v="12"/>
  </r>
  <r>
    <x v="1"/>
    <x v="0"/>
    <x v="21"/>
    <n v="683"/>
    <x v="12"/>
    <x v="12"/>
  </r>
  <r>
    <x v="1"/>
    <x v="0"/>
    <x v="22"/>
    <n v="594"/>
    <x v="12"/>
    <x v="12"/>
  </r>
  <r>
    <x v="1"/>
    <x v="0"/>
    <x v="23"/>
    <n v="346"/>
    <x v="12"/>
    <x v="12"/>
  </r>
  <r>
    <x v="1"/>
    <x v="0"/>
    <x v="24"/>
    <n v="514"/>
    <x v="12"/>
    <x v="12"/>
  </r>
  <r>
    <x v="1"/>
    <x v="0"/>
    <x v="25"/>
    <n v="411"/>
    <x v="12"/>
    <x v="12"/>
  </r>
  <r>
    <x v="1"/>
    <x v="0"/>
    <x v="26"/>
    <n v="185"/>
    <x v="12"/>
    <x v="12"/>
  </r>
  <r>
    <x v="1"/>
    <x v="0"/>
    <x v="27"/>
    <n v="347"/>
    <x v="12"/>
    <x v="12"/>
  </r>
  <r>
    <x v="1"/>
    <x v="0"/>
    <x v="28"/>
    <n v="575"/>
    <x v="12"/>
    <x v="12"/>
  </r>
  <r>
    <x v="1"/>
    <x v="0"/>
    <x v="29"/>
    <n v="555"/>
    <x v="12"/>
    <x v="12"/>
  </r>
  <r>
    <x v="1"/>
    <x v="0"/>
    <x v="30"/>
    <n v="202"/>
    <x v="12"/>
    <x v="12"/>
  </r>
  <r>
    <x v="1"/>
    <x v="0"/>
    <x v="31"/>
    <n v="284"/>
    <x v="12"/>
    <x v="12"/>
  </r>
  <r>
    <x v="1"/>
    <x v="0"/>
    <x v="32"/>
    <n v="611"/>
    <x v="12"/>
    <x v="12"/>
  </r>
  <r>
    <x v="1"/>
    <x v="0"/>
    <x v="33"/>
    <n v="253"/>
    <x v="12"/>
    <x v="12"/>
  </r>
  <r>
    <x v="1"/>
    <x v="0"/>
    <x v="34"/>
    <n v="281"/>
    <x v="12"/>
    <x v="12"/>
  </r>
  <r>
    <x v="1"/>
    <x v="0"/>
    <x v="35"/>
    <n v="251"/>
    <x v="12"/>
    <x v="12"/>
  </r>
  <r>
    <x v="1"/>
    <x v="0"/>
    <x v="36"/>
    <n v="698"/>
    <x v="12"/>
    <x v="12"/>
  </r>
  <r>
    <x v="1"/>
    <x v="0"/>
    <x v="37"/>
    <n v="386"/>
    <x v="12"/>
    <x v="12"/>
  </r>
  <r>
    <x v="1"/>
    <x v="0"/>
    <x v="38"/>
    <n v="317"/>
    <x v="12"/>
    <x v="12"/>
  </r>
  <r>
    <x v="1"/>
    <x v="0"/>
    <x v="39"/>
    <n v="272"/>
    <x v="12"/>
    <x v="12"/>
  </r>
  <r>
    <x v="1"/>
    <x v="0"/>
    <x v="40"/>
    <n v="308"/>
    <x v="12"/>
    <x v="12"/>
  </r>
  <r>
    <x v="1"/>
    <x v="0"/>
    <x v="41"/>
    <n v="155"/>
    <x v="12"/>
    <x v="12"/>
  </r>
  <r>
    <x v="1"/>
    <x v="0"/>
    <x v="42"/>
    <n v="360"/>
    <x v="12"/>
    <x v="12"/>
  </r>
  <r>
    <x v="1"/>
    <x v="0"/>
    <x v="43"/>
    <n v="769"/>
    <x v="12"/>
    <x v="12"/>
  </r>
  <r>
    <x v="1"/>
    <x v="0"/>
    <x v="44"/>
    <n v="422"/>
    <x v="12"/>
    <x v="12"/>
  </r>
  <r>
    <x v="1"/>
    <x v="0"/>
    <x v="45"/>
    <n v="374"/>
    <x v="12"/>
    <x v="12"/>
  </r>
  <r>
    <x v="1"/>
    <x v="0"/>
    <x v="46"/>
    <n v="1043"/>
    <x v="12"/>
    <x v="12"/>
  </r>
  <r>
    <x v="1"/>
    <x v="0"/>
    <x v="47"/>
    <n v="544"/>
    <x v="12"/>
    <x v="12"/>
  </r>
  <r>
    <x v="1"/>
    <x v="0"/>
    <x v="48"/>
    <n v="963"/>
    <x v="12"/>
    <x v="12"/>
  </r>
  <r>
    <x v="1"/>
    <x v="0"/>
    <x v="49"/>
    <n v="298"/>
    <x v="12"/>
    <x v="12"/>
  </r>
  <r>
    <x v="1"/>
    <x v="0"/>
    <x v="50"/>
    <n v="459"/>
    <x v="12"/>
    <x v="12"/>
  </r>
  <r>
    <x v="1"/>
    <x v="0"/>
    <x v="51"/>
    <n v="439"/>
    <x v="12"/>
    <x v="12"/>
  </r>
  <r>
    <x v="2"/>
    <x v="1"/>
    <x v="0"/>
    <n v="2"/>
    <x v="12"/>
    <x v="12"/>
  </r>
  <r>
    <x v="2"/>
    <x v="1"/>
    <x v="1"/>
    <n v="12"/>
    <x v="12"/>
    <x v="12"/>
  </r>
  <r>
    <x v="2"/>
    <x v="1"/>
    <x v="2"/>
    <n v="11"/>
    <x v="12"/>
    <x v="12"/>
  </r>
  <r>
    <x v="2"/>
    <x v="1"/>
    <x v="3"/>
    <n v="10"/>
    <x v="12"/>
    <x v="12"/>
  </r>
  <r>
    <x v="2"/>
    <x v="1"/>
    <x v="4"/>
    <n v="6"/>
    <x v="12"/>
    <x v="12"/>
  </r>
  <r>
    <x v="2"/>
    <x v="1"/>
    <x v="5"/>
    <n v="10"/>
    <x v="12"/>
    <x v="12"/>
  </r>
  <r>
    <x v="2"/>
    <x v="1"/>
    <x v="6"/>
    <n v="3"/>
    <x v="12"/>
    <x v="12"/>
  </r>
  <r>
    <x v="2"/>
    <x v="1"/>
    <x v="7"/>
    <n v="8"/>
    <x v="12"/>
    <x v="12"/>
  </r>
  <r>
    <x v="2"/>
    <x v="1"/>
    <x v="8"/>
    <n v="6"/>
    <x v="12"/>
    <x v="12"/>
  </r>
  <r>
    <x v="2"/>
    <x v="1"/>
    <x v="9"/>
    <n v="6"/>
    <x v="12"/>
    <x v="12"/>
  </r>
  <r>
    <x v="2"/>
    <x v="1"/>
    <x v="10"/>
    <n v="13"/>
    <x v="12"/>
    <x v="12"/>
  </r>
  <r>
    <x v="2"/>
    <x v="1"/>
    <x v="11"/>
    <n v="18"/>
    <x v="12"/>
    <x v="12"/>
  </r>
  <r>
    <x v="2"/>
    <x v="1"/>
    <x v="12"/>
    <n v="5"/>
    <x v="12"/>
    <x v="12"/>
  </r>
  <r>
    <x v="2"/>
    <x v="1"/>
    <x v="13"/>
    <n v="9"/>
    <x v="12"/>
    <x v="12"/>
  </r>
  <r>
    <x v="2"/>
    <x v="1"/>
    <x v="14"/>
    <n v="3"/>
    <x v="12"/>
    <x v="12"/>
  </r>
  <r>
    <x v="2"/>
    <x v="1"/>
    <x v="15"/>
    <n v="12"/>
    <x v="12"/>
    <x v="12"/>
  </r>
  <r>
    <x v="2"/>
    <x v="1"/>
    <x v="16"/>
    <n v="5"/>
    <x v="12"/>
    <x v="12"/>
  </r>
  <r>
    <x v="2"/>
    <x v="1"/>
    <x v="17"/>
    <n v="13"/>
    <x v="12"/>
    <x v="12"/>
  </r>
  <r>
    <x v="2"/>
    <x v="1"/>
    <x v="18"/>
    <n v="11"/>
    <x v="12"/>
    <x v="12"/>
  </r>
  <r>
    <x v="2"/>
    <x v="1"/>
    <x v="19"/>
    <n v="4"/>
    <x v="12"/>
    <x v="12"/>
  </r>
  <r>
    <x v="2"/>
    <x v="1"/>
    <x v="20"/>
    <n v="16"/>
    <x v="12"/>
    <x v="12"/>
  </r>
  <r>
    <x v="2"/>
    <x v="1"/>
    <x v="21"/>
    <n v="18"/>
    <x v="12"/>
    <x v="12"/>
  </r>
  <r>
    <x v="2"/>
    <x v="1"/>
    <x v="22"/>
    <n v="11"/>
    <x v="12"/>
    <x v="12"/>
  </r>
  <r>
    <x v="2"/>
    <x v="1"/>
    <x v="23"/>
    <n v="11"/>
    <x v="12"/>
    <x v="12"/>
  </r>
  <r>
    <x v="2"/>
    <x v="1"/>
    <x v="24"/>
    <n v="14"/>
    <x v="12"/>
    <x v="12"/>
  </r>
  <r>
    <x v="2"/>
    <x v="1"/>
    <x v="25"/>
    <n v="14"/>
    <x v="12"/>
    <x v="12"/>
  </r>
  <r>
    <x v="2"/>
    <x v="1"/>
    <x v="26"/>
    <n v="16"/>
    <x v="12"/>
    <x v="12"/>
  </r>
  <r>
    <x v="2"/>
    <x v="1"/>
    <x v="27"/>
    <n v="13"/>
    <x v="12"/>
    <x v="12"/>
  </r>
  <r>
    <x v="2"/>
    <x v="1"/>
    <x v="28"/>
    <n v="17"/>
    <x v="12"/>
    <x v="12"/>
  </r>
  <r>
    <x v="2"/>
    <x v="1"/>
    <x v="29"/>
    <n v="6"/>
    <x v="12"/>
    <x v="12"/>
  </r>
  <r>
    <x v="2"/>
    <x v="1"/>
    <x v="30"/>
    <n v="7"/>
    <x v="12"/>
    <x v="12"/>
  </r>
  <r>
    <x v="2"/>
    <x v="1"/>
    <x v="31"/>
    <n v="27"/>
    <x v="12"/>
    <x v="12"/>
  </r>
  <r>
    <x v="2"/>
    <x v="1"/>
    <x v="32"/>
    <n v="14"/>
    <x v="12"/>
    <x v="12"/>
  </r>
  <r>
    <x v="2"/>
    <x v="1"/>
    <x v="33"/>
    <n v="26"/>
    <x v="12"/>
    <x v="12"/>
  </r>
  <r>
    <x v="2"/>
    <x v="1"/>
    <x v="34"/>
    <n v="15"/>
    <x v="12"/>
    <x v="12"/>
  </r>
  <r>
    <x v="2"/>
    <x v="1"/>
    <x v="35"/>
    <n v="15"/>
    <x v="12"/>
    <x v="12"/>
  </r>
  <r>
    <x v="2"/>
    <x v="1"/>
    <x v="36"/>
    <n v="8"/>
    <x v="12"/>
    <x v="12"/>
  </r>
  <r>
    <x v="2"/>
    <x v="1"/>
    <x v="37"/>
    <n v="24"/>
    <x v="12"/>
    <x v="12"/>
  </r>
  <r>
    <x v="2"/>
    <x v="1"/>
    <x v="38"/>
    <n v="2"/>
    <x v="12"/>
    <x v="12"/>
  </r>
  <r>
    <x v="2"/>
    <x v="1"/>
    <x v="39"/>
    <n v="17"/>
    <x v="12"/>
    <x v="12"/>
  </r>
  <r>
    <x v="2"/>
    <x v="1"/>
    <x v="40"/>
    <n v="15"/>
    <x v="12"/>
    <x v="12"/>
  </r>
  <r>
    <x v="2"/>
    <x v="1"/>
    <x v="41"/>
    <n v="17"/>
    <x v="12"/>
    <x v="12"/>
  </r>
  <r>
    <x v="2"/>
    <x v="1"/>
    <x v="42"/>
    <n v="11"/>
    <x v="12"/>
    <x v="12"/>
  </r>
  <r>
    <x v="2"/>
    <x v="1"/>
    <x v="43"/>
    <n v="9"/>
    <x v="12"/>
    <x v="12"/>
  </r>
  <r>
    <x v="2"/>
    <x v="1"/>
    <x v="44"/>
    <n v="22"/>
    <x v="12"/>
    <x v="12"/>
  </r>
  <r>
    <x v="2"/>
    <x v="1"/>
    <x v="45"/>
    <n v="28"/>
    <x v="12"/>
    <x v="12"/>
  </r>
  <r>
    <x v="2"/>
    <x v="1"/>
    <x v="46"/>
    <n v="16"/>
    <x v="12"/>
    <x v="12"/>
  </r>
  <r>
    <x v="2"/>
    <x v="1"/>
    <x v="47"/>
    <n v="8"/>
    <x v="12"/>
    <x v="12"/>
  </r>
  <r>
    <x v="2"/>
    <x v="1"/>
    <x v="48"/>
    <n v="27"/>
    <x v="12"/>
    <x v="12"/>
  </r>
  <r>
    <x v="2"/>
    <x v="1"/>
    <x v="49"/>
    <n v="10"/>
    <x v="12"/>
    <x v="12"/>
  </r>
  <r>
    <x v="2"/>
    <x v="1"/>
    <x v="50"/>
    <n v="26"/>
    <x v="12"/>
    <x v="12"/>
  </r>
  <r>
    <x v="2"/>
    <x v="1"/>
    <x v="51"/>
    <n v="8"/>
    <x v="12"/>
    <x v="12"/>
  </r>
  <r>
    <x v="3"/>
    <x v="1"/>
    <x v="0"/>
    <n v="53"/>
    <x v="13"/>
    <x v="13"/>
  </r>
  <r>
    <x v="3"/>
    <x v="1"/>
    <x v="1"/>
    <n v="158"/>
    <x v="13"/>
    <x v="13"/>
  </r>
  <r>
    <x v="3"/>
    <x v="1"/>
    <x v="2"/>
    <n v="48"/>
    <x v="13"/>
    <x v="13"/>
  </r>
  <r>
    <x v="3"/>
    <x v="1"/>
    <x v="3"/>
    <n v="150"/>
    <x v="13"/>
    <x v="13"/>
  </r>
  <r>
    <x v="3"/>
    <x v="1"/>
    <x v="4"/>
    <n v="119"/>
    <x v="13"/>
    <x v="13"/>
  </r>
  <r>
    <x v="3"/>
    <x v="1"/>
    <x v="5"/>
    <n v="197"/>
    <x v="13"/>
    <x v="13"/>
  </r>
  <r>
    <x v="3"/>
    <x v="1"/>
    <x v="6"/>
    <n v="52"/>
    <x v="13"/>
    <x v="13"/>
  </r>
  <r>
    <x v="3"/>
    <x v="1"/>
    <x v="7"/>
    <n v="160"/>
    <x v="13"/>
    <x v="13"/>
  </r>
  <r>
    <x v="3"/>
    <x v="1"/>
    <x v="8"/>
    <n v="180"/>
    <x v="13"/>
    <x v="13"/>
  </r>
  <r>
    <x v="3"/>
    <x v="1"/>
    <x v="9"/>
    <n v="153"/>
    <x v="13"/>
    <x v="13"/>
  </r>
  <r>
    <x v="3"/>
    <x v="1"/>
    <x v="10"/>
    <n v="222"/>
    <x v="13"/>
    <x v="13"/>
  </r>
  <r>
    <x v="3"/>
    <x v="1"/>
    <x v="11"/>
    <n v="137"/>
    <x v="13"/>
    <x v="13"/>
  </r>
  <r>
    <x v="3"/>
    <x v="1"/>
    <x v="12"/>
    <n v="91"/>
    <x v="13"/>
    <x v="13"/>
  </r>
  <r>
    <x v="3"/>
    <x v="1"/>
    <x v="13"/>
    <n v="72"/>
    <x v="13"/>
    <x v="13"/>
  </r>
  <r>
    <x v="3"/>
    <x v="1"/>
    <x v="14"/>
    <n v="148"/>
    <x v="13"/>
    <x v="13"/>
  </r>
  <r>
    <x v="3"/>
    <x v="1"/>
    <x v="15"/>
    <n v="104"/>
    <x v="13"/>
    <x v="13"/>
  </r>
  <r>
    <x v="3"/>
    <x v="1"/>
    <x v="16"/>
    <n v="44"/>
    <x v="13"/>
    <x v="13"/>
  </r>
  <r>
    <x v="3"/>
    <x v="1"/>
    <x v="17"/>
    <n v="185"/>
    <x v="13"/>
    <x v="13"/>
  </r>
  <r>
    <x v="3"/>
    <x v="1"/>
    <x v="18"/>
    <n v="255"/>
    <x v="13"/>
    <x v="13"/>
  </r>
  <r>
    <x v="3"/>
    <x v="1"/>
    <x v="19"/>
    <n v="121"/>
    <x v="13"/>
    <x v="13"/>
  </r>
  <r>
    <x v="3"/>
    <x v="1"/>
    <x v="20"/>
    <n v="110"/>
    <x v="13"/>
    <x v="13"/>
  </r>
  <r>
    <x v="3"/>
    <x v="1"/>
    <x v="21"/>
    <n v="191"/>
    <x v="13"/>
    <x v="13"/>
  </r>
  <r>
    <x v="3"/>
    <x v="1"/>
    <x v="22"/>
    <n v="94"/>
    <x v="13"/>
    <x v="13"/>
  </r>
  <r>
    <x v="3"/>
    <x v="1"/>
    <x v="23"/>
    <n v="232"/>
    <x v="13"/>
    <x v="13"/>
  </r>
  <r>
    <x v="3"/>
    <x v="1"/>
    <x v="24"/>
    <n v="70"/>
    <x v="13"/>
    <x v="13"/>
  </r>
  <r>
    <x v="3"/>
    <x v="1"/>
    <x v="25"/>
    <n v="357"/>
    <x v="13"/>
    <x v="13"/>
  </r>
  <r>
    <x v="3"/>
    <x v="1"/>
    <x v="26"/>
    <n v="104"/>
    <x v="13"/>
    <x v="13"/>
  </r>
  <r>
    <x v="3"/>
    <x v="1"/>
    <x v="27"/>
    <n v="185"/>
    <x v="13"/>
    <x v="13"/>
  </r>
  <r>
    <x v="3"/>
    <x v="1"/>
    <x v="28"/>
    <n v="283"/>
    <x v="13"/>
    <x v="13"/>
  </r>
  <r>
    <x v="3"/>
    <x v="1"/>
    <x v="29"/>
    <n v="74"/>
    <x v="13"/>
    <x v="13"/>
  </r>
  <r>
    <x v="3"/>
    <x v="1"/>
    <x v="30"/>
    <n v="207"/>
    <x v="13"/>
    <x v="13"/>
  </r>
  <r>
    <x v="3"/>
    <x v="1"/>
    <x v="31"/>
    <n v="316"/>
    <x v="13"/>
    <x v="13"/>
  </r>
  <r>
    <x v="3"/>
    <x v="1"/>
    <x v="32"/>
    <n v="191"/>
    <x v="13"/>
    <x v="13"/>
  </r>
  <r>
    <x v="3"/>
    <x v="1"/>
    <x v="33"/>
    <n v="276"/>
    <x v="13"/>
    <x v="13"/>
  </r>
  <r>
    <x v="3"/>
    <x v="1"/>
    <x v="34"/>
    <n v="114"/>
    <x v="13"/>
    <x v="13"/>
  </r>
  <r>
    <x v="3"/>
    <x v="1"/>
    <x v="35"/>
    <n v="330"/>
    <x v="13"/>
    <x v="13"/>
  </r>
  <r>
    <x v="3"/>
    <x v="1"/>
    <x v="36"/>
    <n v="188"/>
    <x v="13"/>
    <x v="13"/>
  </r>
  <r>
    <x v="3"/>
    <x v="1"/>
    <x v="37"/>
    <n v="446"/>
    <x v="13"/>
    <x v="13"/>
  </r>
  <r>
    <x v="3"/>
    <x v="1"/>
    <x v="38"/>
    <n v="245"/>
    <x v="13"/>
    <x v="13"/>
  </r>
  <r>
    <x v="3"/>
    <x v="1"/>
    <x v="39"/>
    <n v="430"/>
    <x v="13"/>
    <x v="13"/>
  </r>
  <r>
    <x v="3"/>
    <x v="1"/>
    <x v="40"/>
    <n v="186"/>
    <x v="13"/>
    <x v="13"/>
  </r>
  <r>
    <x v="3"/>
    <x v="1"/>
    <x v="41"/>
    <n v="180"/>
    <x v="13"/>
    <x v="13"/>
  </r>
  <r>
    <x v="3"/>
    <x v="1"/>
    <x v="42"/>
    <n v="324"/>
    <x v="13"/>
    <x v="13"/>
  </r>
  <r>
    <x v="3"/>
    <x v="1"/>
    <x v="43"/>
    <n v="159"/>
    <x v="13"/>
    <x v="13"/>
  </r>
  <r>
    <x v="3"/>
    <x v="1"/>
    <x v="44"/>
    <n v="138"/>
    <x v="13"/>
    <x v="13"/>
  </r>
  <r>
    <x v="3"/>
    <x v="1"/>
    <x v="45"/>
    <n v="383"/>
    <x v="13"/>
    <x v="13"/>
  </r>
  <r>
    <x v="3"/>
    <x v="1"/>
    <x v="46"/>
    <n v="179"/>
    <x v="13"/>
    <x v="13"/>
  </r>
  <r>
    <x v="3"/>
    <x v="1"/>
    <x v="47"/>
    <n v="430"/>
    <x v="13"/>
    <x v="13"/>
  </r>
  <r>
    <x v="3"/>
    <x v="1"/>
    <x v="48"/>
    <n v="155"/>
    <x v="13"/>
    <x v="13"/>
  </r>
  <r>
    <x v="3"/>
    <x v="1"/>
    <x v="49"/>
    <n v="138"/>
    <x v="13"/>
    <x v="13"/>
  </r>
  <r>
    <x v="3"/>
    <x v="1"/>
    <x v="50"/>
    <n v="197"/>
    <x v="13"/>
    <x v="13"/>
  </r>
  <r>
    <x v="3"/>
    <x v="1"/>
    <x v="51"/>
    <n v="265"/>
    <x v="13"/>
    <x v="13"/>
  </r>
  <r>
    <x v="5"/>
    <x v="0"/>
    <x v="0"/>
    <n v="168"/>
    <x v="13"/>
    <x v="13"/>
  </r>
  <r>
    <x v="5"/>
    <x v="0"/>
    <x v="1"/>
    <n v="495"/>
    <x v="13"/>
    <x v="13"/>
  </r>
  <r>
    <x v="5"/>
    <x v="0"/>
    <x v="2"/>
    <n v="161"/>
    <x v="13"/>
    <x v="13"/>
  </r>
  <r>
    <x v="5"/>
    <x v="0"/>
    <x v="3"/>
    <n v="403"/>
    <x v="13"/>
    <x v="13"/>
  </r>
  <r>
    <x v="5"/>
    <x v="0"/>
    <x v="4"/>
    <n v="233"/>
    <x v="13"/>
    <x v="13"/>
  </r>
  <r>
    <x v="5"/>
    <x v="0"/>
    <x v="5"/>
    <n v="518"/>
    <x v="13"/>
    <x v="13"/>
  </r>
  <r>
    <x v="5"/>
    <x v="0"/>
    <x v="6"/>
    <n v="150"/>
    <x v="13"/>
    <x v="13"/>
  </r>
  <r>
    <x v="5"/>
    <x v="0"/>
    <x v="7"/>
    <n v="120"/>
    <x v="13"/>
    <x v="13"/>
  </r>
  <r>
    <x v="5"/>
    <x v="0"/>
    <x v="8"/>
    <n v="352"/>
    <x v="13"/>
    <x v="13"/>
  </r>
  <r>
    <x v="5"/>
    <x v="0"/>
    <x v="9"/>
    <n v="589"/>
    <x v="13"/>
    <x v="13"/>
  </r>
  <r>
    <x v="5"/>
    <x v="0"/>
    <x v="10"/>
    <n v="411"/>
    <x v="13"/>
    <x v="13"/>
  </r>
  <r>
    <x v="5"/>
    <x v="0"/>
    <x v="11"/>
    <n v="403"/>
    <x v="13"/>
    <x v="13"/>
  </r>
  <r>
    <x v="5"/>
    <x v="0"/>
    <x v="12"/>
    <n v="715"/>
    <x v="13"/>
    <x v="13"/>
  </r>
  <r>
    <x v="5"/>
    <x v="0"/>
    <x v="13"/>
    <n v="229"/>
    <x v="13"/>
    <x v="13"/>
  </r>
  <r>
    <x v="5"/>
    <x v="0"/>
    <x v="14"/>
    <n v="418"/>
    <x v="13"/>
    <x v="13"/>
  </r>
  <r>
    <x v="5"/>
    <x v="0"/>
    <x v="15"/>
    <n v="607"/>
    <x v="13"/>
    <x v="13"/>
  </r>
  <r>
    <x v="5"/>
    <x v="0"/>
    <x v="16"/>
    <n v="291"/>
    <x v="13"/>
    <x v="13"/>
  </r>
  <r>
    <x v="5"/>
    <x v="0"/>
    <x v="17"/>
    <n v="556"/>
    <x v="13"/>
    <x v="13"/>
  </r>
  <r>
    <x v="5"/>
    <x v="0"/>
    <x v="18"/>
    <n v="313"/>
    <x v="13"/>
    <x v="13"/>
  </r>
  <r>
    <x v="5"/>
    <x v="0"/>
    <x v="19"/>
    <n v="539"/>
    <x v="13"/>
    <x v="13"/>
  </r>
  <r>
    <x v="5"/>
    <x v="0"/>
    <x v="20"/>
    <n v="566"/>
    <x v="13"/>
    <x v="13"/>
  </r>
  <r>
    <x v="5"/>
    <x v="0"/>
    <x v="21"/>
    <n v="156"/>
    <x v="13"/>
    <x v="13"/>
  </r>
  <r>
    <x v="5"/>
    <x v="0"/>
    <x v="22"/>
    <n v="445"/>
    <x v="13"/>
    <x v="13"/>
  </r>
  <r>
    <x v="5"/>
    <x v="0"/>
    <x v="23"/>
    <n v="565"/>
    <x v="13"/>
    <x v="13"/>
  </r>
  <r>
    <x v="5"/>
    <x v="0"/>
    <x v="24"/>
    <n v="689"/>
    <x v="13"/>
    <x v="13"/>
  </r>
  <r>
    <x v="5"/>
    <x v="0"/>
    <x v="25"/>
    <n v="306"/>
    <x v="13"/>
    <x v="13"/>
  </r>
  <r>
    <x v="5"/>
    <x v="0"/>
    <x v="26"/>
    <n v="360"/>
    <x v="13"/>
    <x v="13"/>
  </r>
  <r>
    <x v="5"/>
    <x v="0"/>
    <x v="27"/>
    <n v="429"/>
    <x v="13"/>
    <x v="13"/>
  </r>
  <r>
    <x v="5"/>
    <x v="0"/>
    <x v="28"/>
    <n v="506"/>
    <x v="13"/>
    <x v="13"/>
  </r>
  <r>
    <x v="5"/>
    <x v="0"/>
    <x v="29"/>
    <n v="385"/>
    <x v="13"/>
    <x v="13"/>
  </r>
  <r>
    <x v="5"/>
    <x v="0"/>
    <x v="30"/>
    <n v="552"/>
    <x v="13"/>
    <x v="13"/>
  </r>
  <r>
    <x v="5"/>
    <x v="0"/>
    <x v="31"/>
    <n v="493"/>
    <x v="13"/>
    <x v="13"/>
  </r>
  <r>
    <x v="5"/>
    <x v="0"/>
    <x v="32"/>
    <n v="339"/>
    <x v="13"/>
    <x v="13"/>
  </r>
  <r>
    <x v="5"/>
    <x v="0"/>
    <x v="33"/>
    <n v="643"/>
    <x v="13"/>
    <x v="13"/>
  </r>
  <r>
    <x v="5"/>
    <x v="0"/>
    <x v="34"/>
    <n v="1204"/>
    <x v="13"/>
    <x v="13"/>
  </r>
  <r>
    <x v="5"/>
    <x v="0"/>
    <x v="35"/>
    <n v="1168"/>
    <x v="13"/>
    <x v="13"/>
  </r>
  <r>
    <x v="5"/>
    <x v="0"/>
    <x v="36"/>
    <n v="267"/>
    <x v="13"/>
    <x v="13"/>
  </r>
  <r>
    <x v="5"/>
    <x v="0"/>
    <x v="37"/>
    <n v="603"/>
    <x v="13"/>
    <x v="13"/>
  </r>
  <r>
    <x v="5"/>
    <x v="0"/>
    <x v="38"/>
    <n v="249"/>
    <x v="13"/>
    <x v="13"/>
  </r>
  <r>
    <x v="5"/>
    <x v="0"/>
    <x v="39"/>
    <n v="136"/>
    <x v="13"/>
    <x v="13"/>
  </r>
  <r>
    <x v="5"/>
    <x v="0"/>
    <x v="40"/>
    <n v="443"/>
    <x v="13"/>
    <x v="13"/>
  </r>
  <r>
    <x v="5"/>
    <x v="0"/>
    <x v="41"/>
    <n v="388"/>
    <x v="13"/>
    <x v="13"/>
  </r>
  <r>
    <x v="5"/>
    <x v="0"/>
    <x v="42"/>
    <n v="797"/>
    <x v="13"/>
    <x v="13"/>
  </r>
  <r>
    <x v="5"/>
    <x v="0"/>
    <x v="43"/>
    <n v="237"/>
    <x v="13"/>
    <x v="13"/>
  </r>
  <r>
    <x v="5"/>
    <x v="0"/>
    <x v="44"/>
    <n v="572"/>
    <x v="13"/>
    <x v="13"/>
  </r>
  <r>
    <x v="5"/>
    <x v="0"/>
    <x v="45"/>
    <n v="490"/>
    <x v="13"/>
    <x v="13"/>
  </r>
  <r>
    <x v="5"/>
    <x v="0"/>
    <x v="46"/>
    <n v="469"/>
    <x v="13"/>
    <x v="13"/>
  </r>
  <r>
    <x v="5"/>
    <x v="0"/>
    <x v="47"/>
    <n v="1209"/>
    <x v="13"/>
    <x v="13"/>
  </r>
  <r>
    <x v="5"/>
    <x v="0"/>
    <x v="48"/>
    <n v="562"/>
    <x v="13"/>
    <x v="13"/>
  </r>
  <r>
    <x v="5"/>
    <x v="0"/>
    <x v="49"/>
    <n v="357"/>
    <x v="13"/>
    <x v="13"/>
  </r>
  <r>
    <x v="5"/>
    <x v="0"/>
    <x v="50"/>
    <n v="455"/>
    <x v="13"/>
    <x v="13"/>
  </r>
  <r>
    <x v="5"/>
    <x v="0"/>
    <x v="51"/>
    <n v="1404"/>
    <x v="13"/>
    <x v="13"/>
  </r>
  <r>
    <x v="6"/>
    <x v="6"/>
    <x v="52"/>
    <m/>
    <x v="14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CE2DF-15A6-4109-8225-7D9AE9552725}" name="Tabela przestawna3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4">
  <location ref="Q5:R8" firstHeaderRow="1" firstDataRow="1" firstDataCol="1" rowPageCount="1" colPageCount="1"/>
  <pivotFields count="5">
    <pivotField axis="axisRow" showAll="0">
      <items count="8">
        <item x="1"/>
        <item x="4"/>
        <item x="2"/>
        <item x="5"/>
        <item x="3"/>
        <item x="0"/>
        <item x="6"/>
        <item t="default"/>
      </items>
    </pivotField>
    <pivotField showAll="0"/>
    <pivotField dataField="1" showAll="0"/>
    <pivotField showAll="0"/>
    <pivotField axis="axisPage" showAll="0">
      <items count="16">
        <item x="8"/>
        <item x="10"/>
        <item x="11"/>
        <item x="13"/>
        <item x="4"/>
        <item x="1"/>
        <item x="2"/>
        <item x="6"/>
        <item x="12"/>
        <item x="7"/>
        <item x="9"/>
        <item x="5"/>
        <item x="0"/>
        <item x="3"/>
        <item x="14"/>
        <item t="default"/>
      </items>
    </pivotField>
  </pivotFields>
  <rowFields count="1">
    <field x="0"/>
  </rowFields>
  <rowItems count="3">
    <i>
      <x v="1"/>
    </i>
    <i>
      <x v="2"/>
    </i>
    <i>
      <x v="4"/>
    </i>
  </rowItems>
  <colItems count="1">
    <i/>
  </colItems>
  <pageFields count="1">
    <pageField fld="4" item="11" hier="-1"/>
  </pageFields>
  <dataFields count="1">
    <dataField name="Suma z Sprzedaż" fld="2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92848-BBB5-4F8B-B347-BB07A3326F05}" name="Tabela przestawna2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9">
  <location ref="L5:M20" firstHeaderRow="1" firstDataRow="1" firstDataCol="1"/>
  <pivotFields count="5">
    <pivotField showAll="0"/>
    <pivotField showAll="0"/>
    <pivotField dataField="1" showAll="0"/>
    <pivotField showAll="0"/>
    <pivotField axis="axisRow" showAll="0" sortType="descending">
      <items count="16">
        <item x="8"/>
        <item x="10"/>
        <item x="11"/>
        <item x="13"/>
        <item x="4"/>
        <item x="1"/>
        <item x="2"/>
        <item x="6"/>
        <item x="12"/>
        <item x="7"/>
        <item x="9"/>
        <item x="5"/>
        <item x="0"/>
        <item x="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"/>
  </rowFields>
  <rowItems count="15">
    <i>
      <x v="7"/>
    </i>
    <i>
      <x v="12"/>
    </i>
    <i>
      <x v="6"/>
    </i>
    <i>
      <x v="13"/>
    </i>
    <i>
      <x/>
    </i>
    <i>
      <x v="10"/>
    </i>
    <i>
      <x v="5"/>
    </i>
    <i>
      <x v="3"/>
    </i>
    <i>
      <x v="11"/>
    </i>
    <i>
      <x v="4"/>
    </i>
    <i>
      <x v="2"/>
    </i>
    <i>
      <x v="1"/>
    </i>
    <i>
      <x v="9"/>
    </i>
    <i>
      <x v="8"/>
    </i>
    <i>
      <x v="14"/>
    </i>
  </rowItems>
  <colItems count="1">
    <i/>
  </colItems>
  <dataFields count="1">
    <dataField name="Suma z Sprzedaż" fld="2" baseField="4" baseItem="0"/>
  </dataFields>
  <chartFormats count="2"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11F56A-44C2-4956-AD29-3A0677E69720}" name="Tabela przestawna4" cacheId="27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6">
  <location ref="V5:W8" firstHeaderRow="1" firstDataRow="1" firstDataCol="1" rowPageCount="1" colPageCount="1"/>
  <pivotFields count="6">
    <pivotField axis="axisRow" showAll="0">
      <items count="8">
        <item x="0"/>
        <item x="1"/>
        <item x="3"/>
        <item x="4"/>
        <item x="2"/>
        <item x="5"/>
        <item x="6"/>
        <item t="default"/>
      </items>
    </pivotField>
    <pivotField showAll="0"/>
    <pivotField showAll="0"/>
    <pivotField dataField="1" showAll="0"/>
    <pivotField showAll="0"/>
    <pivotField axis="axisPage" showAll="0">
      <items count="16">
        <item x="8"/>
        <item x="10"/>
        <item x="11"/>
        <item x="13"/>
        <item x="4"/>
        <item x="1"/>
        <item x="2"/>
        <item x="6"/>
        <item x="12"/>
        <item x="7"/>
        <item x="9"/>
        <item x="5"/>
        <item x="0"/>
        <item x="3"/>
        <item x="14"/>
        <item t="default"/>
      </items>
    </pivotField>
  </pivotFields>
  <rowFields count="1">
    <field x="0"/>
  </rowFields>
  <rowItems count="3">
    <i>
      <x v="2"/>
    </i>
    <i>
      <x v="3"/>
    </i>
    <i>
      <x v="5"/>
    </i>
  </rowItems>
  <colItems count="1">
    <i/>
  </colItems>
  <pageFields count="1">
    <pageField fld="5" item="11" hier="-1"/>
  </pageFields>
  <dataFields count="1">
    <dataField name="Suma z Sprzedaż" fld="3" baseField="0" baseItem="0"/>
  </dataFields>
  <chartFormats count="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CB0B9-98C0-4337-8A1C-DB2B488CFB67}" name="Tabela przestawna10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L5:M20" firstHeaderRow="1" firstDataRow="1" firstDataCol="1"/>
  <pivotFields count="5">
    <pivotField showAll="0"/>
    <pivotField showAll="0"/>
    <pivotField dataField="1" showAll="0"/>
    <pivotField axis="axisRow" showAll="0" sortType="descending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3"/>
  </rowFields>
  <rowItems count="15">
    <i>
      <x v="6"/>
    </i>
    <i>
      <x/>
    </i>
    <i>
      <x v="2"/>
    </i>
    <i>
      <x v="3"/>
    </i>
    <i>
      <x v="8"/>
    </i>
    <i>
      <x v="9"/>
    </i>
    <i>
      <x v="1"/>
    </i>
    <i>
      <x v="13"/>
    </i>
    <i>
      <x v="5"/>
    </i>
    <i>
      <x v="4"/>
    </i>
    <i>
      <x v="11"/>
    </i>
    <i>
      <x v="10"/>
    </i>
    <i>
      <x v="7"/>
    </i>
    <i>
      <x v="12"/>
    </i>
    <i>
      <x v="14"/>
    </i>
  </rowItems>
  <colItems count="1">
    <i/>
  </colItems>
  <dataFields count="1">
    <dataField name="Suma z Sprzedaż" fld="2" baseField="4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CC9369-C68D-4D3C-A570-D2BE1493EB33}" name="Tabela przestawna9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Q5:R7" firstHeaderRow="1" firstDataRow="1" firstDataCol="1" rowPageCount="1" colPageCount="1"/>
  <pivotFields count="5">
    <pivotField axis="axisRow" showAll="0">
      <items count="8">
        <item x="1"/>
        <item x="4"/>
        <item x="2"/>
        <item x="5"/>
        <item x="3"/>
        <item x="0"/>
        <item x="6"/>
        <item t="default"/>
      </items>
    </pivotField>
    <pivotField showAll="0"/>
    <pivotField dataField="1" showAll="0"/>
    <pivotField axis="axisPage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</pivotFields>
  <rowFields count="1">
    <field x="0"/>
  </rowFields>
  <rowItems count="2">
    <i>
      <x v="1"/>
    </i>
    <i>
      <x v="3"/>
    </i>
  </rowItems>
  <colItems count="1">
    <i/>
  </colItems>
  <pageFields count="1">
    <pageField fld="3" item="8" hier="-1"/>
  </pageFields>
  <dataFields count="1">
    <dataField name="Suma z Sprzedaż" fld="2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D97CE-4053-43D8-9DDB-49A6AAA8A3BD}" name="Tabela przestawna8" cacheId="27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V5:W7" firstHeaderRow="1" firstDataRow="1" firstDataCol="1" rowPageCount="1" colPageCount="1"/>
  <pivotFields count="6">
    <pivotField axis="axisRow" showAll="0">
      <items count="8">
        <item x="0"/>
        <item x="1"/>
        <item x="3"/>
        <item x="4"/>
        <item x="2"/>
        <item x="5"/>
        <item x="6"/>
        <item t="default"/>
      </items>
    </pivotField>
    <pivotField showAll="0"/>
    <pivotField showAll="0"/>
    <pivotField dataField="1" showAll="0"/>
    <pivotField axis="axisPage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</pivotFields>
  <rowFields count="1">
    <field x="0"/>
  </rowFields>
  <rowItems count="2">
    <i>
      <x/>
    </i>
    <i>
      <x v="1"/>
    </i>
  </rowItems>
  <colItems count="1">
    <i/>
  </colItems>
  <pageFields count="1">
    <pageField fld="4" item="8" hier="-1"/>
  </pageFields>
  <dataFields count="1">
    <dataField name="Suma z Sprzedaż" fld="3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DF2E4D-4D31-49B2-92B2-17B1660A6DA1}" name="Tabela przestawna12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Q5:R11" firstHeaderRow="1" firstDataRow="1" firstDataCol="1" rowPageCount="1" colPageCount="1"/>
  <pivotFields count="5">
    <pivotField axis="axisPage" showAll="0">
      <items count="8">
        <item x="1"/>
        <item x="4"/>
        <item x="2"/>
        <item x="5"/>
        <item x="3"/>
        <item x="0"/>
        <item x="6"/>
        <item t="default"/>
      </items>
    </pivotField>
    <pivotField showAll="0"/>
    <pivotField dataField="1" showAll="0"/>
    <pivotField showAll="0"/>
    <pivotField axis="axisRow" showAll="0">
      <items count="16">
        <item x="8"/>
        <item x="10"/>
        <item x="11"/>
        <item x="13"/>
        <item x="4"/>
        <item x="1"/>
        <item x="2"/>
        <item x="6"/>
        <item x="12"/>
        <item x="7"/>
        <item x="9"/>
        <item x="5"/>
        <item x="0"/>
        <item x="3"/>
        <item x="14"/>
        <item t="default"/>
      </items>
    </pivotField>
  </pivotFields>
  <rowFields count="1">
    <field x="4"/>
  </rowFields>
  <rowItems count="6">
    <i>
      <x v="3"/>
    </i>
    <i>
      <x v="5"/>
    </i>
    <i>
      <x v="6"/>
    </i>
    <i>
      <x v="8"/>
    </i>
    <i>
      <x v="12"/>
    </i>
    <i>
      <x v="13"/>
    </i>
  </rowItems>
  <colItems count="1">
    <i/>
  </colItems>
  <pageFields count="1">
    <pageField fld="0" item="0" hier="-1"/>
  </pageFields>
  <dataFields count="1">
    <dataField name="Suma z Sprzedaż" fld="2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7BBB07-D98B-494A-9BC8-62A82C88C1D2}" name="Tabela przestawna11" cacheId="27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V5:W11" firstHeaderRow="1" firstDataRow="1" firstDataCol="1" rowPageCount="1" colPageCount="1"/>
  <pivotFields count="6">
    <pivotField axis="axisRow" showAll="0">
      <items count="8">
        <item x="0"/>
        <item x="1"/>
        <item x="3"/>
        <item x="4"/>
        <item x="2"/>
        <item x="5"/>
        <item x="6"/>
        <item t="default"/>
      </items>
    </pivotField>
    <pivotField axis="axisPage" showAll="0">
      <items count="8">
        <item x="1"/>
        <item x="4"/>
        <item x="2"/>
        <item x="5"/>
        <item x="3"/>
        <item x="0"/>
        <item x="6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1" item="0" hier="-1"/>
  </pageFields>
  <dataFields count="1">
    <dataField name="Suma z Sprzedaż" fld="3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B35E6-5C80-447C-9708-CD65D3C828C8}" name="Tabela przestawna13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L5:M12" firstHeaderRow="1" firstDataRow="1" firstDataCol="1"/>
  <pivotFields count="5">
    <pivotField axis="axisRow" showAll="0" sortType="descending">
      <items count="8">
        <item x="1"/>
        <item x="4"/>
        <item x="2"/>
        <item x="5"/>
        <item x="3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</pivotFields>
  <rowFields count="1">
    <field x="0"/>
  </rowFields>
  <rowItems count="7">
    <i>
      <x v="3"/>
    </i>
    <i>
      <x v="4"/>
    </i>
    <i>
      <x v="5"/>
    </i>
    <i>
      <x/>
    </i>
    <i>
      <x v="2"/>
    </i>
    <i>
      <x v="1"/>
    </i>
    <i>
      <x v="6"/>
    </i>
  </rowItems>
  <colItems count="1">
    <i/>
  </colItems>
  <dataFields count="1">
    <dataField name="Suma z Sprzedaż" fld="2" baseField="4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C77D62-77D5-4175-9AC7-B0959E66C2B4}" name="Tabela przestawna15" cacheId="27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3">
  <location ref="Q5:R20" firstHeaderRow="1" firstDataRow="1" firstDataCol="1" rowPageCount="1" colPageCount="1"/>
  <pivotFields count="6">
    <pivotField axis="axisPage" showAll="0">
      <items count="8">
        <item x="0"/>
        <item n="(Wszystkie)" x="1"/>
        <item x="3"/>
        <item x="4"/>
        <item x="2"/>
        <item x="5"/>
        <item x="6"/>
        <item t="default"/>
      </items>
    </pivotField>
    <pivotField showAll="0"/>
    <pivotField showAll="0"/>
    <pivotField dataField="1" showAll="0"/>
    <pivotField showAll="0"/>
    <pivotField axis="axisRow" showAll="0">
      <items count="16">
        <item x="8"/>
        <item x="10"/>
        <item x="11"/>
        <item x="13"/>
        <item x="4"/>
        <item x="1"/>
        <item x="2"/>
        <item x="6"/>
        <item x="12"/>
        <item x="7"/>
        <item x="9"/>
        <item x="5"/>
        <item x="0"/>
        <item x="3"/>
        <item x="14"/>
        <item t="default"/>
      </items>
    </pivotField>
  </pivotFields>
  <rowFields count="1"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pageFields count="1">
    <pageField fld="0" hier="-1"/>
  </pageFields>
  <dataFields count="1">
    <dataField name="Suma z Sprzedaż" fld="3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1AA64C-950A-48CE-8D00-E08D3D39CADB}" name="Tabela przestawna14" cacheId="27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V5:W12" firstHeaderRow="1" firstDataRow="1" firstDataCol="1" rowPageCount="1" colPageCount="1"/>
  <pivotFields count="6">
    <pivotField axis="axisPage" showAll="0">
      <items count="8">
        <item x="0"/>
        <item n="(Wszystkie)" x="1"/>
        <item x="3"/>
        <item x="4"/>
        <item x="2"/>
        <item x="5"/>
        <item x="6"/>
        <item t="default"/>
      </items>
    </pivotField>
    <pivotField axis="axisRow" showAll="0">
      <items count="8">
        <item x="1"/>
        <item x="4"/>
        <item x="2"/>
        <item x="5"/>
        <item x="3"/>
        <item x="0"/>
        <item x="6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pageFields count="1">
    <pageField fld="0" hier="-1"/>
  </pageFields>
  <dataFields count="1">
    <dataField name="Suma z Sprzedaż" fld="3" baseField="0" baseItem="0"/>
  </dataFields>
  <chartFormats count="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045E7-8E9F-4E79-9C00-D61CF945B23B}" name="Tabela przestawna16" cacheId="27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L5:M12" firstHeaderRow="1" firstDataRow="1" firstDataCol="1"/>
  <pivotFields count="6">
    <pivotField axis="axisRow" showAll="0" sortType="descending">
      <items count="8">
        <item x="0"/>
        <item x="1"/>
        <item x="3"/>
        <item x="4"/>
        <item x="2"/>
        <item x="5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1">
    <field x="0"/>
  </rowFields>
  <rowItems count="7">
    <i>
      <x v="1"/>
    </i>
    <i>
      <x/>
    </i>
    <i>
      <x v="2"/>
    </i>
    <i>
      <x v="5"/>
    </i>
    <i>
      <x v="4"/>
    </i>
    <i>
      <x v="3"/>
    </i>
    <i>
      <x v="6"/>
    </i>
  </rowItems>
  <colItems count="1">
    <i/>
  </colItems>
  <dataFields count="1">
    <dataField name="Suma z Sprzedaż" fld="3" baseField="4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F5FE5A-41AD-4426-80B1-45D6CCCA0C70}" name="Tabela przestawna17" cacheId="27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V5:W11" firstHeaderRow="1" firstDataRow="1" firstDataCol="1" rowPageCount="1" colPageCount="1"/>
  <pivotFields count="6">
    <pivotField showAll="0"/>
    <pivotField axis="axisRow" showAll="0">
      <items count="8">
        <item x="1"/>
        <item x="4"/>
        <item x="2"/>
        <item x="5"/>
        <item x="3"/>
        <item x="0"/>
        <item x="6"/>
        <item t="default"/>
      </items>
    </pivotField>
    <pivotField axis="axisPage"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2" item="30" hier="-1"/>
  </pageFields>
  <dataFields count="1">
    <dataField name="Suma z Sprzedaż" fld="3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A33C1-BB96-480F-874B-444C54F611CC}" name="Tabela przestawna19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2">
  <location ref="L5:M58" firstHeaderRow="1" firstDataRow="1" firstDataCol="1"/>
  <pivotFields count="5">
    <pivotField showAll="0"/>
    <pivotField axis="axisRow"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dataField="1" showAll="0"/>
    <pivotField showAll="0"/>
    <pivotField showAll="0"/>
  </pivotFields>
  <rowFields count="1">
    <field x="1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rowItems>
  <colItems count="1">
    <i/>
  </colItems>
  <dataFields count="1">
    <dataField name="Suma z Sprzedaż" fld="2" baseField="4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8414DA-72C4-4EA1-99A1-7FE1238E4FAF}" name="Tabela przestawna18" cacheId="2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 chartFormat="3">
  <location ref="Q5:R19" firstHeaderRow="1" firstDataRow="1" firstDataCol="1" rowPageCount="1" colPageCount="1"/>
  <pivotFields count="5">
    <pivotField showAll="0"/>
    <pivotField axis="axisPage"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dataField="1" showAll="0"/>
    <pivotField showAll="0"/>
    <pivotField axis="axisRow" showAll="0">
      <items count="16">
        <item x="8"/>
        <item x="10"/>
        <item x="11"/>
        <item x="13"/>
        <item x="4"/>
        <item x="1"/>
        <item x="2"/>
        <item x="6"/>
        <item x="12"/>
        <item x="7"/>
        <item x="9"/>
        <item x="5"/>
        <item x="0"/>
        <item x="3"/>
        <item x="14"/>
        <item t="default"/>
      </items>
    </pivotField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pageFields count="1">
    <pageField fld="1" item="30" hier="-1"/>
  </pageFields>
  <dataFields count="1">
    <dataField name="Suma z Sprzedaż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R9999"/>
  <sheetViews>
    <sheetView showGridLines="0" tabSelected="1" zoomScale="93" zoomScaleNormal="93" zoomScaleSheetLayoutView="90" workbookViewId="0"/>
  </sheetViews>
  <sheetFormatPr defaultRowHeight="14.5" x14ac:dyDescent="0.35"/>
  <cols>
    <col min="1" max="4" width="8.7265625" style="11"/>
    <col min="5" max="5" width="10.453125" style="11" customWidth="1"/>
    <col min="6" max="6" width="8.7265625" style="11"/>
    <col min="7" max="7" width="8.7265625" style="11" customWidth="1"/>
    <col min="8" max="16384" width="8.7265625" style="11"/>
  </cols>
  <sheetData>
    <row r="2" spans="2:18" x14ac:dyDescent="0.35">
      <c r="B2" s="11" t="s">
        <v>46</v>
      </c>
      <c r="E2" s="11" t="s">
        <v>30</v>
      </c>
      <c r="F2" s="11" t="s">
        <v>79</v>
      </c>
    </row>
    <row r="4" spans="2:18" x14ac:dyDescent="0.35">
      <c r="N4" s="12"/>
    </row>
    <row r="8" spans="2:18" x14ac:dyDescent="0.35">
      <c r="B8" s="11" t="s">
        <v>77</v>
      </c>
    </row>
    <row r="9" spans="2:18" x14ac:dyDescent="0.35">
      <c r="B9" s="11" t="s">
        <v>78</v>
      </c>
    </row>
    <row r="11" spans="2:18" x14ac:dyDescent="0.35">
      <c r="H11" s="11" t="s">
        <v>47</v>
      </c>
      <c r="K11" s="11" t="s">
        <v>47</v>
      </c>
      <c r="N11" s="11" t="s">
        <v>47</v>
      </c>
      <c r="Q11" s="11" t="s">
        <v>80</v>
      </c>
    </row>
    <row r="12" spans="2:18" x14ac:dyDescent="0.35">
      <c r="H12" s="13" t="s">
        <v>19</v>
      </c>
      <c r="I12" s="13"/>
      <c r="J12" s="13"/>
      <c r="K12" s="13" t="s">
        <v>44</v>
      </c>
      <c r="L12" s="13"/>
      <c r="M12" s="13"/>
      <c r="N12" s="13" t="s">
        <v>9</v>
      </c>
      <c r="O12" s="13"/>
      <c r="P12" s="13"/>
      <c r="Q12" s="13" t="s">
        <v>81</v>
      </c>
      <c r="R12" s="13"/>
    </row>
    <row r="13" spans="2:18" x14ac:dyDescent="0.35">
      <c r="H13" s="13" t="s">
        <v>13</v>
      </c>
      <c r="I13" s="13"/>
      <c r="J13" s="13"/>
      <c r="K13" s="13" t="s">
        <v>38</v>
      </c>
      <c r="L13" s="13"/>
      <c r="M13" s="13"/>
      <c r="N13" s="13" t="s">
        <v>18</v>
      </c>
      <c r="O13" s="13"/>
      <c r="P13" s="13"/>
      <c r="Q13" s="13"/>
      <c r="R13" s="13"/>
    </row>
    <row r="14" spans="2:18" x14ac:dyDescent="0.35">
      <c r="H14" s="13" t="s">
        <v>6</v>
      </c>
      <c r="I14" s="13"/>
      <c r="J14" s="13"/>
      <c r="K14" s="13" t="s">
        <v>7</v>
      </c>
      <c r="L14" s="13"/>
      <c r="M14" s="13"/>
      <c r="N14" s="13" t="s">
        <v>12</v>
      </c>
      <c r="O14" s="13"/>
      <c r="P14" s="13"/>
      <c r="Q14" s="13"/>
      <c r="R14" s="13"/>
    </row>
    <row r="15" spans="2:18" x14ac:dyDescent="0.35">
      <c r="H15" s="13" t="s">
        <v>10</v>
      </c>
      <c r="I15" s="13"/>
      <c r="J15" s="13"/>
      <c r="K15" s="13" t="s">
        <v>45</v>
      </c>
      <c r="L15" s="13"/>
      <c r="M15" s="13"/>
      <c r="N15" s="13" t="s">
        <v>15</v>
      </c>
      <c r="O15" s="13"/>
      <c r="P15" s="13"/>
      <c r="Q15" s="13"/>
      <c r="R15" s="13"/>
    </row>
    <row r="16" spans="2:18" x14ac:dyDescent="0.35">
      <c r="H16" s="13" t="s">
        <v>22</v>
      </c>
      <c r="I16" s="13"/>
      <c r="J16" s="13"/>
      <c r="K16" s="13" t="s">
        <v>43</v>
      </c>
      <c r="L16" s="13"/>
      <c r="M16" s="13"/>
      <c r="N16" s="13" t="s">
        <v>21</v>
      </c>
      <c r="O16" s="13"/>
      <c r="P16" s="13"/>
      <c r="Q16" s="13"/>
      <c r="R16" s="13"/>
    </row>
    <row r="17" spans="8:18" x14ac:dyDescent="0.35">
      <c r="H17" s="13" t="s">
        <v>16</v>
      </c>
      <c r="I17" s="13"/>
      <c r="J17" s="13"/>
      <c r="K17" s="13" t="s">
        <v>25</v>
      </c>
      <c r="L17" s="13"/>
      <c r="M17" s="13"/>
      <c r="N17" s="13" t="s">
        <v>24</v>
      </c>
      <c r="O17" s="13"/>
      <c r="P17" s="13"/>
      <c r="Q17" s="13"/>
      <c r="R17" s="13"/>
    </row>
    <row r="18" spans="8:18" x14ac:dyDescent="0.35">
      <c r="H18" s="13"/>
      <c r="I18" s="13"/>
      <c r="J18" s="13"/>
      <c r="K18" s="13"/>
      <c r="L18" s="13"/>
      <c r="M18" s="13"/>
      <c r="N18" s="13" t="s">
        <v>27</v>
      </c>
      <c r="O18" s="13"/>
      <c r="P18" s="13"/>
      <c r="Q18" s="13"/>
      <c r="R18" s="13"/>
    </row>
    <row r="19" spans="8:18" x14ac:dyDescent="0.35">
      <c r="H19" s="13"/>
      <c r="I19" s="13"/>
      <c r="J19" s="13"/>
      <c r="K19" s="13"/>
      <c r="L19" s="13"/>
      <c r="M19" s="13"/>
      <c r="N19" s="13" t="s">
        <v>29</v>
      </c>
      <c r="O19" s="13"/>
      <c r="P19" s="13"/>
      <c r="Q19" s="13"/>
      <c r="R19" s="13"/>
    </row>
    <row r="20" spans="8:18" x14ac:dyDescent="0.35">
      <c r="H20" s="13"/>
      <c r="I20" s="13"/>
      <c r="J20" s="13"/>
      <c r="K20" s="13"/>
      <c r="L20" s="13"/>
      <c r="M20" s="13"/>
      <c r="N20" s="13" t="s">
        <v>31</v>
      </c>
      <c r="O20" s="13"/>
      <c r="P20" s="13"/>
      <c r="Q20" s="13"/>
      <c r="R20" s="13"/>
    </row>
    <row r="21" spans="8:18" x14ac:dyDescent="0.35">
      <c r="H21" s="13"/>
      <c r="I21" s="13"/>
      <c r="J21" s="13"/>
      <c r="K21" s="13"/>
      <c r="L21" s="13"/>
      <c r="M21" s="13"/>
      <c r="N21" s="13" t="s">
        <v>33</v>
      </c>
      <c r="O21" s="13"/>
      <c r="P21" s="13"/>
      <c r="Q21" s="13"/>
      <c r="R21" s="13"/>
    </row>
    <row r="22" spans="8:18" x14ac:dyDescent="0.35">
      <c r="H22" s="13"/>
      <c r="I22" s="13"/>
      <c r="J22" s="13"/>
      <c r="K22" s="13"/>
      <c r="L22" s="13"/>
      <c r="M22" s="13"/>
      <c r="N22" s="13" t="s">
        <v>35</v>
      </c>
      <c r="O22" s="13"/>
      <c r="P22" s="13"/>
      <c r="Q22" s="13"/>
      <c r="R22" s="13"/>
    </row>
    <row r="23" spans="8:18" x14ac:dyDescent="0.35">
      <c r="H23" s="13"/>
      <c r="I23" s="13"/>
      <c r="J23" s="13"/>
      <c r="K23" s="13"/>
      <c r="L23" s="13"/>
      <c r="M23" s="13"/>
      <c r="N23" s="13" t="s">
        <v>37</v>
      </c>
      <c r="O23" s="13"/>
      <c r="P23" s="13"/>
      <c r="Q23" s="13"/>
      <c r="R23" s="13"/>
    </row>
    <row r="24" spans="8:18" x14ac:dyDescent="0.35">
      <c r="H24" s="13"/>
      <c r="I24" s="13"/>
      <c r="J24" s="13"/>
      <c r="K24" s="13"/>
      <c r="L24" s="13"/>
      <c r="M24" s="13"/>
      <c r="N24" s="13" t="s">
        <v>40</v>
      </c>
      <c r="O24" s="13"/>
      <c r="P24" s="13"/>
      <c r="Q24" s="13"/>
      <c r="R24" s="13"/>
    </row>
    <row r="25" spans="8:18" x14ac:dyDescent="0.35">
      <c r="H25" s="13"/>
      <c r="I25" s="13"/>
      <c r="J25" s="13"/>
      <c r="K25" s="13"/>
      <c r="L25" s="13"/>
      <c r="M25" s="13"/>
      <c r="N25" s="13" t="s">
        <v>42</v>
      </c>
      <c r="O25" s="13"/>
      <c r="P25" s="13"/>
      <c r="Q25" s="13"/>
      <c r="R25" s="13"/>
    </row>
    <row r="26" spans="8:18" x14ac:dyDescent="0.35"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8:18" x14ac:dyDescent="0.35"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8:18" x14ac:dyDescent="0.35"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8:18" x14ac:dyDescent="0.35"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8:18" x14ac:dyDescent="0.35"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8:18" x14ac:dyDescent="0.35"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8:18" x14ac:dyDescent="0.35"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8:18" x14ac:dyDescent="0.35"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8:18" x14ac:dyDescent="0.35"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8:18" x14ac:dyDescent="0.35"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8:18" x14ac:dyDescent="0.35"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8:18" x14ac:dyDescent="0.35"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8:18" x14ac:dyDescent="0.35"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8:18" x14ac:dyDescent="0.35"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8:18" x14ac:dyDescent="0.35"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8:18" x14ac:dyDescent="0.35"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8:18" x14ac:dyDescent="0.35"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8:18" x14ac:dyDescent="0.35"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8:18" x14ac:dyDescent="0.35"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8:18" x14ac:dyDescent="0.35"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8:18" x14ac:dyDescent="0.35"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8:18" x14ac:dyDescent="0.35"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8:18" x14ac:dyDescent="0.35"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8:18" x14ac:dyDescent="0.35"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8:18" x14ac:dyDescent="0.35"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8:18" x14ac:dyDescent="0.35"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8:18" x14ac:dyDescent="0.35"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8:18" x14ac:dyDescent="0.35"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8:18" x14ac:dyDescent="0.35"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8:18" x14ac:dyDescent="0.35"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8:18" x14ac:dyDescent="0.35"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8:18" x14ac:dyDescent="0.35"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8:18" x14ac:dyDescent="0.35"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8:18" x14ac:dyDescent="0.35"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</row>
    <row r="60" spans="8:18" x14ac:dyDescent="0.35"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</row>
    <row r="61" spans="8:18" x14ac:dyDescent="0.35"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</row>
    <row r="62" spans="8:18" x14ac:dyDescent="0.35"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</row>
    <row r="63" spans="8:18" x14ac:dyDescent="0.35"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</row>
    <row r="64" spans="8:18" x14ac:dyDescent="0.35"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</row>
    <row r="65" spans="8:18" x14ac:dyDescent="0.35"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</row>
    <row r="66" spans="8:18" x14ac:dyDescent="0.35"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</row>
    <row r="67" spans="8:18" x14ac:dyDescent="0.35"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</row>
    <row r="68" spans="8:18" x14ac:dyDescent="0.35"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</row>
    <row r="69" spans="8:18" x14ac:dyDescent="0.35"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</row>
    <row r="70" spans="8:18" x14ac:dyDescent="0.35"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8:18" x14ac:dyDescent="0.35"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</row>
    <row r="72" spans="8:18" x14ac:dyDescent="0.35"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</row>
    <row r="73" spans="8:18" x14ac:dyDescent="0.35"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</row>
    <row r="74" spans="8:18" x14ac:dyDescent="0.35"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</row>
    <row r="75" spans="8:18" x14ac:dyDescent="0.35"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</row>
    <row r="76" spans="8:18" x14ac:dyDescent="0.35"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</row>
    <row r="77" spans="8:18" x14ac:dyDescent="0.35"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</row>
    <row r="78" spans="8:18" x14ac:dyDescent="0.35"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</row>
    <row r="79" spans="8:18" x14ac:dyDescent="0.35"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</row>
    <row r="80" spans="8:18" x14ac:dyDescent="0.35"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</row>
    <row r="81" spans="8:18" x14ac:dyDescent="0.35"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</row>
    <row r="82" spans="8:18" x14ac:dyDescent="0.35"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</row>
    <row r="83" spans="8:18" x14ac:dyDescent="0.35"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</row>
    <row r="84" spans="8:18" x14ac:dyDescent="0.35"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</row>
    <row r="85" spans="8:18" x14ac:dyDescent="0.35"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</row>
    <row r="86" spans="8:18" x14ac:dyDescent="0.35"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</row>
    <row r="87" spans="8:18" x14ac:dyDescent="0.35"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</row>
    <row r="88" spans="8:18" x14ac:dyDescent="0.35"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</row>
    <row r="89" spans="8:18" x14ac:dyDescent="0.35"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</row>
    <row r="90" spans="8:18" x14ac:dyDescent="0.35"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</row>
    <row r="91" spans="8:18" x14ac:dyDescent="0.35"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</row>
    <row r="92" spans="8:18" x14ac:dyDescent="0.35"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</row>
    <row r="93" spans="8:18" x14ac:dyDescent="0.35"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</row>
    <row r="94" spans="8:18" x14ac:dyDescent="0.35"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</row>
    <row r="95" spans="8:18" x14ac:dyDescent="0.35"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</row>
    <row r="96" spans="8:18" x14ac:dyDescent="0.35"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</row>
    <row r="97" spans="8:18" x14ac:dyDescent="0.35"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</row>
    <row r="98" spans="8:18" x14ac:dyDescent="0.35"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</row>
    <row r="99" spans="8:18" x14ac:dyDescent="0.35"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</row>
    <row r="100" spans="8:18" x14ac:dyDescent="0.35"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</row>
    <row r="101" spans="8:18" x14ac:dyDescent="0.35"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</row>
    <row r="102" spans="8:18" x14ac:dyDescent="0.35"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</row>
    <row r="103" spans="8:18" x14ac:dyDescent="0.35"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</row>
    <row r="104" spans="8:18" x14ac:dyDescent="0.35"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</row>
    <row r="105" spans="8:18" x14ac:dyDescent="0.35"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</row>
    <row r="106" spans="8:18" x14ac:dyDescent="0.35"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</row>
    <row r="107" spans="8:18" x14ac:dyDescent="0.35"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</row>
    <row r="108" spans="8:18" x14ac:dyDescent="0.35"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</row>
    <row r="109" spans="8:18" x14ac:dyDescent="0.35"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</row>
    <row r="110" spans="8:18" x14ac:dyDescent="0.35"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</row>
    <row r="111" spans="8:18" x14ac:dyDescent="0.35"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</row>
    <row r="112" spans="8:18" x14ac:dyDescent="0.35"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</row>
    <row r="113" spans="8:18" x14ac:dyDescent="0.35"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</row>
    <row r="114" spans="8:18" x14ac:dyDescent="0.35"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</row>
    <row r="115" spans="8:18" x14ac:dyDescent="0.35"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</row>
    <row r="116" spans="8:18" x14ac:dyDescent="0.35"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</row>
    <row r="117" spans="8:18" x14ac:dyDescent="0.35"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</row>
    <row r="118" spans="8:18" x14ac:dyDescent="0.35"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</row>
    <row r="119" spans="8:18" x14ac:dyDescent="0.35"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</row>
    <row r="120" spans="8:18" x14ac:dyDescent="0.35"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</row>
    <row r="121" spans="8:18" x14ac:dyDescent="0.35"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</row>
    <row r="122" spans="8:18" x14ac:dyDescent="0.35"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</row>
    <row r="123" spans="8:18" x14ac:dyDescent="0.35"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</row>
    <row r="124" spans="8:18" x14ac:dyDescent="0.35"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</row>
    <row r="125" spans="8:18" x14ac:dyDescent="0.35"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</row>
    <row r="126" spans="8:18" x14ac:dyDescent="0.35"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</row>
    <row r="127" spans="8:18" x14ac:dyDescent="0.35"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</row>
    <row r="128" spans="8:18" x14ac:dyDescent="0.35"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</row>
    <row r="129" spans="8:18" x14ac:dyDescent="0.35"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</row>
    <row r="130" spans="8:18" x14ac:dyDescent="0.35"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</row>
    <row r="131" spans="8:18" x14ac:dyDescent="0.35"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</row>
    <row r="132" spans="8:18" x14ac:dyDescent="0.35"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</row>
    <row r="133" spans="8:18" x14ac:dyDescent="0.35"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</row>
    <row r="134" spans="8:18" x14ac:dyDescent="0.35"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</row>
    <row r="135" spans="8:18" x14ac:dyDescent="0.35"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</row>
    <row r="136" spans="8:18" x14ac:dyDescent="0.35"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</row>
    <row r="137" spans="8:18" x14ac:dyDescent="0.35"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</row>
    <row r="138" spans="8:18" x14ac:dyDescent="0.35"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</row>
    <row r="139" spans="8:18" x14ac:dyDescent="0.35"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</row>
    <row r="140" spans="8:18" x14ac:dyDescent="0.35"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</row>
    <row r="141" spans="8:18" x14ac:dyDescent="0.35"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</row>
    <row r="142" spans="8:18" x14ac:dyDescent="0.35"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</row>
    <row r="143" spans="8:18" x14ac:dyDescent="0.35"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</row>
    <row r="144" spans="8:18" x14ac:dyDescent="0.35"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</row>
    <row r="145" spans="8:18" x14ac:dyDescent="0.35"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</row>
    <row r="146" spans="8:18" x14ac:dyDescent="0.35"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</row>
    <row r="147" spans="8:18" x14ac:dyDescent="0.35"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</row>
    <row r="148" spans="8:18" x14ac:dyDescent="0.35"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</row>
    <row r="149" spans="8:18" x14ac:dyDescent="0.35"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</row>
    <row r="150" spans="8:18" x14ac:dyDescent="0.35"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</row>
    <row r="151" spans="8:18" x14ac:dyDescent="0.35"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</row>
    <row r="152" spans="8:18" x14ac:dyDescent="0.35"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</row>
    <row r="153" spans="8:18" x14ac:dyDescent="0.35"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</row>
    <row r="154" spans="8:18" x14ac:dyDescent="0.35"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</row>
    <row r="155" spans="8:18" x14ac:dyDescent="0.35"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</row>
    <row r="156" spans="8:18" x14ac:dyDescent="0.35"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</row>
    <row r="157" spans="8:18" x14ac:dyDescent="0.35"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</row>
    <row r="158" spans="8:18" x14ac:dyDescent="0.35"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</row>
    <row r="159" spans="8:18" x14ac:dyDescent="0.35"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</row>
    <row r="160" spans="8:18" x14ac:dyDescent="0.35"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</row>
    <row r="161" spans="8:18" x14ac:dyDescent="0.35"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</row>
    <row r="162" spans="8:18" x14ac:dyDescent="0.35"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</row>
    <row r="163" spans="8:18" x14ac:dyDescent="0.35"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</row>
    <row r="164" spans="8:18" x14ac:dyDescent="0.35"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</row>
    <row r="165" spans="8:18" x14ac:dyDescent="0.35"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</row>
    <row r="166" spans="8:18" x14ac:dyDescent="0.35"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</row>
    <row r="167" spans="8:18" x14ac:dyDescent="0.35"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</row>
    <row r="168" spans="8:18" x14ac:dyDescent="0.35"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</row>
    <row r="169" spans="8:18" x14ac:dyDescent="0.35"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</row>
    <row r="170" spans="8:18" x14ac:dyDescent="0.35"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</row>
    <row r="171" spans="8:18" x14ac:dyDescent="0.35"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</row>
    <row r="172" spans="8:18" x14ac:dyDescent="0.35"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</row>
    <row r="173" spans="8:18" x14ac:dyDescent="0.35"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</row>
    <row r="174" spans="8:18" x14ac:dyDescent="0.35"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</row>
    <row r="175" spans="8:18" x14ac:dyDescent="0.35"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</row>
    <row r="176" spans="8:18" x14ac:dyDescent="0.35"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</row>
    <row r="177" spans="8:18" x14ac:dyDescent="0.35"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</row>
    <row r="178" spans="8:18" x14ac:dyDescent="0.35"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</row>
    <row r="179" spans="8:18" x14ac:dyDescent="0.35"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</row>
    <row r="180" spans="8:18" x14ac:dyDescent="0.35"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</row>
    <row r="181" spans="8:18" x14ac:dyDescent="0.35"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</row>
    <row r="182" spans="8:18" x14ac:dyDescent="0.35"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</row>
    <row r="183" spans="8:18" x14ac:dyDescent="0.35"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</row>
    <row r="184" spans="8:18" x14ac:dyDescent="0.35"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</row>
    <row r="185" spans="8:18" x14ac:dyDescent="0.35"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</row>
    <row r="186" spans="8:18" x14ac:dyDescent="0.35"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</row>
    <row r="187" spans="8:18" x14ac:dyDescent="0.35"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</row>
    <row r="188" spans="8:18" x14ac:dyDescent="0.35"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</row>
    <row r="189" spans="8:18" x14ac:dyDescent="0.35"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</row>
    <row r="190" spans="8:18" x14ac:dyDescent="0.35"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</row>
    <row r="191" spans="8:18" x14ac:dyDescent="0.35"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</row>
    <row r="192" spans="8:18" x14ac:dyDescent="0.35"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</row>
    <row r="193" spans="8:18" x14ac:dyDescent="0.35"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</row>
    <row r="194" spans="8:18" x14ac:dyDescent="0.35"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</row>
    <row r="195" spans="8:18" x14ac:dyDescent="0.35"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</row>
    <row r="196" spans="8:18" x14ac:dyDescent="0.35"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</row>
    <row r="197" spans="8:18" x14ac:dyDescent="0.35"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</row>
    <row r="198" spans="8:18" x14ac:dyDescent="0.35"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</row>
    <row r="199" spans="8:18" x14ac:dyDescent="0.35"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</row>
    <row r="200" spans="8:18" x14ac:dyDescent="0.35"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</row>
    <row r="201" spans="8:18" x14ac:dyDescent="0.35"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</row>
    <row r="202" spans="8:18" x14ac:dyDescent="0.35"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</row>
    <row r="203" spans="8:18" x14ac:dyDescent="0.35"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</row>
    <row r="204" spans="8:18" x14ac:dyDescent="0.35"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</row>
    <row r="205" spans="8:18" x14ac:dyDescent="0.35"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</row>
    <row r="206" spans="8:18" x14ac:dyDescent="0.35"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</row>
    <row r="207" spans="8:18" x14ac:dyDescent="0.35"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</row>
    <row r="208" spans="8:18" x14ac:dyDescent="0.35"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</row>
    <row r="209" spans="8:18" x14ac:dyDescent="0.35"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</row>
    <row r="210" spans="8:18" x14ac:dyDescent="0.35"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</row>
    <row r="211" spans="8:18" x14ac:dyDescent="0.35"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</row>
    <row r="212" spans="8:18" x14ac:dyDescent="0.35"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</row>
    <row r="213" spans="8:18" x14ac:dyDescent="0.35"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</row>
    <row r="214" spans="8:18" x14ac:dyDescent="0.35"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</row>
    <row r="215" spans="8:18" x14ac:dyDescent="0.35"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</row>
    <row r="216" spans="8:18" x14ac:dyDescent="0.35"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</row>
    <row r="217" spans="8:18" x14ac:dyDescent="0.35"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</row>
    <row r="218" spans="8:18" x14ac:dyDescent="0.35"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</row>
    <row r="219" spans="8:18" x14ac:dyDescent="0.35"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</row>
    <row r="220" spans="8:18" x14ac:dyDescent="0.35"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</row>
    <row r="221" spans="8:18" x14ac:dyDescent="0.35"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</row>
    <row r="222" spans="8:18" x14ac:dyDescent="0.35"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</row>
    <row r="223" spans="8:18" x14ac:dyDescent="0.35"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</row>
    <row r="224" spans="8:18" x14ac:dyDescent="0.35"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</row>
    <row r="225" spans="8:18" x14ac:dyDescent="0.35"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</row>
    <row r="226" spans="8:18" x14ac:dyDescent="0.35"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</row>
    <row r="227" spans="8:18" x14ac:dyDescent="0.35"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</row>
    <row r="228" spans="8:18" x14ac:dyDescent="0.35"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</row>
    <row r="229" spans="8:18" x14ac:dyDescent="0.35"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</row>
    <row r="230" spans="8:18" x14ac:dyDescent="0.35"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</row>
    <row r="231" spans="8:18" x14ac:dyDescent="0.35"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</row>
    <row r="232" spans="8:18" x14ac:dyDescent="0.35"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</row>
    <row r="233" spans="8:18" x14ac:dyDescent="0.35"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</row>
    <row r="234" spans="8:18" x14ac:dyDescent="0.35"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</row>
    <row r="235" spans="8:18" x14ac:dyDescent="0.35"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</row>
    <row r="236" spans="8:18" x14ac:dyDescent="0.35"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</row>
    <row r="237" spans="8:18" x14ac:dyDescent="0.35"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</row>
    <row r="238" spans="8:18" x14ac:dyDescent="0.35"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</row>
    <row r="239" spans="8:18" x14ac:dyDescent="0.35"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</row>
    <row r="240" spans="8:18" x14ac:dyDescent="0.35"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</row>
    <row r="241" spans="8:18" x14ac:dyDescent="0.35"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</row>
    <row r="242" spans="8:18" x14ac:dyDescent="0.35"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</row>
    <row r="243" spans="8:18" x14ac:dyDescent="0.35"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</row>
    <row r="244" spans="8:18" x14ac:dyDescent="0.35"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</row>
    <row r="245" spans="8:18" x14ac:dyDescent="0.35"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</row>
    <row r="246" spans="8:18" x14ac:dyDescent="0.35"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</row>
    <row r="247" spans="8:18" x14ac:dyDescent="0.35"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</row>
    <row r="248" spans="8:18" x14ac:dyDescent="0.35"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</row>
    <row r="249" spans="8:18" x14ac:dyDescent="0.35"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</row>
    <row r="250" spans="8:18" x14ac:dyDescent="0.35"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</row>
    <row r="251" spans="8:18" x14ac:dyDescent="0.35"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</row>
    <row r="252" spans="8:18" x14ac:dyDescent="0.35"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</row>
    <row r="253" spans="8:18" x14ac:dyDescent="0.35"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</row>
    <row r="254" spans="8:18" x14ac:dyDescent="0.35"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</row>
    <row r="255" spans="8:18" x14ac:dyDescent="0.35"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</row>
    <row r="256" spans="8:18" x14ac:dyDescent="0.35"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</row>
    <row r="257" spans="8:18" x14ac:dyDescent="0.35"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</row>
    <row r="258" spans="8:18" x14ac:dyDescent="0.35"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</row>
    <row r="259" spans="8:18" x14ac:dyDescent="0.35"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</row>
    <row r="260" spans="8:18" x14ac:dyDescent="0.35"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</row>
    <row r="261" spans="8:18" x14ac:dyDescent="0.35"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</row>
    <row r="262" spans="8:18" x14ac:dyDescent="0.35"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</row>
    <row r="263" spans="8:18" x14ac:dyDescent="0.35"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</row>
    <row r="264" spans="8:18" x14ac:dyDescent="0.35"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</row>
    <row r="265" spans="8:18" x14ac:dyDescent="0.35"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</row>
    <row r="266" spans="8:18" x14ac:dyDescent="0.35"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</row>
    <row r="267" spans="8:18" x14ac:dyDescent="0.35"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</row>
    <row r="268" spans="8:18" x14ac:dyDescent="0.35"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</row>
    <row r="269" spans="8:18" x14ac:dyDescent="0.35"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</row>
    <row r="270" spans="8:18" x14ac:dyDescent="0.35"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</row>
    <row r="271" spans="8:18" x14ac:dyDescent="0.35"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</row>
    <row r="272" spans="8:18" x14ac:dyDescent="0.35"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</row>
    <row r="273" spans="8:18" x14ac:dyDescent="0.35"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</row>
    <row r="274" spans="8:18" x14ac:dyDescent="0.35"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</row>
    <row r="275" spans="8:18" x14ac:dyDescent="0.35"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</row>
    <row r="276" spans="8:18" x14ac:dyDescent="0.35"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</row>
    <row r="277" spans="8:18" x14ac:dyDescent="0.35"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</row>
    <row r="278" spans="8:18" x14ac:dyDescent="0.35"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</row>
    <row r="279" spans="8:18" x14ac:dyDescent="0.35"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</row>
    <row r="280" spans="8:18" x14ac:dyDescent="0.35"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</row>
    <row r="281" spans="8:18" x14ac:dyDescent="0.35"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</row>
    <row r="282" spans="8:18" x14ac:dyDescent="0.35"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</row>
    <row r="283" spans="8:18" x14ac:dyDescent="0.35"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</row>
    <row r="284" spans="8:18" x14ac:dyDescent="0.35"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</row>
    <row r="285" spans="8:18" x14ac:dyDescent="0.35"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</row>
    <row r="286" spans="8:18" x14ac:dyDescent="0.35"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</row>
    <row r="287" spans="8:18" x14ac:dyDescent="0.35"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</row>
    <row r="288" spans="8:18" x14ac:dyDescent="0.35"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</row>
    <row r="289" spans="8:18" x14ac:dyDescent="0.35"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</row>
    <row r="290" spans="8:18" x14ac:dyDescent="0.35"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</row>
    <row r="291" spans="8:18" x14ac:dyDescent="0.35"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</row>
    <row r="292" spans="8:18" x14ac:dyDescent="0.35"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</row>
    <row r="293" spans="8:18" x14ac:dyDescent="0.35"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</row>
    <row r="294" spans="8:18" x14ac:dyDescent="0.35"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</row>
    <row r="295" spans="8:18" x14ac:dyDescent="0.35"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</row>
    <row r="296" spans="8:18" x14ac:dyDescent="0.35"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</row>
    <row r="297" spans="8:18" x14ac:dyDescent="0.35"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</row>
    <row r="298" spans="8:18" x14ac:dyDescent="0.35"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</row>
    <row r="299" spans="8:18" x14ac:dyDescent="0.35"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</row>
    <row r="300" spans="8:18" x14ac:dyDescent="0.35"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</row>
    <row r="301" spans="8:18" x14ac:dyDescent="0.35"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</row>
    <row r="302" spans="8:18" x14ac:dyDescent="0.35"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</row>
    <row r="303" spans="8:18" x14ac:dyDescent="0.35"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</row>
    <row r="304" spans="8:18" x14ac:dyDescent="0.35"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</row>
    <row r="305" spans="8:18" x14ac:dyDescent="0.35"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</row>
    <row r="306" spans="8:18" x14ac:dyDescent="0.35"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</row>
    <row r="307" spans="8:18" x14ac:dyDescent="0.35"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</row>
    <row r="308" spans="8:18" x14ac:dyDescent="0.35"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</row>
    <row r="309" spans="8:18" x14ac:dyDescent="0.35"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</row>
    <row r="310" spans="8:18" x14ac:dyDescent="0.35"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</row>
    <row r="311" spans="8:18" x14ac:dyDescent="0.35"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</row>
    <row r="312" spans="8:18" x14ac:dyDescent="0.35"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</row>
    <row r="313" spans="8:18" x14ac:dyDescent="0.35"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</row>
    <row r="314" spans="8:18" x14ac:dyDescent="0.35"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</row>
    <row r="315" spans="8:18" x14ac:dyDescent="0.35"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</row>
    <row r="316" spans="8:18" x14ac:dyDescent="0.35"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</row>
    <row r="317" spans="8:18" x14ac:dyDescent="0.35"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</row>
    <row r="318" spans="8:18" x14ac:dyDescent="0.35"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</row>
    <row r="319" spans="8:18" x14ac:dyDescent="0.35"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</row>
    <row r="320" spans="8:18" x14ac:dyDescent="0.35"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</row>
    <row r="321" spans="8:18" x14ac:dyDescent="0.35"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</row>
    <row r="322" spans="8:18" x14ac:dyDescent="0.35"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</row>
    <row r="323" spans="8:18" x14ac:dyDescent="0.35"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</row>
    <row r="324" spans="8:18" x14ac:dyDescent="0.35"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</row>
    <row r="325" spans="8:18" x14ac:dyDescent="0.35"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</row>
    <row r="326" spans="8:18" x14ac:dyDescent="0.35"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</row>
    <row r="327" spans="8:18" x14ac:dyDescent="0.35"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</row>
    <row r="328" spans="8:18" x14ac:dyDescent="0.35"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</row>
    <row r="329" spans="8:18" x14ac:dyDescent="0.35"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</row>
    <row r="330" spans="8:18" x14ac:dyDescent="0.35"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</row>
    <row r="331" spans="8:18" x14ac:dyDescent="0.35"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</row>
    <row r="332" spans="8:18" x14ac:dyDescent="0.35"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</row>
    <row r="333" spans="8:18" x14ac:dyDescent="0.35"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</row>
    <row r="334" spans="8:18" x14ac:dyDescent="0.35"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</row>
    <row r="335" spans="8:18" x14ac:dyDescent="0.35"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</row>
    <row r="336" spans="8:18" x14ac:dyDescent="0.35"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</row>
    <row r="337" spans="8:18" x14ac:dyDescent="0.35"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</row>
    <row r="338" spans="8:18" x14ac:dyDescent="0.35"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</row>
    <row r="339" spans="8:18" x14ac:dyDescent="0.35"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</row>
    <row r="340" spans="8:18" x14ac:dyDescent="0.35"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</row>
    <row r="341" spans="8:18" x14ac:dyDescent="0.35"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</row>
    <row r="342" spans="8:18" x14ac:dyDescent="0.35"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</row>
    <row r="343" spans="8:18" x14ac:dyDescent="0.35"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</row>
    <row r="344" spans="8:18" x14ac:dyDescent="0.35"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</row>
    <row r="345" spans="8:18" x14ac:dyDescent="0.35"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</row>
    <row r="346" spans="8:18" x14ac:dyDescent="0.35"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</row>
    <row r="347" spans="8:18" x14ac:dyDescent="0.35"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</row>
    <row r="348" spans="8:18" x14ac:dyDescent="0.35"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</row>
    <row r="349" spans="8:18" x14ac:dyDescent="0.35"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</row>
    <row r="350" spans="8:18" x14ac:dyDescent="0.35"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</row>
    <row r="351" spans="8:18" x14ac:dyDescent="0.35"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</row>
    <row r="352" spans="8:18" x14ac:dyDescent="0.35"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</row>
    <row r="353" spans="8:18" x14ac:dyDescent="0.35"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</row>
    <row r="354" spans="8:18" x14ac:dyDescent="0.35"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</row>
    <row r="355" spans="8:18" x14ac:dyDescent="0.35"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</row>
    <row r="356" spans="8:18" x14ac:dyDescent="0.35"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</row>
    <row r="357" spans="8:18" x14ac:dyDescent="0.35"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</row>
    <row r="358" spans="8:18" x14ac:dyDescent="0.35"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</row>
    <row r="359" spans="8:18" x14ac:dyDescent="0.35"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</row>
    <row r="360" spans="8:18" x14ac:dyDescent="0.35"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</row>
    <row r="361" spans="8:18" x14ac:dyDescent="0.35"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</row>
    <row r="362" spans="8:18" x14ac:dyDescent="0.35"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</row>
    <row r="363" spans="8:18" x14ac:dyDescent="0.35"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</row>
    <row r="364" spans="8:18" x14ac:dyDescent="0.35"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</row>
    <row r="365" spans="8:18" x14ac:dyDescent="0.35"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</row>
    <row r="366" spans="8:18" x14ac:dyDescent="0.35"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</row>
    <row r="367" spans="8:18" x14ac:dyDescent="0.35"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</row>
    <row r="368" spans="8:18" x14ac:dyDescent="0.35"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</row>
    <row r="369" spans="8:18" x14ac:dyDescent="0.35"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</row>
    <row r="370" spans="8:18" x14ac:dyDescent="0.35"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</row>
    <row r="371" spans="8:18" x14ac:dyDescent="0.35"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</row>
    <row r="372" spans="8:18" x14ac:dyDescent="0.35"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</row>
    <row r="373" spans="8:18" x14ac:dyDescent="0.35"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</row>
    <row r="374" spans="8:18" x14ac:dyDescent="0.35"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</row>
    <row r="375" spans="8:18" x14ac:dyDescent="0.35"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</row>
    <row r="376" spans="8:18" x14ac:dyDescent="0.35"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</row>
    <row r="377" spans="8:18" x14ac:dyDescent="0.35"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</row>
    <row r="378" spans="8:18" x14ac:dyDescent="0.35"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</row>
    <row r="379" spans="8:18" x14ac:dyDescent="0.35"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</row>
    <row r="380" spans="8:18" x14ac:dyDescent="0.35"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</row>
    <row r="381" spans="8:18" x14ac:dyDescent="0.35"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</row>
    <row r="382" spans="8:18" x14ac:dyDescent="0.35"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</row>
    <row r="383" spans="8:18" x14ac:dyDescent="0.35"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</row>
    <row r="384" spans="8:18" x14ac:dyDescent="0.35"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</row>
    <row r="385" spans="8:18" x14ac:dyDescent="0.35"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</row>
    <row r="386" spans="8:18" x14ac:dyDescent="0.35"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</row>
    <row r="387" spans="8:18" x14ac:dyDescent="0.35"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</row>
    <row r="388" spans="8:18" x14ac:dyDescent="0.35"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</row>
    <row r="389" spans="8:18" x14ac:dyDescent="0.35"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</row>
    <row r="390" spans="8:18" x14ac:dyDescent="0.35"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</row>
    <row r="391" spans="8:18" x14ac:dyDescent="0.35"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</row>
    <row r="392" spans="8:18" x14ac:dyDescent="0.35"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</row>
    <row r="393" spans="8:18" x14ac:dyDescent="0.35"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</row>
    <row r="394" spans="8:18" x14ac:dyDescent="0.35"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</row>
    <row r="395" spans="8:18" x14ac:dyDescent="0.35"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</row>
    <row r="396" spans="8:18" x14ac:dyDescent="0.35"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</row>
    <row r="397" spans="8:18" x14ac:dyDescent="0.35"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</row>
    <row r="398" spans="8:18" x14ac:dyDescent="0.35"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</row>
    <row r="399" spans="8:18" x14ac:dyDescent="0.35"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</row>
    <row r="400" spans="8:18" x14ac:dyDescent="0.35"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</row>
    <row r="401" spans="8:18" x14ac:dyDescent="0.35"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</row>
    <row r="402" spans="8:18" x14ac:dyDescent="0.35"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</row>
    <row r="403" spans="8:18" x14ac:dyDescent="0.35"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</row>
    <row r="404" spans="8:18" x14ac:dyDescent="0.35"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</row>
    <row r="405" spans="8:18" x14ac:dyDescent="0.35"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</row>
    <row r="406" spans="8:18" x14ac:dyDescent="0.35"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</row>
    <row r="407" spans="8:18" x14ac:dyDescent="0.35"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</row>
    <row r="408" spans="8:18" x14ac:dyDescent="0.35"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</row>
    <row r="409" spans="8:18" x14ac:dyDescent="0.35"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</row>
    <row r="410" spans="8:18" x14ac:dyDescent="0.35"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</row>
    <row r="411" spans="8:18" x14ac:dyDescent="0.35"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</row>
    <row r="412" spans="8:18" x14ac:dyDescent="0.35"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</row>
    <row r="413" spans="8:18" x14ac:dyDescent="0.35"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</row>
    <row r="414" spans="8:18" x14ac:dyDescent="0.35"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</row>
    <row r="415" spans="8:18" x14ac:dyDescent="0.35"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</row>
    <row r="416" spans="8:18" x14ac:dyDescent="0.35"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</row>
    <row r="417" spans="8:18" x14ac:dyDescent="0.35"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</row>
    <row r="418" spans="8:18" x14ac:dyDescent="0.35"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</row>
    <row r="419" spans="8:18" x14ac:dyDescent="0.35"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</row>
    <row r="420" spans="8:18" x14ac:dyDescent="0.35"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</row>
    <row r="421" spans="8:18" x14ac:dyDescent="0.35"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</row>
    <row r="422" spans="8:18" x14ac:dyDescent="0.35"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</row>
    <row r="423" spans="8:18" x14ac:dyDescent="0.35"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</row>
    <row r="424" spans="8:18" x14ac:dyDescent="0.35"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</row>
    <row r="425" spans="8:18" x14ac:dyDescent="0.35"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</row>
    <row r="426" spans="8:18" x14ac:dyDescent="0.35"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</row>
    <row r="427" spans="8:18" x14ac:dyDescent="0.35"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</row>
    <row r="428" spans="8:18" x14ac:dyDescent="0.35"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</row>
    <row r="429" spans="8:18" x14ac:dyDescent="0.35"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</row>
    <row r="430" spans="8:18" x14ac:dyDescent="0.35"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</row>
    <row r="431" spans="8:18" x14ac:dyDescent="0.35"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</row>
    <row r="432" spans="8:18" x14ac:dyDescent="0.35"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</row>
    <row r="433" spans="8:18" x14ac:dyDescent="0.35"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</row>
    <row r="434" spans="8:18" x14ac:dyDescent="0.35"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</row>
    <row r="435" spans="8:18" x14ac:dyDescent="0.35"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</row>
    <row r="436" spans="8:18" x14ac:dyDescent="0.35"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</row>
    <row r="437" spans="8:18" x14ac:dyDescent="0.35"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</row>
    <row r="438" spans="8:18" x14ac:dyDescent="0.35"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</row>
    <row r="439" spans="8:18" x14ac:dyDescent="0.35"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</row>
    <row r="440" spans="8:18" x14ac:dyDescent="0.35"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</row>
    <row r="441" spans="8:18" x14ac:dyDescent="0.35"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</row>
    <row r="442" spans="8:18" x14ac:dyDescent="0.35"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</row>
    <row r="443" spans="8:18" x14ac:dyDescent="0.35"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</row>
    <row r="444" spans="8:18" x14ac:dyDescent="0.35"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</row>
    <row r="445" spans="8:18" x14ac:dyDescent="0.35"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</row>
    <row r="446" spans="8:18" x14ac:dyDescent="0.35"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</row>
    <row r="447" spans="8:18" x14ac:dyDescent="0.35"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</row>
    <row r="448" spans="8:18" x14ac:dyDescent="0.35"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</row>
    <row r="449" spans="8:18" x14ac:dyDescent="0.35"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</row>
    <row r="450" spans="8:18" x14ac:dyDescent="0.35"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</row>
    <row r="451" spans="8:18" x14ac:dyDescent="0.35"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</row>
    <row r="452" spans="8:18" x14ac:dyDescent="0.35"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</row>
    <row r="453" spans="8:18" x14ac:dyDescent="0.35"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</row>
    <row r="454" spans="8:18" x14ac:dyDescent="0.35"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</row>
    <row r="455" spans="8:18" x14ac:dyDescent="0.35"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</row>
    <row r="456" spans="8:18" x14ac:dyDescent="0.35"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</row>
    <row r="457" spans="8:18" x14ac:dyDescent="0.35"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</row>
    <row r="458" spans="8:18" x14ac:dyDescent="0.35"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</row>
    <row r="459" spans="8:18" x14ac:dyDescent="0.35"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</row>
    <row r="460" spans="8:18" x14ac:dyDescent="0.35"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</row>
    <row r="461" spans="8:18" x14ac:dyDescent="0.35"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</row>
    <row r="462" spans="8:18" x14ac:dyDescent="0.35"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</row>
    <row r="463" spans="8:18" x14ac:dyDescent="0.35"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</row>
    <row r="464" spans="8:18" x14ac:dyDescent="0.35"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</row>
    <row r="465" spans="8:18" x14ac:dyDescent="0.35"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</row>
    <row r="466" spans="8:18" x14ac:dyDescent="0.35"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</row>
    <row r="467" spans="8:18" x14ac:dyDescent="0.35"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</row>
    <row r="468" spans="8:18" x14ac:dyDescent="0.35"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</row>
    <row r="469" spans="8:18" x14ac:dyDescent="0.35"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</row>
    <row r="470" spans="8:18" x14ac:dyDescent="0.35"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</row>
    <row r="471" spans="8:18" x14ac:dyDescent="0.35"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</row>
    <row r="472" spans="8:18" x14ac:dyDescent="0.35"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</row>
    <row r="473" spans="8:18" x14ac:dyDescent="0.35"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</row>
    <row r="474" spans="8:18" x14ac:dyDescent="0.35"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</row>
    <row r="475" spans="8:18" x14ac:dyDescent="0.35"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</row>
    <row r="476" spans="8:18" x14ac:dyDescent="0.35"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</row>
    <row r="477" spans="8:18" x14ac:dyDescent="0.35"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</row>
    <row r="478" spans="8:18" x14ac:dyDescent="0.35"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</row>
    <row r="479" spans="8:18" x14ac:dyDescent="0.35"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</row>
    <row r="480" spans="8:18" x14ac:dyDescent="0.35"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</row>
    <row r="481" spans="8:18" x14ac:dyDescent="0.35"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</row>
    <row r="482" spans="8:18" x14ac:dyDescent="0.35"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</row>
    <row r="483" spans="8:18" x14ac:dyDescent="0.35"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</row>
    <row r="484" spans="8:18" x14ac:dyDescent="0.35"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</row>
    <row r="485" spans="8:18" x14ac:dyDescent="0.35"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</row>
    <row r="486" spans="8:18" x14ac:dyDescent="0.35"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</row>
    <row r="487" spans="8:18" x14ac:dyDescent="0.35"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</row>
    <row r="488" spans="8:18" x14ac:dyDescent="0.35"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</row>
    <row r="489" spans="8:18" x14ac:dyDescent="0.35"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</row>
    <row r="490" spans="8:18" x14ac:dyDescent="0.35"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</row>
    <row r="491" spans="8:18" x14ac:dyDescent="0.35"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</row>
    <row r="492" spans="8:18" x14ac:dyDescent="0.35"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</row>
    <row r="493" spans="8:18" x14ac:dyDescent="0.35"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</row>
    <row r="494" spans="8:18" x14ac:dyDescent="0.35"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</row>
    <row r="495" spans="8:18" x14ac:dyDescent="0.35"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</row>
    <row r="496" spans="8:18" x14ac:dyDescent="0.35"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</row>
    <row r="497" spans="8:18" x14ac:dyDescent="0.35"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</row>
    <row r="498" spans="8:18" x14ac:dyDescent="0.35"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</row>
    <row r="499" spans="8:18" x14ac:dyDescent="0.35"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</row>
    <row r="500" spans="8:18" x14ac:dyDescent="0.35"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</row>
    <row r="501" spans="8:18" x14ac:dyDescent="0.35"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</row>
    <row r="502" spans="8:18" x14ac:dyDescent="0.35"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</row>
    <row r="503" spans="8:18" x14ac:dyDescent="0.35"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</row>
    <row r="504" spans="8:18" x14ac:dyDescent="0.35"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</row>
    <row r="505" spans="8:18" x14ac:dyDescent="0.35"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</row>
    <row r="506" spans="8:18" x14ac:dyDescent="0.35"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</row>
    <row r="507" spans="8:18" x14ac:dyDescent="0.35"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</row>
    <row r="508" spans="8:18" x14ac:dyDescent="0.35"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</row>
    <row r="509" spans="8:18" x14ac:dyDescent="0.35"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</row>
    <row r="510" spans="8:18" x14ac:dyDescent="0.35"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</row>
    <row r="511" spans="8:18" x14ac:dyDescent="0.35"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</row>
    <row r="512" spans="8:18" x14ac:dyDescent="0.35"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</row>
    <row r="513" spans="8:18" x14ac:dyDescent="0.35"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</row>
    <row r="514" spans="8:18" x14ac:dyDescent="0.35"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</row>
    <row r="515" spans="8:18" x14ac:dyDescent="0.35"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</row>
    <row r="516" spans="8:18" x14ac:dyDescent="0.35"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</row>
    <row r="517" spans="8:18" x14ac:dyDescent="0.35"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</row>
    <row r="518" spans="8:18" x14ac:dyDescent="0.35"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</row>
    <row r="519" spans="8:18" x14ac:dyDescent="0.35"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</row>
    <row r="520" spans="8:18" x14ac:dyDescent="0.35"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</row>
    <row r="521" spans="8:18" x14ac:dyDescent="0.35"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</row>
    <row r="522" spans="8:18" x14ac:dyDescent="0.35"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</row>
    <row r="523" spans="8:18" x14ac:dyDescent="0.35"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</row>
    <row r="524" spans="8:18" x14ac:dyDescent="0.35"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</row>
    <row r="525" spans="8:18" x14ac:dyDescent="0.35"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</row>
    <row r="526" spans="8:18" x14ac:dyDescent="0.35"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</row>
    <row r="527" spans="8:18" x14ac:dyDescent="0.35"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</row>
    <row r="528" spans="8:18" x14ac:dyDescent="0.35"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</row>
    <row r="529" spans="8:18" x14ac:dyDescent="0.35"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</row>
    <row r="530" spans="8:18" x14ac:dyDescent="0.35"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</row>
    <row r="531" spans="8:18" x14ac:dyDescent="0.35"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</row>
    <row r="532" spans="8:18" x14ac:dyDescent="0.35"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</row>
    <row r="533" spans="8:18" x14ac:dyDescent="0.35"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</row>
    <row r="534" spans="8:18" x14ac:dyDescent="0.35"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</row>
    <row r="535" spans="8:18" x14ac:dyDescent="0.35"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</row>
    <row r="536" spans="8:18" x14ac:dyDescent="0.35"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</row>
    <row r="537" spans="8:18" x14ac:dyDescent="0.35"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</row>
    <row r="538" spans="8:18" x14ac:dyDescent="0.35"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</row>
    <row r="539" spans="8:18" x14ac:dyDescent="0.35"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</row>
    <row r="540" spans="8:18" x14ac:dyDescent="0.35"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</row>
    <row r="541" spans="8:18" x14ac:dyDescent="0.35"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</row>
    <row r="542" spans="8:18" x14ac:dyDescent="0.35"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</row>
    <row r="543" spans="8:18" x14ac:dyDescent="0.35"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</row>
    <row r="544" spans="8:18" x14ac:dyDescent="0.35"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</row>
    <row r="545" spans="8:18" x14ac:dyDescent="0.35"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</row>
    <row r="546" spans="8:18" x14ac:dyDescent="0.35"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</row>
    <row r="547" spans="8:18" x14ac:dyDescent="0.35"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</row>
    <row r="548" spans="8:18" x14ac:dyDescent="0.35"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</row>
    <row r="549" spans="8:18" x14ac:dyDescent="0.35"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</row>
    <row r="550" spans="8:18" x14ac:dyDescent="0.35"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</row>
    <row r="551" spans="8:18" x14ac:dyDescent="0.35"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</row>
    <row r="552" spans="8:18" x14ac:dyDescent="0.35"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</row>
    <row r="553" spans="8:18" x14ac:dyDescent="0.35"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</row>
    <row r="554" spans="8:18" x14ac:dyDescent="0.35"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</row>
    <row r="555" spans="8:18" x14ac:dyDescent="0.35"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</row>
    <row r="556" spans="8:18" x14ac:dyDescent="0.35"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</row>
    <row r="557" spans="8:18" x14ac:dyDescent="0.35"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</row>
    <row r="558" spans="8:18" x14ac:dyDescent="0.35"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</row>
    <row r="559" spans="8:18" x14ac:dyDescent="0.35"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</row>
    <row r="560" spans="8:18" x14ac:dyDescent="0.35"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</row>
    <row r="561" spans="8:18" x14ac:dyDescent="0.35"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</row>
    <row r="562" spans="8:18" x14ac:dyDescent="0.35"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</row>
    <row r="563" spans="8:18" x14ac:dyDescent="0.35"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</row>
    <row r="564" spans="8:18" x14ac:dyDescent="0.35"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</row>
    <row r="565" spans="8:18" x14ac:dyDescent="0.35"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</row>
    <row r="566" spans="8:18" x14ac:dyDescent="0.35"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</row>
    <row r="567" spans="8:18" x14ac:dyDescent="0.35"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</row>
    <row r="568" spans="8:18" x14ac:dyDescent="0.35"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</row>
    <row r="569" spans="8:18" x14ac:dyDescent="0.35"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</row>
    <row r="570" spans="8:18" x14ac:dyDescent="0.35"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</row>
    <row r="571" spans="8:18" x14ac:dyDescent="0.35"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</row>
    <row r="572" spans="8:18" x14ac:dyDescent="0.35"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</row>
    <row r="573" spans="8:18" x14ac:dyDescent="0.35"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</row>
    <row r="574" spans="8:18" x14ac:dyDescent="0.35"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</row>
    <row r="575" spans="8:18" x14ac:dyDescent="0.35"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</row>
    <row r="576" spans="8:18" x14ac:dyDescent="0.35"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</row>
    <row r="577" spans="8:18" x14ac:dyDescent="0.35"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</row>
    <row r="578" spans="8:18" x14ac:dyDescent="0.35"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</row>
    <row r="579" spans="8:18" x14ac:dyDescent="0.35"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</row>
    <row r="580" spans="8:18" x14ac:dyDescent="0.35"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</row>
    <row r="581" spans="8:18" x14ac:dyDescent="0.35"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</row>
    <row r="582" spans="8:18" x14ac:dyDescent="0.35"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</row>
    <row r="583" spans="8:18" x14ac:dyDescent="0.35"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</row>
    <row r="584" spans="8:18" x14ac:dyDescent="0.35"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</row>
    <row r="585" spans="8:18" x14ac:dyDescent="0.35"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</row>
    <row r="586" spans="8:18" x14ac:dyDescent="0.35"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</row>
    <row r="587" spans="8:18" x14ac:dyDescent="0.35"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</row>
    <row r="588" spans="8:18" x14ac:dyDescent="0.35"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</row>
    <row r="589" spans="8:18" x14ac:dyDescent="0.35"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</row>
    <row r="590" spans="8:18" x14ac:dyDescent="0.35"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</row>
    <row r="591" spans="8:18" x14ac:dyDescent="0.35"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</row>
    <row r="592" spans="8:18" x14ac:dyDescent="0.35"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</row>
    <row r="593" spans="8:18" x14ac:dyDescent="0.35"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</row>
    <row r="594" spans="8:18" x14ac:dyDescent="0.35"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</row>
    <row r="595" spans="8:18" x14ac:dyDescent="0.35"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</row>
    <row r="596" spans="8:18" x14ac:dyDescent="0.35"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</row>
    <row r="597" spans="8:18" x14ac:dyDescent="0.35"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</row>
    <row r="598" spans="8:18" x14ac:dyDescent="0.35"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</row>
    <row r="599" spans="8:18" x14ac:dyDescent="0.35"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</row>
    <row r="600" spans="8:18" x14ac:dyDescent="0.35"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</row>
    <row r="601" spans="8:18" x14ac:dyDescent="0.35"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</row>
    <row r="602" spans="8:18" x14ac:dyDescent="0.35"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</row>
    <row r="603" spans="8:18" x14ac:dyDescent="0.35"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</row>
    <row r="604" spans="8:18" x14ac:dyDescent="0.35"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</row>
    <row r="605" spans="8:18" x14ac:dyDescent="0.35"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</row>
    <row r="606" spans="8:18" x14ac:dyDescent="0.35"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</row>
    <row r="607" spans="8:18" x14ac:dyDescent="0.35"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</row>
    <row r="608" spans="8:18" x14ac:dyDescent="0.35"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</row>
    <row r="609" spans="8:18" x14ac:dyDescent="0.35"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</row>
    <row r="610" spans="8:18" x14ac:dyDescent="0.35"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</row>
    <row r="611" spans="8:18" x14ac:dyDescent="0.35"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</row>
    <row r="612" spans="8:18" x14ac:dyDescent="0.35"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</row>
    <row r="613" spans="8:18" x14ac:dyDescent="0.35"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</row>
    <row r="614" spans="8:18" x14ac:dyDescent="0.35"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</row>
    <row r="615" spans="8:18" x14ac:dyDescent="0.35"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</row>
    <row r="616" spans="8:18" x14ac:dyDescent="0.35"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</row>
    <row r="617" spans="8:18" x14ac:dyDescent="0.35"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</row>
    <row r="618" spans="8:18" x14ac:dyDescent="0.35"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</row>
    <row r="619" spans="8:18" x14ac:dyDescent="0.35"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</row>
    <row r="620" spans="8:18" x14ac:dyDescent="0.35"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</row>
    <row r="621" spans="8:18" x14ac:dyDescent="0.35"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</row>
    <row r="622" spans="8:18" x14ac:dyDescent="0.35"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</row>
    <row r="623" spans="8:18" x14ac:dyDescent="0.35"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</row>
    <row r="624" spans="8:18" x14ac:dyDescent="0.35"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</row>
    <row r="625" spans="8:18" x14ac:dyDescent="0.35"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</row>
    <row r="626" spans="8:18" x14ac:dyDescent="0.35"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</row>
    <row r="627" spans="8:18" x14ac:dyDescent="0.35"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</row>
    <row r="628" spans="8:18" x14ac:dyDescent="0.35"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</row>
    <row r="629" spans="8:18" x14ac:dyDescent="0.35"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</row>
    <row r="630" spans="8:18" x14ac:dyDescent="0.35"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</row>
    <row r="631" spans="8:18" x14ac:dyDescent="0.35"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</row>
    <row r="632" spans="8:18" x14ac:dyDescent="0.35"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</row>
    <row r="633" spans="8:18" x14ac:dyDescent="0.35"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</row>
    <row r="634" spans="8:18" x14ac:dyDescent="0.35"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</row>
    <row r="635" spans="8:18" x14ac:dyDescent="0.35"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</row>
    <row r="636" spans="8:18" x14ac:dyDescent="0.35"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</row>
    <row r="637" spans="8:18" x14ac:dyDescent="0.35"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</row>
    <row r="638" spans="8:18" x14ac:dyDescent="0.35"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</row>
    <row r="639" spans="8:18" x14ac:dyDescent="0.35"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</row>
    <row r="640" spans="8:18" x14ac:dyDescent="0.35"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</row>
    <row r="641" spans="8:18" x14ac:dyDescent="0.35"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</row>
    <row r="642" spans="8:18" x14ac:dyDescent="0.35"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</row>
    <row r="643" spans="8:18" x14ac:dyDescent="0.35"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</row>
    <row r="644" spans="8:18" x14ac:dyDescent="0.35"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</row>
    <row r="645" spans="8:18" x14ac:dyDescent="0.35"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</row>
    <row r="646" spans="8:18" x14ac:dyDescent="0.35"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</row>
    <row r="647" spans="8:18" x14ac:dyDescent="0.35"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</row>
    <row r="648" spans="8:18" x14ac:dyDescent="0.35"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</row>
    <row r="649" spans="8:18" x14ac:dyDescent="0.35"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</row>
    <row r="650" spans="8:18" x14ac:dyDescent="0.35"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</row>
    <row r="651" spans="8:18" x14ac:dyDescent="0.35"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</row>
    <row r="652" spans="8:18" x14ac:dyDescent="0.35"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</row>
    <row r="653" spans="8:18" x14ac:dyDescent="0.35"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</row>
    <row r="654" spans="8:18" x14ac:dyDescent="0.35"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</row>
    <row r="655" spans="8:18" x14ac:dyDescent="0.35"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</row>
    <row r="656" spans="8:18" x14ac:dyDescent="0.35"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</row>
    <row r="657" spans="8:18" x14ac:dyDescent="0.35"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</row>
    <row r="658" spans="8:18" x14ac:dyDescent="0.35"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</row>
    <row r="659" spans="8:18" x14ac:dyDescent="0.35"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</row>
    <row r="660" spans="8:18" x14ac:dyDescent="0.35"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</row>
    <row r="661" spans="8:18" x14ac:dyDescent="0.35"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</row>
    <row r="662" spans="8:18" x14ac:dyDescent="0.35"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</row>
    <row r="663" spans="8:18" x14ac:dyDescent="0.35"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</row>
    <row r="664" spans="8:18" x14ac:dyDescent="0.35"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</row>
    <row r="665" spans="8:18" x14ac:dyDescent="0.35"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</row>
    <row r="666" spans="8:18" x14ac:dyDescent="0.35"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</row>
    <row r="667" spans="8:18" x14ac:dyDescent="0.35"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</row>
    <row r="668" spans="8:18" x14ac:dyDescent="0.35"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</row>
    <row r="669" spans="8:18" x14ac:dyDescent="0.35"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</row>
    <row r="670" spans="8:18" x14ac:dyDescent="0.35"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</row>
    <row r="671" spans="8:18" x14ac:dyDescent="0.35"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</row>
    <row r="672" spans="8:18" x14ac:dyDescent="0.35"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</row>
    <row r="673" spans="8:18" x14ac:dyDescent="0.35"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</row>
    <row r="674" spans="8:18" x14ac:dyDescent="0.35"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</row>
    <row r="675" spans="8:18" x14ac:dyDescent="0.35"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</row>
    <row r="676" spans="8:18" x14ac:dyDescent="0.35"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</row>
    <row r="677" spans="8:18" x14ac:dyDescent="0.35"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</row>
    <row r="678" spans="8:18" x14ac:dyDescent="0.35"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</row>
    <row r="679" spans="8:18" x14ac:dyDescent="0.35"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</row>
    <row r="680" spans="8:18" x14ac:dyDescent="0.35"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</row>
    <row r="681" spans="8:18" x14ac:dyDescent="0.35"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</row>
    <row r="682" spans="8:18" x14ac:dyDescent="0.35"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</row>
    <row r="683" spans="8:18" x14ac:dyDescent="0.35"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</row>
    <row r="684" spans="8:18" x14ac:dyDescent="0.35"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</row>
    <row r="685" spans="8:18" x14ac:dyDescent="0.35"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</row>
    <row r="686" spans="8:18" x14ac:dyDescent="0.35"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</row>
    <row r="687" spans="8:18" x14ac:dyDescent="0.35"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</row>
    <row r="688" spans="8:18" x14ac:dyDescent="0.35"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</row>
    <row r="689" spans="8:18" x14ac:dyDescent="0.35"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</row>
    <row r="690" spans="8:18" x14ac:dyDescent="0.35"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</row>
    <row r="691" spans="8:18" x14ac:dyDescent="0.35"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</row>
    <row r="692" spans="8:18" x14ac:dyDescent="0.35"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</row>
    <row r="693" spans="8:18" x14ac:dyDescent="0.35"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</row>
    <row r="694" spans="8:18" x14ac:dyDescent="0.35"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</row>
    <row r="695" spans="8:18" x14ac:dyDescent="0.35"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</row>
    <row r="696" spans="8:18" x14ac:dyDescent="0.35"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</row>
    <row r="697" spans="8:18" x14ac:dyDescent="0.35"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</row>
    <row r="698" spans="8:18" x14ac:dyDescent="0.35"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</row>
    <row r="699" spans="8:18" x14ac:dyDescent="0.35"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</row>
    <row r="700" spans="8:18" x14ac:dyDescent="0.35"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</row>
    <row r="701" spans="8:18" x14ac:dyDescent="0.35"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</row>
    <row r="702" spans="8:18" x14ac:dyDescent="0.35"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</row>
    <row r="703" spans="8:18" x14ac:dyDescent="0.35"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</row>
    <row r="704" spans="8:18" x14ac:dyDescent="0.35"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</row>
    <row r="705" spans="8:18" x14ac:dyDescent="0.35"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</row>
    <row r="706" spans="8:18" x14ac:dyDescent="0.35"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</row>
    <row r="707" spans="8:18" x14ac:dyDescent="0.35"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</row>
    <row r="708" spans="8:18" x14ac:dyDescent="0.35"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</row>
    <row r="709" spans="8:18" x14ac:dyDescent="0.35"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</row>
    <row r="710" spans="8:18" x14ac:dyDescent="0.35"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</row>
    <row r="711" spans="8:18" x14ac:dyDescent="0.35"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</row>
    <row r="712" spans="8:18" x14ac:dyDescent="0.35"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</row>
    <row r="713" spans="8:18" x14ac:dyDescent="0.35"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</row>
    <row r="714" spans="8:18" x14ac:dyDescent="0.35"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</row>
    <row r="715" spans="8:18" x14ac:dyDescent="0.35"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</row>
    <row r="716" spans="8:18" x14ac:dyDescent="0.35"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</row>
    <row r="717" spans="8:18" x14ac:dyDescent="0.35"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</row>
    <row r="718" spans="8:18" x14ac:dyDescent="0.35"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</row>
    <row r="719" spans="8:18" x14ac:dyDescent="0.35"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</row>
    <row r="720" spans="8:18" x14ac:dyDescent="0.35"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</row>
    <row r="721" spans="8:18" x14ac:dyDescent="0.35"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</row>
    <row r="722" spans="8:18" x14ac:dyDescent="0.35"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</row>
    <row r="723" spans="8:18" x14ac:dyDescent="0.35"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</row>
    <row r="724" spans="8:18" x14ac:dyDescent="0.35"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</row>
    <row r="725" spans="8:18" x14ac:dyDescent="0.35"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</row>
    <row r="726" spans="8:18" x14ac:dyDescent="0.35"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</row>
    <row r="727" spans="8:18" x14ac:dyDescent="0.35"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</row>
    <row r="728" spans="8:18" x14ac:dyDescent="0.35"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</row>
    <row r="729" spans="8:18" x14ac:dyDescent="0.35"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</row>
    <row r="730" spans="8:18" x14ac:dyDescent="0.35"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</row>
    <row r="731" spans="8:18" x14ac:dyDescent="0.35"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</row>
    <row r="732" spans="8:18" x14ac:dyDescent="0.35"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</row>
    <row r="733" spans="8:18" x14ac:dyDescent="0.35"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</row>
    <row r="734" spans="8:18" x14ac:dyDescent="0.35"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</row>
    <row r="735" spans="8:18" x14ac:dyDescent="0.35"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</row>
    <row r="736" spans="8:18" x14ac:dyDescent="0.35"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</row>
    <row r="737" spans="8:18" x14ac:dyDescent="0.35"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</row>
    <row r="738" spans="8:18" x14ac:dyDescent="0.35"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</row>
    <row r="739" spans="8:18" x14ac:dyDescent="0.35"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</row>
    <row r="740" spans="8:18" x14ac:dyDescent="0.35"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</row>
    <row r="741" spans="8:18" x14ac:dyDescent="0.35"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</row>
    <row r="742" spans="8:18" x14ac:dyDescent="0.35"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</row>
    <row r="743" spans="8:18" x14ac:dyDescent="0.35"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</row>
    <row r="744" spans="8:18" x14ac:dyDescent="0.35"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</row>
    <row r="745" spans="8:18" x14ac:dyDescent="0.35"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</row>
    <row r="746" spans="8:18" x14ac:dyDescent="0.35"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</row>
    <row r="747" spans="8:18" x14ac:dyDescent="0.35"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</row>
    <row r="748" spans="8:18" x14ac:dyDescent="0.35"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</row>
    <row r="749" spans="8:18" x14ac:dyDescent="0.35"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</row>
    <row r="750" spans="8:18" x14ac:dyDescent="0.35"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</row>
    <row r="751" spans="8:18" x14ac:dyDescent="0.35"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</row>
    <row r="752" spans="8:18" x14ac:dyDescent="0.35"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</row>
    <row r="753" spans="8:18" x14ac:dyDescent="0.35"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</row>
    <row r="754" spans="8:18" x14ac:dyDescent="0.35"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</row>
    <row r="755" spans="8:18" x14ac:dyDescent="0.35"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</row>
    <row r="756" spans="8:18" x14ac:dyDescent="0.35"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</row>
    <row r="757" spans="8:18" x14ac:dyDescent="0.35"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</row>
    <row r="758" spans="8:18" x14ac:dyDescent="0.35"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</row>
    <row r="759" spans="8:18" x14ac:dyDescent="0.35"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</row>
    <row r="760" spans="8:18" x14ac:dyDescent="0.35"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</row>
    <row r="761" spans="8:18" x14ac:dyDescent="0.35"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</row>
    <row r="762" spans="8:18" x14ac:dyDescent="0.35"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</row>
    <row r="763" spans="8:18" x14ac:dyDescent="0.35"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</row>
    <row r="764" spans="8:18" x14ac:dyDescent="0.35"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</row>
    <row r="765" spans="8:18" x14ac:dyDescent="0.35"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</row>
    <row r="766" spans="8:18" x14ac:dyDescent="0.35"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</row>
    <row r="767" spans="8:18" x14ac:dyDescent="0.35"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</row>
    <row r="768" spans="8:18" x14ac:dyDescent="0.35"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</row>
    <row r="769" spans="8:18" x14ac:dyDescent="0.35"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</row>
    <row r="770" spans="8:18" x14ac:dyDescent="0.35"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</row>
    <row r="771" spans="8:18" x14ac:dyDescent="0.35"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</row>
    <row r="772" spans="8:18" x14ac:dyDescent="0.35"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</row>
    <row r="773" spans="8:18" x14ac:dyDescent="0.35"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</row>
    <row r="774" spans="8:18" x14ac:dyDescent="0.35"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</row>
    <row r="775" spans="8:18" x14ac:dyDescent="0.35"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</row>
    <row r="776" spans="8:18" x14ac:dyDescent="0.35"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</row>
    <row r="777" spans="8:18" x14ac:dyDescent="0.35"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</row>
    <row r="778" spans="8:18" x14ac:dyDescent="0.35"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</row>
    <row r="779" spans="8:18" x14ac:dyDescent="0.35"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</row>
    <row r="780" spans="8:18" x14ac:dyDescent="0.35"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</row>
    <row r="781" spans="8:18" x14ac:dyDescent="0.35"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</row>
    <row r="782" spans="8:18" x14ac:dyDescent="0.35"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</row>
    <row r="783" spans="8:18" x14ac:dyDescent="0.35"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</row>
    <row r="784" spans="8:18" x14ac:dyDescent="0.35"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</row>
    <row r="785" spans="8:18" x14ac:dyDescent="0.35"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</row>
    <row r="786" spans="8:18" x14ac:dyDescent="0.35"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</row>
    <row r="787" spans="8:18" x14ac:dyDescent="0.35"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</row>
    <row r="788" spans="8:18" x14ac:dyDescent="0.35"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</row>
    <row r="789" spans="8:18" x14ac:dyDescent="0.35"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</row>
    <row r="790" spans="8:18" x14ac:dyDescent="0.35"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</row>
    <row r="791" spans="8:18" x14ac:dyDescent="0.35"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</row>
    <row r="792" spans="8:18" x14ac:dyDescent="0.35"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</row>
    <row r="793" spans="8:18" x14ac:dyDescent="0.35"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</row>
    <row r="794" spans="8:18" x14ac:dyDescent="0.35"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</row>
    <row r="795" spans="8:18" x14ac:dyDescent="0.35"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</row>
    <row r="796" spans="8:18" x14ac:dyDescent="0.35"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</row>
    <row r="797" spans="8:18" x14ac:dyDescent="0.35"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</row>
    <row r="798" spans="8:18" x14ac:dyDescent="0.35"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</row>
    <row r="799" spans="8:18" x14ac:dyDescent="0.35"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</row>
    <row r="800" spans="8:18" x14ac:dyDescent="0.35"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</row>
    <row r="801" spans="8:18" x14ac:dyDescent="0.35"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</row>
    <row r="802" spans="8:18" x14ac:dyDescent="0.35"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</row>
    <row r="803" spans="8:18" x14ac:dyDescent="0.35"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</row>
    <row r="804" spans="8:18" x14ac:dyDescent="0.35"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</row>
    <row r="805" spans="8:18" x14ac:dyDescent="0.35"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</row>
    <row r="806" spans="8:18" x14ac:dyDescent="0.35"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</row>
    <row r="807" spans="8:18" x14ac:dyDescent="0.35"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</row>
    <row r="808" spans="8:18" x14ac:dyDescent="0.35"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</row>
    <row r="809" spans="8:18" x14ac:dyDescent="0.35"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</row>
    <row r="810" spans="8:18" x14ac:dyDescent="0.35"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</row>
    <row r="811" spans="8:18" x14ac:dyDescent="0.35"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</row>
    <row r="812" spans="8:18" x14ac:dyDescent="0.35"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</row>
    <row r="813" spans="8:18" x14ac:dyDescent="0.35"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</row>
    <row r="814" spans="8:18" x14ac:dyDescent="0.35"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</row>
    <row r="815" spans="8:18" x14ac:dyDescent="0.35"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</row>
    <row r="816" spans="8:18" x14ac:dyDescent="0.35"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</row>
    <row r="817" spans="8:18" x14ac:dyDescent="0.35"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</row>
    <row r="818" spans="8:18" x14ac:dyDescent="0.35"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</row>
    <row r="819" spans="8:18" x14ac:dyDescent="0.35"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</row>
    <row r="820" spans="8:18" x14ac:dyDescent="0.35"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</row>
    <row r="821" spans="8:18" x14ac:dyDescent="0.35"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</row>
    <row r="822" spans="8:18" x14ac:dyDescent="0.35"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</row>
    <row r="823" spans="8:18" x14ac:dyDescent="0.35"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</row>
    <row r="824" spans="8:18" x14ac:dyDescent="0.35"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</row>
    <row r="825" spans="8:18" x14ac:dyDescent="0.35"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</row>
    <row r="826" spans="8:18" x14ac:dyDescent="0.35"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</row>
    <row r="827" spans="8:18" x14ac:dyDescent="0.35"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</row>
    <row r="828" spans="8:18" x14ac:dyDescent="0.35"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</row>
    <row r="829" spans="8:18" x14ac:dyDescent="0.35"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</row>
    <row r="830" spans="8:18" x14ac:dyDescent="0.35"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</row>
    <row r="831" spans="8:18" x14ac:dyDescent="0.35"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</row>
    <row r="832" spans="8:18" x14ac:dyDescent="0.35"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</row>
    <row r="833" spans="8:18" x14ac:dyDescent="0.35"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</row>
    <row r="834" spans="8:18" x14ac:dyDescent="0.35"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</row>
    <row r="835" spans="8:18" x14ac:dyDescent="0.35"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</row>
    <row r="836" spans="8:18" x14ac:dyDescent="0.35"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</row>
    <row r="837" spans="8:18" x14ac:dyDescent="0.35"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</row>
    <row r="838" spans="8:18" x14ac:dyDescent="0.35"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</row>
    <row r="839" spans="8:18" x14ac:dyDescent="0.35"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</row>
    <row r="840" spans="8:18" x14ac:dyDescent="0.35"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</row>
    <row r="841" spans="8:18" x14ac:dyDescent="0.35"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</row>
    <row r="842" spans="8:18" x14ac:dyDescent="0.35"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</row>
    <row r="843" spans="8:18" x14ac:dyDescent="0.35"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</row>
    <row r="844" spans="8:18" x14ac:dyDescent="0.35"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</row>
    <row r="845" spans="8:18" x14ac:dyDescent="0.35"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</row>
    <row r="846" spans="8:18" x14ac:dyDescent="0.35"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</row>
    <row r="847" spans="8:18" x14ac:dyDescent="0.35"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</row>
    <row r="848" spans="8:18" x14ac:dyDescent="0.35"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</row>
    <row r="849" spans="8:18" x14ac:dyDescent="0.35"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</row>
    <row r="850" spans="8:18" x14ac:dyDescent="0.35"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</row>
    <row r="851" spans="8:18" x14ac:dyDescent="0.35"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</row>
    <row r="852" spans="8:18" x14ac:dyDescent="0.35"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</row>
    <row r="853" spans="8:18" x14ac:dyDescent="0.35"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</row>
    <row r="854" spans="8:18" x14ac:dyDescent="0.35"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</row>
    <row r="855" spans="8:18" x14ac:dyDescent="0.35"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</row>
    <row r="856" spans="8:18" x14ac:dyDescent="0.35"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</row>
    <row r="857" spans="8:18" x14ac:dyDescent="0.35"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</row>
    <row r="858" spans="8:18" x14ac:dyDescent="0.35"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</row>
    <row r="859" spans="8:18" x14ac:dyDescent="0.35"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</row>
    <row r="860" spans="8:18" x14ac:dyDescent="0.35"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</row>
    <row r="861" spans="8:18" x14ac:dyDescent="0.35"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</row>
    <row r="862" spans="8:18" x14ac:dyDescent="0.35"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</row>
    <row r="863" spans="8:18" x14ac:dyDescent="0.35"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</row>
    <row r="864" spans="8:18" x14ac:dyDescent="0.35"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</row>
    <row r="865" spans="8:18" x14ac:dyDescent="0.35"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</row>
    <row r="866" spans="8:18" x14ac:dyDescent="0.35"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</row>
    <row r="867" spans="8:18" x14ac:dyDescent="0.35"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</row>
    <row r="868" spans="8:18" x14ac:dyDescent="0.35"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</row>
    <row r="869" spans="8:18" x14ac:dyDescent="0.35"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</row>
    <row r="870" spans="8:18" x14ac:dyDescent="0.35"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</row>
    <row r="871" spans="8:18" x14ac:dyDescent="0.35"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</row>
    <row r="872" spans="8:18" x14ac:dyDescent="0.35"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</row>
    <row r="873" spans="8:18" x14ac:dyDescent="0.35"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</row>
    <row r="874" spans="8:18" x14ac:dyDescent="0.35"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</row>
    <row r="875" spans="8:18" x14ac:dyDescent="0.35"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</row>
    <row r="876" spans="8:18" x14ac:dyDescent="0.35"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</row>
    <row r="877" spans="8:18" x14ac:dyDescent="0.35"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</row>
    <row r="878" spans="8:18" x14ac:dyDescent="0.35"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</row>
    <row r="879" spans="8:18" x14ac:dyDescent="0.35"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</row>
    <row r="880" spans="8:18" x14ac:dyDescent="0.35"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</row>
    <row r="881" spans="8:18" x14ac:dyDescent="0.35"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</row>
    <row r="882" spans="8:18" x14ac:dyDescent="0.35"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</row>
    <row r="883" spans="8:18" x14ac:dyDescent="0.35"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</row>
    <row r="884" spans="8:18" x14ac:dyDescent="0.35"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</row>
    <row r="885" spans="8:18" x14ac:dyDescent="0.35"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</row>
    <row r="886" spans="8:18" x14ac:dyDescent="0.35"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</row>
    <row r="887" spans="8:18" x14ac:dyDescent="0.35"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</row>
    <row r="888" spans="8:18" x14ac:dyDescent="0.35"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</row>
    <row r="889" spans="8:18" x14ac:dyDescent="0.35"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</row>
    <row r="890" spans="8:18" x14ac:dyDescent="0.35"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</row>
    <row r="891" spans="8:18" x14ac:dyDescent="0.35"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</row>
    <row r="892" spans="8:18" x14ac:dyDescent="0.35"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</row>
    <row r="893" spans="8:18" x14ac:dyDescent="0.35"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</row>
    <row r="894" spans="8:18" x14ac:dyDescent="0.35"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</row>
    <row r="895" spans="8:18" x14ac:dyDescent="0.35"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</row>
    <row r="896" spans="8:18" x14ac:dyDescent="0.35"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</row>
    <row r="897" spans="8:18" x14ac:dyDescent="0.35"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</row>
    <row r="898" spans="8:18" x14ac:dyDescent="0.35"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</row>
    <row r="899" spans="8:18" x14ac:dyDescent="0.35"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</row>
    <row r="900" spans="8:18" x14ac:dyDescent="0.35"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</row>
    <row r="901" spans="8:18" x14ac:dyDescent="0.35"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</row>
    <row r="902" spans="8:18" x14ac:dyDescent="0.35"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</row>
    <row r="903" spans="8:18" x14ac:dyDescent="0.35"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</row>
    <row r="904" spans="8:18" x14ac:dyDescent="0.35"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</row>
    <row r="905" spans="8:18" x14ac:dyDescent="0.35"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</row>
    <row r="906" spans="8:18" x14ac:dyDescent="0.35"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</row>
    <row r="907" spans="8:18" x14ac:dyDescent="0.35"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</row>
    <row r="908" spans="8:18" x14ac:dyDescent="0.35"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</row>
    <row r="909" spans="8:18" x14ac:dyDescent="0.35"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</row>
    <row r="910" spans="8:18" x14ac:dyDescent="0.35"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</row>
    <row r="911" spans="8:18" x14ac:dyDescent="0.35"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</row>
    <row r="912" spans="8:18" x14ac:dyDescent="0.35"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</row>
    <row r="913" spans="8:18" x14ac:dyDescent="0.35"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</row>
    <row r="914" spans="8:18" x14ac:dyDescent="0.35"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</row>
    <row r="915" spans="8:18" x14ac:dyDescent="0.35"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</row>
    <row r="916" spans="8:18" x14ac:dyDescent="0.35"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</row>
    <row r="917" spans="8:18" x14ac:dyDescent="0.35"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</row>
    <row r="918" spans="8:18" x14ac:dyDescent="0.35"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</row>
    <row r="919" spans="8:18" x14ac:dyDescent="0.35"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</row>
    <row r="920" spans="8:18" x14ac:dyDescent="0.35"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</row>
    <row r="921" spans="8:18" x14ac:dyDescent="0.35"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</row>
    <row r="922" spans="8:18" x14ac:dyDescent="0.35"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</row>
    <row r="923" spans="8:18" x14ac:dyDescent="0.35"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</row>
    <row r="924" spans="8:18" x14ac:dyDescent="0.35"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</row>
    <row r="925" spans="8:18" x14ac:dyDescent="0.35"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</row>
    <row r="926" spans="8:18" x14ac:dyDescent="0.35"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</row>
    <row r="927" spans="8:18" x14ac:dyDescent="0.35"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</row>
    <row r="928" spans="8:18" x14ac:dyDescent="0.35"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</row>
    <row r="929" spans="8:18" x14ac:dyDescent="0.35"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</row>
    <row r="930" spans="8:18" x14ac:dyDescent="0.35"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</row>
    <row r="931" spans="8:18" x14ac:dyDescent="0.35"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</row>
    <row r="932" spans="8:18" x14ac:dyDescent="0.35"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</row>
    <row r="933" spans="8:18" x14ac:dyDescent="0.35"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</row>
    <row r="934" spans="8:18" x14ac:dyDescent="0.35"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</row>
    <row r="935" spans="8:18" x14ac:dyDescent="0.35"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</row>
    <row r="936" spans="8:18" x14ac:dyDescent="0.35"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</row>
    <row r="937" spans="8:18" x14ac:dyDescent="0.35"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</row>
    <row r="938" spans="8:18" x14ac:dyDescent="0.35"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</row>
    <row r="939" spans="8:18" x14ac:dyDescent="0.35"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</row>
    <row r="940" spans="8:18" x14ac:dyDescent="0.35"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</row>
    <row r="941" spans="8:18" x14ac:dyDescent="0.35"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</row>
    <row r="942" spans="8:18" x14ac:dyDescent="0.35"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</row>
    <row r="943" spans="8:18" x14ac:dyDescent="0.35"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</row>
    <row r="944" spans="8:18" x14ac:dyDescent="0.35"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</row>
    <row r="945" spans="8:18" x14ac:dyDescent="0.35"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</row>
    <row r="946" spans="8:18" x14ac:dyDescent="0.35"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</row>
    <row r="947" spans="8:18" x14ac:dyDescent="0.35"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</row>
    <row r="948" spans="8:18" x14ac:dyDescent="0.35"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</row>
    <row r="949" spans="8:18" x14ac:dyDescent="0.35"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</row>
    <row r="950" spans="8:18" x14ac:dyDescent="0.35"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</row>
    <row r="951" spans="8:18" x14ac:dyDescent="0.35"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</row>
    <row r="952" spans="8:18" x14ac:dyDescent="0.35"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</row>
    <row r="953" spans="8:18" x14ac:dyDescent="0.35"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</row>
    <row r="954" spans="8:18" x14ac:dyDescent="0.35"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</row>
    <row r="955" spans="8:18" x14ac:dyDescent="0.35"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</row>
    <row r="956" spans="8:18" x14ac:dyDescent="0.35"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</row>
    <row r="957" spans="8:18" x14ac:dyDescent="0.35"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</row>
    <row r="958" spans="8:18" x14ac:dyDescent="0.35"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</row>
    <row r="959" spans="8:18" x14ac:dyDescent="0.35"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</row>
    <row r="960" spans="8:18" x14ac:dyDescent="0.35"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</row>
    <row r="961" spans="8:18" x14ac:dyDescent="0.35"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</row>
    <row r="962" spans="8:18" x14ac:dyDescent="0.35"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</row>
    <row r="963" spans="8:18" x14ac:dyDescent="0.35"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</row>
    <row r="964" spans="8:18" x14ac:dyDescent="0.35"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</row>
    <row r="965" spans="8:18" x14ac:dyDescent="0.35"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</row>
    <row r="966" spans="8:18" x14ac:dyDescent="0.35"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</row>
    <row r="967" spans="8:18" x14ac:dyDescent="0.35"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</row>
    <row r="968" spans="8:18" x14ac:dyDescent="0.35"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</row>
    <row r="969" spans="8:18" x14ac:dyDescent="0.35"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</row>
    <row r="970" spans="8:18" x14ac:dyDescent="0.35"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</row>
    <row r="971" spans="8:18" x14ac:dyDescent="0.35"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</row>
    <row r="972" spans="8:18" x14ac:dyDescent="0.35"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</row>
    <row r="973" spans="8:18" x14ac:dyDescent="0.35"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</row>
    <row r="974" spans="8:18" x14ac:dyDescent="0.35"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</row>
    <row r="975" spans="8:18" x14ac:dyDescent="0.35"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</row>
    <row r="976" spans="8:18" x14ac:dyDescent="0.35"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</row>
    <row r="977" spans="8:18" x14ac:dyDescent="0.35"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</row>
    <row r="978" spans="8:18" x14ac:dyDescent="0.35"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</row>
    <row r="979" spans="8:18" x14ac:dyDescent="0.35"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</row>
    <row r="980" spans="8:18" x14ac:dyDescent="0.35"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</row>
    <row r="981" spans="8:18" x14ac:dyDescent="0.35"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</row>
    <row r="982" spans="8:18" x14ac:dyDescent="0.35"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</row>
    <row r="983" spans="8:18" x14ac:dyDescent="0.35"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</row>
    <row r="984" spans="8:18" x14ac:dyDescent="0.35"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</row>
    <row r="985" spans="8:18" x14ac:dyDescent="0.35"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</row>
    <row r="986" spans="8:18" x14ac:dyDescent="0.35"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</row>
    <row r="987" spans="8:18" x14ac:dyDescent="0.35"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</row>
    <row r="988" spans="8:18" x14ac:dyDescent="0.35"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</row>
    <row r="989" spans="8:18" x14ac:dyDescent="0.35"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</row>
    <row r="990" spans="8:18" x14ac:dyDescent="0.35"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</row>
    <row r="991" spans="8:18" x14ac:dyDescent="0.35"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</row>
    <row r="992" spans="8:18" x14ac:dyDescent="0.35"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</row>
    <row r="993" spans="8:18" x14ac:dyDescent="0.35"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</row>
    <row r="994" spans="8:18" x14ac:dyDescent="0.35"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</row>
    <row r="995" spans="8:18" x14ac:dyDescent="0.35"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</row>
    <row r="996" spans="8:18" x14ac:dyDescent="0.35"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</row>
    <row r="997" spans="8:18" x14ac:dyDescent="0.35"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</row>
    <row r="998" spans="8:18" x14ac:dyDescent="0.35"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</row>
    <row r="999" spans="8:18" x14ac:dyDescent="0.35"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</row>
    <row r="1000" spans="8:18" x14ac:dyDescent="0.35"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</row>
    <row r="1001" spans="8:18" x14ac:dyDescent="0.35"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</row>
    <row r="1002" spans="8:18" x14ac:dyDescent="0.35"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</row>
    <row r="1003" spans="8:18" x14ac:dyDescent="0.35"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</row>
    <row r="1004" spans="8:18" x14ac:dyDescent="0.35"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</row>
    <row r="1005" spans="8:18" x14ac:dyDescent="0.35"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</row>
    <row r="1006" spans="8:18" x14ac:dyDescent="0.35"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</row>
    <row r="1007" spans="8:18" x14ac:dyDescent="0.35"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</row>
    <row r="1008" spans="8:18" x14ac:dyDescent="0.35"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</row>
    <row r="1009" spans="8:18" x14ac:dyDescent="0.35"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</row>
    <row r="1010" spans="8:18" x14ac:dyDescent="0.35"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</row>
    <row r="1011" spans="8:18" x14ac:dyDescent="0.35"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</row>
    <row r="1012" spans="8:18" x14ac:dyDescent="0.35"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</row>
    <row r="1013" spans="8:18" x14ac:dyDescent="0.35"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</row>
    <row r="1014" spans="8:18" x14ac:dyDescent="0.35"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</row>
    <row r="1015" spans="8:18" x14ac:dyDescent="0.35"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</row>
    <row r="1016" spans="8:18" x14ac:dyDescent="0.35"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</row>
    <row r="1017" spans="8:18" x14ac:dyDescent="0.35"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</row>
    <row r="1018" spans="8:18" x14ac:dyDescent="0.35"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</row>
    <row r="1019" spans="8:18" x14ac:dyDescent="0.35"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</row>
    <row r="1020" spans="8:18" x14ac:dyDescent="0.35"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</row>
    <row r="1021" spans="8:18" x14ac:dyDescent="0.35"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</row>
    <row r="1022" spans="8:18" x14ac:dyDescent="0.35"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</row>
    <row r="1023" spans="8:18" x14ac:dyDescent="0.35"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</row>
    <row r="1024" spans="8:18" x14ac:dyDescent="0.35"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</row>
    <row r="1025" spans="8:18" x14ac:dyDescent="0.35"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</row>
    <row r="1026" spans="8:18" x14ac:dyDescent="0.35"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</row>
    <row r="1027" spans="8:18" x14ac:dyDescent="0.35"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</row>
    <row r="1028" spans="8:18" x14ac:dyDescent="0.35"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</row>
    <row r="1029" spans="8:18" x14ac:dyDescent="0.35"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</row>
    <row r="1030" spans="8:18" x14ac:dyDescent="0.35"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</row>
    <row r="1031" spans="8:18" x14ac:dyDescent="0.35"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</row>
    <row r="1032" spans="8:18" x14ac:dyDescent="0.35"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</row>
    <row r="1033" spans="8:18" x14ac:dyDescent="0.35"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</row>
    <row r="1034" spans="8:18" x14ac:dyDescent="0.35"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</row>
    <row r="1035" spans="8:18" x14ac:dyDescent="0.35"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</row>
    <row r="1036" spans="8:18" x14ac:dyDescent="0.35"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</row>
    <row r="1037" spans="8:18" x14ac:dyDescent="0.35"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</row>
    <row r="1038" spans="8:18" x14ac:dyDescent="0.35"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</row>
    <row r="1039" spans="8:18" x14ac:dyDescent="0.35"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</row>
    <row r="1040" spans="8:18" x14ac:dyDescent="0.35"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</row>
    <row r="1041" spans="8:18" x14ac:dyDescent="0.35"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</row>
    <row r="1042" spans="8:18" x14ac:dyDescent="0.35"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</row>
    <row r="1043" spans="8:18" x14ac:dyDescent="0.35"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</row>
    <row r="1044" spans="8:18" x14ac:dyDescent="0.35"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</row>
    <row r="1045" spans="8:18" x14ac:dyDescent="0.35"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</row>
    <row r="1046" spans="8:18" x14ac:dyDescent="0.35"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</row>
    <row r="1047" spans="8:18" x14ac:dyDescent="0.35"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</row>
    <row r="1048" spans="8:18" x14ac:dyDescent="0.35"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</row>
    <row r="1049" spans="8:18" x14ac:dyDescent="0.35"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</row>
    <row r="1050" spans="8:18" x14ac:dyDescent="0.35"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</row>
    <row r="1051" spans="8:18" x14ac:dyDescent="0.35"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</row>
    <row r="1052" spans="8:18" x14ac:dyDescent="0.35"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</row>
    <row r="1053" spans="8:18" x14ac:dyDescent="0.35"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</row>
    <row r="1054" spans="8:18" x14ac:dyDescent="0.35"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</row>
    <row r="1055" spans="8:18" x14ac:dyDescent="0.35"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</row>
    <row r="1056" spans="8:18" x14ac:dyDescent="0.35"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</row>
    <row r="1057" spans="8:18" x14ac:dyDescent="0.35"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</row>
    <row r="1058" spans="8:18" x14ac:dyDescent="0.35"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</row>
    <row r="1059" spans="8:18" x14ac:dyDescent="0.35"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</row>
    <row r="1060" spans="8:18" x14ac:dyDescent="0.35"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</row>
    <row r="1061" spans="8:18" x14ac:dyDescent="0.35"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</row>
    <row r="1062" spans="8:18" x14ac:dyDescent="0.35"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</row>
    <row r="1063" spans="8:18" x14ac:dyDescent="0.35"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</row>
    <row r="1064" spans="8:18" x14ac:dyDescent="0.35"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</row>
    <row r="1065" spans="8:18" x14ac:dyDescent="0.35"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</row>
    <row r="1066" spans="8:18" x14ac:dyDescent="0.35"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</row>
    <row r="1067" spans="8:18" x14ac:dyDescent="0.35"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</row>
    <row r="1068" spans="8:18" x14ac:dyDescent="0.35"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</row>
    <row r="1069" spans="8:18" x14ac:dyDescent="0.35"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</row>
    <row r="1070" spans="8:18" x14ac:dyDescent="0.35"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</row>
    <row r="1071" spans="8:18" x14ac:dyDescent="0.35"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</row>
    <row r="1072" spans="8:18" x14ac:dyDescent="0.35"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</row>
    <row r="1073" spans="8:18" x14ac:dyDescent="0.35"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</row>
    <row r="1074" spans="8:18" x14ac:dyDescent="0.35"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</row>
    <row r="1075" spans="8:18" x14ac:dyDescent="0.35"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</row>
    <row r="1076" spans="8:18" x14ac:dyDescent="0.35"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</row>
    <row r="1077" spans="8:18" x14ac:dyDescent="0.35"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</row>
    <row r="1078" spans="8:18" x14ac:dyDescent="0.35"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</row>
    <row r="1079" spans="8:18" x14ac:dyDescent="0.35"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</row>
    <row r="1080" spans="8:18" x14ac:dyDescent="0.35"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</row>
    <row r="1081" spans="8:18" x14ac:dyDescent="0.35"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</row>
    <row r="1082" spans="8:18" x14ac:dyDescent="0.35"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</row>
    <row r="1083" spans="8:18" x14ac:dyDescent="0.35"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</row>
    <row r="1084" spans="8:18" x14ac:dyDescent="0.35"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</row>
    <row r="1085" spans="8:18" x14ac:dyDescent="0.35"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</row>
    <row r="1086" spans="8:18" x14ac:dyDescent="0.35"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</row>
    <row r="1087" spans="8:18" x14ac:dyDescent="0.35"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</row>
    <row r="1088" spans="8:18" x14ac:dyDescent="0.35"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</row>
    <row r="1089" spans="8:18" x14ac:dyDescent="0.35"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</row>
    <row r="1090" spans="8:18" x14ac:dyDescent="0.35"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</row>
    <row r="1091" spans="8:18" x14ac:dyDescent="0.35"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</row>
    <row r="1092" spans="8:18" x14ac:dyDescent="0.35"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</row>
    <row r="1093" spans="8:18" x14ac:dyDescent="0.35"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</row>
    <row r="1094" spans="8:18" x14ac:dyDescent="0.35"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</row>
    <row r="1095" spans="8:18" x14ac:dyDescent="0.35"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</row>
    <row r="1096" spans="8:18" x14ac:dyDescent="0.35"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</row>
    <row r="1097" spans="8:18" x14ac:dyDescent="0.35"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</row>
    <row r="1098" spans="8:18" x14ac:dyDescent="0.35"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</row>
    <row r="1099" spans="8:18" x14ac:dyDescent="0.35"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</row>
    <row r="1100" spans="8:18" x14ac:dyDescent="0.35"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</row>
    <row r="1101" spans="8:18" x14ac:dyDescent="0.35"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</row>
    <row r="1102" spans="8:18" x14ac:dyDescent="0.35"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</row>
    <row r="1103" spans="8:18" x14ac:dyDescent="0.35"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</row>
    <row r="1104" spans="8:18" x14ac:dyDescent="0.35"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</row>
    <row r="1105" spans="8:18" x14ac:dyDescent="0.35"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</row>
    <row r="1106" spans="8:18" x14ac:dyDescent="0.35"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</row>
    <row r="1107" spans="8:18" x14ac:dyDescent="0.35"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</row>
    <row r="1108" spans="8:18" x14ac:dyDescent="0.35"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</row>
    <row r="1109" spans="8:18" x14ac:dyDescent="0.35"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</row>
    <row r="1110" spans="8:18" x14ac:dyDescent="0.35"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</row>
    <row r="1111" spans="8:18" x14ac:dyDescent="0.35"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</row>
    <row r="1112" spans="8:18" x14ac:dyDescent="0.35"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</row>
    <row r="1113" spans="8:18" x14ac:dyDescent="0.35"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</row>
    <row r="1114" spans="8:18" x14ac:dyDescent="0.35"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</row>
    <row r="1115" spans="8:18" x14ac:dyDescent="0.35"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</row>
    <row r="1116" spans="8:18" x14ac:dyDescent="0.35"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</row>
    <row r="1117" spans="8:18" x14ac:dyDescent="0.35"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</row>
    <row r="1118" spans="8:18" x14ac:dyDescent="0.35"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</row>
    <row r="1119" spans="8:18" x14ac:dyDescent="0.35"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</row>
    <row r="1120" spans="8:18" x14ac:dyDescent="0.35"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</row>
    <row r="1121" spans="8:18" x14ac:dyDescent="0.35"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</row>
    <row r="1122" spans="8:18" x14ac:dyDescent="0.35"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</row>
    <row r="1123" spans="8:18" x14ac:dyDescent="0.35"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</row>
    <row r="1124" spans="8:18" x14ac:dyDescent="0.35"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</row>
    <row r="1125" spans="8:18" x14ac:dyDescent="0.35"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</row>
    <row r="1126" spans="8:18" x14ac:dyDescent="0.35"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</row>
    <row r="1127" spans="8:18" x14ac:dyDescent="0.35"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</row>
    <row r="1128" spans="8:18" x14ac:dyDescent="0.35"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</row>
    <row r="1129" spans="8:18" x14ac:dyDescent="0.35"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</row>
    <row r="1130" spans="8:18" x14ac:dyDescent="0.35"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</row>
    <row r="1131" spans="8:18" x14ac:dyDescent="0.35"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</row>
    <row r="1132" spans="8:18" x14ac:dyDescent="0.35"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</row>
    <row r="1133" spans="8:18" x14ac:dyDescent="0.35"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</row>
    <row r="1134" spans="8:18" x14ac:dyDescent="0.35"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</row>
    <row r="1135" spans="8:18" x14ac:dyDescent="0.35"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</row>
    <row r="1136" spans="8:18" x14ac:dyDescent="0.35"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</row>
    <row r="1137" spans="8:18" x14ac:dyDescent="0.35"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</row>
    <row r="1138" spans="8:18" x14ac:dyDescent="0.35"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</row>
    <row r="1139" spans="8:18" x14ac:dyDescent="0.35"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</row>
    <row r="1140" spans="8:18" x14ac:dyDescent="0.35"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</row>
    <row r="1141" spans="8:18" x14ac:dyDescent="0.35"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</row>
    <row r="1142" spans="8:18" x14ac:dyDescent="0.35"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</row>
    <row r="1143" spans="8:18" x14ac:dyDescent="0.35"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</row>
    <row r="1144" spans="8:18" x14ac:dyDescent="0.35"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</row>
    <row r="1145" spans="8:18" x14ac:dyDescent="0.35"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</row>
    <row r="1146" spans="8:18" x14ac:dyDescent="0.35"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</row>
    <row r="1147" spans="8:18" x14ac:dyDescent="0.35"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</row>
    <row r="1148" spans="8:18" x14ac:dyDescent="0.35"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</row>
    <row r="1149" spans="8:18" x14ac:dyDescent="0.35"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</row>
    <row r="1150" spans="8:18" x14ac:dyDescent="0.35"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</row>
    <row r="1151" spans="8:18" x14ac:dyDescent="0.35"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</row>
    <row r="1152" spans="8:18" x14ac:dyDescent="0.35"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</row>
    <row r="1153" spans="8:18" x14ac:dyDescent="0.35"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</row>
    <row r="1154" spans="8:18" x14ac:dyDescent="0.35"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</row>
    <row r="1155" spans="8:18" x14ac:dyDescent="0.35"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</row>
    <row r="1156" spans="8:18" x14ac:dyDescent="0.35"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</row>
    <row r="1157" spans="8:18" x14ac:dyDescent="0.35"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</row>
    <row r="1158" spans="8:18" x14ac:dyDescent="0.35"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</row>
    <row r="1159" spans="8:18" x14ac:dyDescent="0.35"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</row>
    <row r="1160" spans="8:18" x14ac:dyDescent="0.35"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</row>
    <row r="1161" spans="8:18" x14ac:dyDescent="0.35"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</row>
    <row r="1162" spans="8:18" x14ac:dyDescent="0.35"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</row>
    <row r="1163" spans="8:18" x14ac:dyDescent="0.35"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</row>
    <row r="1164" spans="8:18" x14ac:dyDescent="0.35"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</row>
    <row r="1165" spans="8:18" x14ac:dyDescent="0.35"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</row>
    <row r="1166" spans="8:18" x14ac:dyDescent="0.35"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</row>
    <row r="1167" spans="8:18" x14ac:dyDescent="0.35"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</row>
    <row r="1168" spans="8:18" x14ac:dyDescent="0.35"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</row>
    <row r="1169" spans="8:18" x14ac:dyDescent="0.35"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</row>
    <row r="1170" spans="8:18" x14ac:dyDescent="0.35"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</row>
    <row r="1171" spans="8:18" x14ac:dyDescent="0.35"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</row>
    <row r="1172" spans="8:18" x14ac:dyDescent="0.35"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</row>
    <row r="1173" spans="8:18" x14ac:dyDescent="0.35"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</row>
    <row r="1174" spans="8:18" x14ac:dyDescent="0.35"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</row>
    <row r="1175" spans="8:18" x14ac:dyDescent="0.35"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</row>
    <row r="1176" spans="8:18" x14ac:dyDescent="0.35"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</row>
    <row r="1177" spans="8:18" x14ac:dyDescent="0.35"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</row>
    <row r="1178" spans="8:18" x14ac:dyDescent="0.35"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</row>
    <row r="1179" spans="8:18" x14ac:dyDescent="0.35"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</row>
    <row r="1180" spans="8:18" x14ac:dyDescent="0.35"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</row>
    <row r="1181" spans="8:18" x14ac:dyDescent="0.35"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</row>
    <row r="1182" spans="8:18" x14ac:dyDescent="0.35"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</row>
    <row r="1183" spans="8:18" x14ac:dyDescent="0.35"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</row>
    <row r="1184" spans="8:18" x14ac:dyDescent="0.35"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</row>
    <row r="1185" spans="8:18" x14ac:dyDescent="0.35"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</row>
    <row r="1186" spans="8:18" x14ac:dyDescent="0.35"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</row>
    <row r="1187" spans="8:18" x14ac:dyDescent="0.35"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</row>
    <row r="1188" spans="8:18" x14ac:dyDescent="0.35"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</row>
    <row r="1189" spans="8:18" x14ac:dyDescent="0.35"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</row>
    <row r="1190" spans="8:18" x14ac:dyDescent="0.35"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</row>
    <row r="1191" spans="8:18" x14ac:dyDescent="0.35"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</row>
    <row r="1192" spans="8:18" x14ac:dyDescent="0.35"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</row>
    <row r="1193" spans="8:18" x14ac:dyDescent="0.35"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</row>
    <row r="1194" spans="8:18" x14ac:dyDescent="0.35"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</row>
    <row r="1195" spans="8:18" x14ac:dyDescent="0.35"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</row>
    <row r="1196" spans="8:18" x14ac:dyDescent="0.35"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</row>
    <row r="1197" spans="8:18" x14ac:dyDescent="0.35"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</row>
    <row r="1198" spans="8:18" x14ac:dyDescent="0.35"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</row>
    <row r="1199" spans="8:18" x14ac:dyDescent="0.35"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</row>
    <row r="1200" spans="8:18" x14ac:dyDescent="0.35"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</row>
    <row r="1201" spans="8:18" x14ac:dyDescent="0.35"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</row>
    <row r="1202" spans="8:18" x14ac:dyDescent="0.35"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</row>
    <row r="1203" spans="8:18" x14ac:dyDescent="0.35"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</row>
    <row r="1204" spans="8:18" x14ac:dyDescent="0.35"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</row>
    <row r="1205" spans="8:18" x14ac:dyDescent="0.35"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</row>
    <row r="1206" spans="8:18" x14ac:dyDescent="0.35"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</row>
    <row r="1207" spans="8:18" x14ac:dyDescent="0.35"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</row>
    <row r="1208" spans="8:18" x14ac:dyDescent="0.35"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</row>
    <row r="1209" spans="8:18" x14ac:dyDescent="0.35"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</row>
    <row r="1210" spans="8:18" x14ac:dyDescent="0.35"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</row>
    <row r="1211" spans="8:18" x14ac:dyDescent="0.35"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</row>
    <row r="1212" spans="8:18" x14ac:dyDescent="0.35"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</row>
    <row r="1213" spans="8:18" x14ac:dyDescent="0.35"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</row>
    <row r="1214" spans="8:18" x14ac:dyDescent="0.35"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</row>
    <row r="1215" spans="8:18" x14ac:dyDescent="0.35"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</row>
    <row r="1216" spans="8:18" x14ac:dyDescent="0.35"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</row>
    <row r="1217" spans="8:18" x14ac:dyDescent="0.35"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</row>
    <row r="1218" spans="8:18" x14ac:dyDescent="0.35"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</row>
    <row r="1219" spans="8:18" x14ac:dyDescent="0.35"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</row>
    <row r="1220" spans="8:18" x14ac:dyDescent="0.35"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</row>
    <row r="1221" spans="8:18" x14ac:dyDescent="0.35"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</row>
    <row r="1222" spans="8:18" x14ac:dyDescent="0.35"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</row>
    <row r="1223" spans="8:18" x14ac:dyDescent="0.35"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</row>
    <row r="1224" spans="8:18" x14ac:dyDescent="0.35"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</row>
    <row r="1225" spans="8:18" x14ac:dyDescent="0.35"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</row>
    <row r="1226" spans="8:18" x14ac:dyDescent="0.35"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</row>
    <row r="1227" spans="8:18" x14ac:dyDescent="0.35"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</row>
    <row r="1228" spans="8:18" x14ac:dyDescent="0.35"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</row>
    <row r="1229" spans="8:18" x14ac:dyDescent="0.35"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</row>
    <row r="1230" spans="8:18" x14ac:dyDescent="0.35"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</row>
    <row r="1231" spans="8:18" x14ac:dyDescent="0.35"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</row>
    <row r="1232" spans="8:18" x14ac:dyDescent="0.35"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</row>
    <row r="1233" spans="8:18" x14ac:dyDescent="0.35"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</row>
    <row r="1234" spans="8:18" x14ac:dyDescent="0.35"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</row>
    <row r="1235" spans="8:18" x14ac:dyDescent="0.35"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</row>
    <row r="1236" spans="8:18" x14ac:dyDescent="0.35"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</row>
    <row r="1237" spans="8:18" x14ac:dyDescent="0.35"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</row>
    <row r="1238" spans="8:18" x14ac:dyDescent="0.35"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</row>
    <row r="1239" spans="8:18" x14ac:dyDescent="0.35"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</row>
    <row r="1240" spans="8:18" x14ac:dyDescent="0.35"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</row>
    <row r="1241" spans="8:18" x14ac:dyDescent="0.35"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</row>
    <row r="1242" spans="8:18" x14ac:dyDescent="0.35"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</row>
    <row r="1243" spans="8:18" x14ac:dyDescent="0.35"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</row>
    <row r="1244" spans="8:18" x14ac:dyDescent="0.35"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</row>
    <row r="1245" spans="8:18" x14ac:dyDescent="0.35"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</row>
    <row r="1246" spans="8:18" x14ac:dyDescent="0.35"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</row>
    <row r="1247" spans="8:18" x14ac:dyDescent="0.35"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</row>
    <row r="1248" spans="8:18" x14ac:dyDescent="0.35"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</row>
    <row r="1249" spans="8:18" x14ac:dyDescent="0.35"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</row>
    <row r="1250" spans="8:18" x14ac:dyDescent="0.35"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</row>
    <row r="1251" spans="8:18" x14ac:dyDescent="0.35"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</row>
    <row r="1252" spans="8:18" x14ac:dyDescent="0.35"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</row>
    <row r="1253" spans="8:18" x14ac:dyDescent="0.35"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</row>
    <row r="1254" spans="8:18" x14ac:dyDescent="0.35"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</row>
    <row r="1255" spans="8:18" x14ac:dyDescent="0.35"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</row>
    <row r="1256" spans="8:18" x14ac:dyDescent="0.35"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</row>
    <row r="1257" spans="8:18" x14ac:dyDescent="0.35"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</row>
    <row r="1258" spans="8:18" x14ac:dyDescent="0.35"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</row>
    <row r="1259" spans="8:18" x14ac:dyDescent="0.35"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</row>
    <row r="1260" spans="8:18" x14ac:dyDescent="0.35"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</row>
    <row r="1261" spans="8:18" x14ac:dyDescent="0.35"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</row>
    <row r="1262" spans="8:18" x14ac:dyDescent="0.35"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</row>
    <row r="1263" spans="8:18" x14ac:dyDescent="0.35"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</row>
    <row r="1264" spans="8:18" x14ac:dyDescent="0.35"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</row>
    <row r="1265" spans="8:18" x14ac:dyDescent="0.35"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</row>
    <row r="1266" spans="8:18" x14ac:dyDescent="0.35"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</row>
    <row r="1267" spans="8:18" x14ac:dyDescent="0.35"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</row>
    <row r="1268" spans="8:18" x14ac:dyDescent="0.35"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</row>
    <row r="1269" spans="8:18" x14ac:dyDescent="0.35"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</row>
    <row r="1270" spans="8:18" x14ac:dyDescent="0.35"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</row>
    <row r="1271" spans="8:18" x14ac:dyDescent="0.35"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</row>
    <row r="1272" spans="8:18" x14ac:dyDescent="0.35"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</row>
    <row r="1273" spans="8:18" x14ac:dyDescent="0.35"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</row>
    <row r="1274" spans="8:18" x14ac:dyDescent="0.35"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</row>
    <row r="1275" spans="8:18" x14ac:dyDescent="0.35"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</row>
    <row r="1276" spans="8:18" x14ac:dyDescent="0.35"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</row>
    <row r="1277" spans="8:18" x14ac:dyDescent="0.35"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</row>
    <row r="1278" spans="8:18" x14ac:dyDescent="0.35"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</row>
    <row r="1279" spans="8:18" x14ac:dyDescent="0.35"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</row>
    <row r="1280" spans="8:18" x14ac:dyDescent="0.35"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</row>
    <row r="1281" spans="8:18" x14ac:dyDescent="0.35"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</row>
    <row r="1282" spans="8:18" x14ac:dyDescent="0.35"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</row>
    <row r="1283" spans="8:18" x14ac:dyDescent="0.35"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</row>
    <row r="1284" spans="8:18" x14ac:dyDescent="0.35"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</row>
    <row r="1285" spans="8:18" x14ac:dyDescent="0.35"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</row>
    <row r="1286" spans="8:18" x14ac:dyDescent="0.35"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</row>
    <row r="1287" spans="8:18" x14ac:dyDescent="0.35"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</row>
    <row r="1288" spans="8:18" x14ac:dyDescent="0.35"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</row>
    <row r="1289" spans="8:18" x14ac:dyDescent="0.35"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</row>
    <row r="1290" spans="8:18" x14ac:dyDescent="0.35"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</row>
    <row r="1291" spans="8:18" x14ac:dyDescent="0.35"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</row>
    <row r="1292" spans="8:18" x14ac:dyDescent="0.35"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</row>
    <row r="1293" spans="8:18" x14ac:dyDescent="0.35"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</row>
    <row r="1294" spans="8:18" x14ac:dyDescent="0.35"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</row>
    <row r="1295" spans="8:18" x14ac:dyDescent="0.35"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</row>
    <row r="1296" spans="8:18" x14ac:dyDescent="0.35"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</row>
    <row r="1297" spans="8:18" x14ac:dyDescent="0.35"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</row>
    <row r="1298" spans="8:18" x14ac:dyDescent="0.35"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</row>
    <row r="1299" spans="8:18" x14ac:dyDescent="0.35"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</row>
    <row r="1300" spans="8:18" x14ac:dyDescent="0.35"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</row>
    <row r="1301" spans="8:18" x14ac:dyDescent="0.35"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</row>
    <row r="1302" spans="8:18" x14ac:dyDescent="0.35"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</row>
    <row r="1303" spans="8:18" x14ac:dyDescent="0.35"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</row>
    <row r="1304" spans="8:18" x14ac:dyDescent="0.35"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</row>
    <row r="1305" spans="8:18" x14ac:dyDescent="0.35"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</row>
    <row r="1306" spans="8:18" x14ac:dyDescent="0.35"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</row>
    <row r="1307" spans="8:18" x14ac:dyDescent="0.35"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</row>
    <row r="1308" spans="8:18" x14ac:dyDescent="0.35"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</row>
    <row r="1309" spans="8:18" x14ac:dyDescent="0.35"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</row>
    <row r="1310" spans="8:18" x14ac:dyDescent="0.35"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</row>
    <row r="1311" spans="8:18" x14ac:dyDescent="0.35"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</row>
    <row r="1312" spans="8:18" x14ac:dyDescent="0.35"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</row>
    <row r="1313" spans="8:18" x14ac:dyDescent="0.35"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</row>
    <row r="1314" spans="8:18" x14ac:dyDescent="0.35"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</row>
    <row r="1315" spans="8:18" x14ac:dyDescent="0.35"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</row>
    <row r="1316" spans="8:18" x14ac:dyDescent="0.35"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</row>
    <row r="1317" spans="8:18" x14ac:dyDescent="0.35"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</row>
    <row r="1318" spans="8:18" x14ac:dyDescent="0.35"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</row>
    <row r="1319" spans="8:18" x14ac:dyDescent="0.35"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</row>
    <row r="1320" spans="8:18" x14ac:dyDescent="0.35"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</row>
    <row r="1321" spans="8:18" x14ac:dyDescent="0.35"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</row>
    <row r="1322" spans="8:18" x14ac:dyDescent="0.35"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</row>
    <row r="1323" spans="8:18" x14ac:dyDescent="0.35"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</row>
    <row r="1324" spans="8:18" x14ac:dyDescent="0.35"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</row>
    <row r="1325" spans="8:18" x14ac:dyDescent="0.35"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</row>
    <row r="1326" spans="8:18" x14ac:dyDescent="0.35"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</row>
    <row r="1327" spans="8:18" x14ac:dyDescent="0.35"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</row>
    <row r="1328" spans="8:18" x14ac:dyDescent="0.35"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</row>
    <row r="1329" spans="8:18" x14ac:dyDescent="0.35"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</row>
    <row r="1330" spans="8:18" x14ac:dyDescent="0.35"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</row>
    <row r="1331" spans="8:18" x14ac:dyDescent="0.35"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</row>
    <row r="1332" spans="8:18" x14ac:dyDescent="0.35"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</row>
    <row r="1333" spans="8:18" x14ac:dyDescent="0.35"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</row>
    <row r="1334" spans="8:18" x14ac:dyDescent="0.35"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</row>
    <row r="1335" spans="8:18" x14ac:dyDescent="0.35"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</row>
    <row r="1336" spans="8:18" x14ac:dyDescent="0.35"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</row>
    <row r="1337" spans="8:18" x14ac:dyDescent="0.35"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</row>
    <row r="1338" spans="8:18" x14ac:dyDescent="0.35"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</row>
    <row r="1339" spans="8:18" x14ac:dyDescent="0.35"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</row>
    <row r="1340" spans="8:18" x14ac:dyDescent="0.35"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</row>
    <row r="1341" spans="8:18" x14ac:dyDescent="0.35"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</row>
    <row r="1342" spans="8:18" x14ac:dyDescent="0.35"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</row>
    <row r="1343" spans="8:18" x14ac:dyDescent="0.35"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</row>
    <row r="1344" spans="8:18" x14ac:dyDescent="0.35"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</row>
    <row r="1345" spans="8:18" x14ac:dyDescent="0.35"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</row>
    <row r="1346" spans="8:18" x14ac:dyDescent="0.35"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</row>
    <row r="1347" spans="8:18" x14ac:dyDescent="0.35"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</row>
    <row r="1348" spans="8:18" x14ac:dyDescent="0.35"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</row>
    <row r="1349" spans="8:18" x14ac:dyDescent="0.35"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</row>
    <row r="1350" spans="8:18" x14ac:dyDescent="0.35"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</row>
    <row r="1351" spans="8:18" x14ac:dyDescent="0.35"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</row>
    <row r="1352" spans="8:18" x14ac:dyDescent="0.35"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</row>
    <row r="1353" spans="8:18" x14ac:dyDescent="0.35"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</row>
    <row r="1354" spans="8:18" x14ac:dyDescent="0.35"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</row>
    <row r="1355" spans="8:18" x14ac:dyDescent="0.35"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</row>
    <row r="1356" spans="8:18" x14ac:dyDescent="0.35"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</row>
    <row r="1357" spans="8:18" x14ac:dyDescent="0.35"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</row>
    <row r="1358" spans="8:18" x14ac:dyDescent="0.35"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</row>
    <row r="1359" spans="8:18" x14ac:dyDescent="0.35"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</row>
    <row r="1360" spans="8:18" x14ac:dyDescent="0.35"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</row>
    <row r="1361" spans="8:18" x14ac:dyDescent="0.35"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</row>
    <row r="1362" spans="8:18" x14ac:dyDescent="0.35"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</row>
    <row r="1363" spans="8:18" x14ac:dyDescent="0.35"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</row>
    <row r="1364" spans="8:18" x14ac:dyDescent="0.35"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</row>
    <row r="1365" spans="8:18" x14ac:dyDescent="0.35"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</row>
    <row r="1366" spans="8:18" x14ac:dyDescent="0.35"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</row>
    <row r="1367" spans="8:18" x14ac:dyDescent="0.35"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</row>
    <row r="1368" spans="8:18" x14ac:dyDescent="0.35"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</row>
    <row r="1369" spans="8:18" x14ac:dyDescent="0.35"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</row>
    <row r="1370" spans="8:18" x14ac:dyDescent="0.35"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</row>
    <row r="1371" spans="8:18" x14ac:dyDescent="0.35"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</row>
    <row r="1372" spans="8:18" x14ac:dyDescent="0.35"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</row>
    <row r="1373" spans="8:18" x14ac:dyDescent="0.35"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</row>
    <row r="1374" spans="8:18" x14ac:dyDescent="0.35"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</row>
    <row r="1375" spans="8:18" x14ac:dyDescent="0.35"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</row>
    <row r="1376" spans="8:18" x14ac:dyDescent="0.35"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</row>
    <row r="1377" spans="8:18" x14ac:dyDescent="0.35"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</row>
    <row r="1378" spans="8:18" x14ac:dyDescent="0.35"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</row>
    <row r="1379" spans="8:18" x14ac:dyDescent="0.35"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</row>
    <row r="1380" spans="8:18" x14ac:dyDescent="0.35"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</row>
    <row r="1381" spans="8:18" x14ac:dyDescent="0.35"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</row>
    <row r="1382" spans="8:18" x14ac:dyDescent="0.35"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</row>
    <row r="1383" spans="8:18" x14ac:dyDescent="0.35"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</row>
    <row r="1384" spans="8:18" x14ac:dyDescent="0.35"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</row>
    <row r="1385" spans="8:18" x14ac:dyDescent="0.35"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</row>
    <row r="1386" spans="8:18" x14ac:dyDescent="0.35"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</row>
    <row r="1387" spans="8:18" x14ac:dyDescent="0.35"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</row>
    <row r="1388" spans="8:18" x14ac:dyDescent="0.35"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</row>
    <row r="1389" spans="8:18" x14ac:dyDescent="0.35"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</row>
    <row r="1390" spans="8:18" x14ac:dyDescent="0.35"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</row>
    <row r="1391" spans="8:18" x14ac:dyDescent="0.35"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</row>
    <row r="1392" spans="8:18" x14ac:dyDescent="0.35"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</row>
    <row r="1393" spans="8:18" x14ac:dyDescent="0.35"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</row>
    <row r="1394" spans="8:18" x14ac:dyDescent="0.35"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</row>
    <row r="1395" spans="8:18" x14ac:dyDescent="0.35"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</row>
    <row r="1396" spans="8:18" x14ac:dyDescent="0.35"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</row>
    <row r="1397" spans="8:18" x14ac:dyDescent="0.35"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</row>
    <row r="1398" spans="8:18" x14ac:dyDescent="0.35"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</row>
    <row r="1399" spans="8:18" x14ac:dyDescent="0.35"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</row>
    <row r="1400" spans="8:18" x14ac:dyDescent="0.35"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</row>
    <row r="1401" spans="8:18" x14ac:dyDescent="0.35"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</row>
    <row r="1402" spans="8:18" x14ac:dyDescent="0.35"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</row>
    <row r="1403" spans="8:18" x14ac:dyDescent="0.35"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</row>
    <row r="1404" spans="8:18" x14ac:dyDescent="0.35"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</row>
    <row r="1405" spans="8:18" x14ac:dyDescent="0.35"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</row>
    <row r="1406" spans="8:18" x14ac:dyDescent="0.35"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</row>
    <row r="1407" spans="8:18" x14ac:dyDescent="0.35"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</row>
    <row r="1408" spans="8:18" x14ac:dyDescent="0.35"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</row>
    <row r="1409" spans="8:18" x14ac:dyDescent="0.35"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</row>
    <row r="1410" spans="8:18" x14ac:dyDescent="0.35"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</row>
    <row r="1411" spans="8:18" x14ac:dyDescent="0.35"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</row>
    <row r="1412" spans="8:18" x14ac:dyDescent="0.35"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</row>
    <row r="1413" spans="8:18" x14ac:dyDescent="0.35"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</row>
    <row r="1414" spans="8:18" x14ac:dyDescent="0.35"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</row>
    <row r="1415" spans="8:18" x14ac:dyDescent="0.35"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</row>
    <row r="1416" spans="8:18" x14ac:dyDescent="0.35"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</row>
    <row r="1417" spans="8:18" x14ac:dyDescent="0.35"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</row>
    <row r="1418" spans="8:18" x14ac:dyDescent="0.35"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</row>
    <row r="1419" spans="8:18" x14ac:dyDescent="0.35"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</row>
    <row r="1420" spans="8:18" x14ac:dyDescent="0.35"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</row>
    <row r="1421" spans="8:18" x14ac:dyDescent="0.35"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</row>
    <row r="1422" spans="8:18" x14ac:dyDescent="0.35"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</row>
    <row r="1423" spans="8:18" x14ac:dyDescent="0.35"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</row>
    <row r="1424" spans="8:18" x14ac:dyDescent="0.35"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</row>
    <row r="1425" spans="8:18" x14ac:dyDescent="0.35"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</row>
    <row r="1426" spans="8:18" x14ac:dyDescent="0.35"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</row>
    <row r="1427" spans="8:18" x14ac:dyDescent="0.35"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</row>
    <row r="1428" spans="8:18" x14ac:dyDescent="0.35"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</row>
    <row r="1429" spans="8:18" x14ac:dyDescent="0.35"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</row>
    <row r="1430" spans="8:18" x14ac:dyDescent="0.35"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</row>
    <row r="1431" spans="8:18" x14ac:dyDescent="0.35"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</row>
    <row r="1432" spans="8:18" x14ac:dyDescent="0.35"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</row>
    <row r="1433" spans="8:18" x14ac:dyDescent="0.35"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</row>
    <row r="1434" spans="8:18" x14ac:dyDescent="0.35"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</row>
    <row r="1435" spans="8:18" x14ac:dyDescent="0.35"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</row>
    <row r="1436" spans="8:18" x14ac:dyDescent="0.35"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</row>
    <row r="1437" spans="8:18" x14ac:dyDescent="0.35"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</row>
    <row r="1438" spans="8:18" x14ac:dyDescent="0.35"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</row>
    <row r="1439" spans="8:18" x14ac:dyDescent="0.35"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</row>
    <row r="1440" spans="8:18" x14ac:dyDescent="0.35"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</row>
    <row r="1441" spans="8:18" x14ac:dyDescent="0.35"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</row>
    <row r="1442" spans="8:18" x14ac:dyDescent="0.35"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</row>
    <row r="1443" spans="8:18" x14ac:dyDescent="0.35"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</row>
    <row r="1444" spans="8:18" x14ac:dyDescent="0.35"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</row>
    <row r="1445" spans="8:18" x14ac:dyDescent="0.35"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</row>
    <row r="1446" spans="8:18" x14ac:dyDescent="0.35"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</row>
    <row r="1447" spans="8:18" x14ac:dyDescent="0.35"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</row>
    <row r="1448" spans="8:18" x14ac:dyDescent="0.35"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</row>
    <row r="1449" spans="8:18" x14ac:dyDescent="0.35"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</row>
    <row r="1450" spans="8:18" x14ac:dyDescent="0.35"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</row>
    <row r="1451" spans="8:18" x14ac:dyDescent="0.35"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</row>
    <row r="1452" spans="8:18" x14ac:dyDescent="0.35"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</row>
    <row r="1453" spans="8:18" x14ac:dyDescent="0.35"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</row>
    <row r="1454" spans="8:18" x14ac:dyDescent="0.35"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</row>
    <row r="1455" spans="8:18" x14ac:dyDescent="0.35"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</row>
    <row r="1456" spans="8:18" x14ac:dyDescent="0.35"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</row>
    <row r="1457" spans="8:18" x14ac:dyDescent="0.35"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</row>
    <row r="1458" spans="8:18" x14ac:dyDescent="0.35"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</row>
    <row r="1459" spans="8:18" x14ac:dyDescent="0.35"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</row>
    <row r="1460" spans="8:18" x14ac:dyDescent="0.35"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</row>
    <row r="1461" spans="8:18" x14ac:dyDescent="0.35"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</row>
    <row r="1462" spans="8:18" x14ac:dyDescent="0.35"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</row>
    <row r="1463" spans="8:18" x14ac:dyDescent="0.35"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</row>
    <row r="1464" spans="8:18" x14ac:dyDescent="0.35"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</row>
    <row r="1465" spans="8:18" x14ac:dyDescent="0.35"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</row>
    <row r="1466" spans="8:18" x14ac:dyDescent="0.35"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</row>
    <row r="1467" spans="8:18" x14ac:dyDescent="0.35"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</row>
    <row r="1468" spans="8:18" x14ac:dyDescent="0.35"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</row>
    <row r="1469" spans="8:18" x14ac:dyDescent="0.35"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</row>
    <row r="1470" spans="8:18" x14ac:dyDescent="0.35"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</row>
    <row r="1471" spans="8:18" x14ac:dyDescent="0.35"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</row>
    <row r="1472" spans="8:18" x14ac:dyDescent="0.35"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</row>
    <row r="1473" spans="8:18" x14ac:dyDescent="0.35"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</row>
    <row r="1474" spans="8:18" x14ac:dyDescent="0.35"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</row>
    <row r="1475" spans="8:18" x14ac:dyDescent="0.35"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</row>
    <row r="1476" spans="8:18" x14ac:dyDescent="0.35"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</row>
    <row r="1477" spans="8:18" x14ac:dyDescent="0.35"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</row>
    <row r="1478" spans="8:18" x14ac:dyDescent="0.35"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</row>
    <row r="1479" spans="8:18" x14ac:dyDescent="0.35"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</row>
    <row r="1480" spans="8:18" x14ac:dyDescent="0.35"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</row>
    <row r="1481" spans="8:18" x14ac:dyDescent="0.35"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</row>
    <row r="1482" spans="8:18" x14ac:dyDescent="0.35"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</row>
    <row r="1483" spans="8:18" x14ac:dyDescent="0.35"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</row>
    <row r="1484" spans="8:18" x14ac:dyDescent="0.35"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</row>
    <row r="1485" spans="8:18" x14ac:dyDescent="0.35"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</row>
    <row r="1486" spans="8:18" x14ac:dyDescent="0.35"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</row>
    <row r="1487" spans="8:18" x14ac:dyDescent="0.35"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</row>
    <row r="1488" spans="8:18" x14ac:dyDescent="0.35"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</row>
    <row r="1489" spans="8:18" x14ac:dyDescent="0.35"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</row>
    <row r="1490" spans="8:18" x14ac:dyDescent="0.35"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</row>
    <row r="1491" spans="8:18" x14ac:dyDescent="0.35"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</row>
    <row r="1492" spans="8:18" x14ac:dyDescent="0.35"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</row>
    <row r="1493" spans="8:18" x14ac:dyDescent="0.35"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</row>
    <row r="1494" spans="8:18" x14ac:dyDescent="0.35"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</row>
    <row r="1495" spans="8:18" x14ac:dyDescent="0.35"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</row>
    <row r="1496" spans="8:18" x14ac:dyDescent="0.35"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</row>
    <row r="1497" spans="8:18" x14ac:dyDescent="0.35"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</row>
    <row r="1498" spans="8:18" x14ac:dyDescent="0.35"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</row>
    <row r="1499" spans="8:18" x14ac:dyDescent="0.35"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</row>
    <row r="1500" spans="8:18" x14ac:dyDescent="0.35"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</row>
    <row r="1501" spans="8:18" x14ac:dyDescent="0.35"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</row>
    <row r="1502" spans="8:18" x14ac:dyDescent="0.35"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</row>
    <row r="1503" spans="8:18" x14ac:dyDescent="0.35"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</row>
    <row r="1504" spans="8:18" x14ac:dyDescent="0.35"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</row>
    <row r="1505" spans="8:18" x14ac:dyDescent="0.35"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</row>
    <row r="1506" spans="8:18" x14ac:dyDescent="0.35"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</row>
    <row r="1507" spans="8:18" x14ac:dyDescent="0.35"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</row>
    <row r="1508" spans="8:18" x14ac:dyDescent="0.35"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</row>
    <row r="1509" spans="8:18" x14ac:dyDescent="0.35"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</row>
    <row r="1510" spans="8:18" x14ac:dyDescent="0.35"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</row>
    <row r="1511" spans="8:18" x14ac:dyDescent="0.35"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</row>
    <row r="1512" spans="8:18" x14ac:dyDescent="0.35"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</row>
    <row r="1513" spans="8:18" x14ac:dyDescent="0.35"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</row>
    <row r="1514" spans="8:18" x14ac:dyDescent="0.35"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</row>
    <row r="1515" spans="8:18" x14ac:dyDescent="0.35"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</row>
    <row r="1516" spans="8:18" x14ac:dyDescent="0.35"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</row>
    <row r="1517" spans="8:18" x14ac:dyDescent="0.35"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</row>
    <row r="1518" spans="8:18" x14ac:dyDescent="0.35"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</row>
    <row r="1519" spans="8:18" x14ac:dyDescent="0.35"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</row>
    <row r="1520" spans="8:18" x14ac:dyDescent="0.35"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</row>
    <row r="1521" spans="8:18" x14ac:dyDescent="0.35"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</row>
    <row r="1522" spans="8:18" x14ac:dyDescent="0.35"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</row>
    <row r="1523" spans="8:18" x14ac:dyDescent="0.35"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</row>
    <row r="1524" spans="8:18" x14ac:dyDescent="0.35"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</row>
    <row r="1525" spans="8:18" x14ac:dyDescent="0.35"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</row>
    <row r="1526" spans="8:18" x14ac:dyDescent="0.35"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</row>
    <row r="1527" spans="8:18" x14ac:dyDescent="0.35"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</row>
    <row r="1528" spans="8:18" x14ac:dyDescent="0.35"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</row>
    <row r="1529" spans="8:18" x14ac:dyDescent="0.35"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</row>
    <row r="1530" spans="8:18" x14ac:dyDescent="0.35"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</row>
    <row r="1531" spans="8:18" x14ac:dyDescent="0.35"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</row>
    <row r="1532" spans="8:18" x14ac:dyDescent="0.35"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</row>
    <row r="1533" spans="8:18" x14ac:dyDescent="0.35"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</row>
    <row r="1534" spans="8:18" x14ac:dyDescent="0.35"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</row>
    <row r="1535" spans="8:18" x14ac:dyDescent="0.35"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</row>
    <row r="1536" spans="8:18" x14ac:dyDescent="0.35"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</row>
    <row r="1537" spans="8:18" x14ac:dyDescent="0.35"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</row>
    <row r="1538" spans="8:18" x14ac:dyDescent="0.35"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</row>
    <row r="1539" spans="8:18" x14ac:dyDescent="0.35"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</row>
    <row r="1540" spans="8:18" x14ac:dyDescent="0.35"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</row>
    <row r="1541" spans="8:18" x14ac:dyDescent="0.35"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</row>
    <row r="1542" spans="8:18" x14ac:dyDescent="0.35"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</row>
    <row r="1543" spans="8:18" x14ac:dyDescent="0.35"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</row>
    <row r="1544" spans="8:18" x14ac:dyDescent="0.35"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</row>
    <row r="1545" spans="8:18" x14ac:dyDescent="0.35"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</row>
    <row r="1546" spans="8:18" x14ac:dyDescent="0.35"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</row>
    <row r="1547" spans="8:18" x14ac:dyDescent="0.35"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</row>
    <row r="1548" spans="8:18" x14ac:dyDescent="0.35"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</row>
    <row r="1549" spans="8:18" x14ac:dyDescent="0.35"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</row>
    <row r="1550" spans="8:18" x14ac:dyDescent="0.35"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</row>
    <row r="1551" spans="8:18" x14ac:dyDescent="0.35"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</row>
    <row r="1552" spans="8:18" x14ac:dyDescent="0.35"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</row>
    <row r="1553" spans="8:18" x14ac:dyDescent="0.35"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</row>
    <row r="1554" spans="8:18" x14ac:dyDescent="0.35"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</row>
    <row r="1555" spans="8:18" x14ac:dyDescent="0.35"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</row>
    <row r="1556" spans="8:18" x14ac:dyDescent="0.35"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</row>
    <row r="1557" spans="8:18" x14ac:dyDescent="0.35"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</row>
    <row r="1558" spans="8:18" x14ac:dyDescent="0.35"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</row>
    <row r="1559" spans="8:18" x14ac:dyDescent="0.35"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</row>
    <row r="1560" spans="8:18" x14ac:dyDescent="0.35"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</row>
    <row r="1561" spans="8:18" x14ac:dyDescent="0.35"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</row>
    <row r="1562" spans="8:18" x14ac:dyDescent="0.35"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</row>
    <row r="1563" spans="8:18" x14ac:dyDescent="0.35"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</row>
    <row r="1564" spans="8:18" x14ac:dyDescent="0.35"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</row>
    <row r="1565" spans="8:18" x14ac:dyDescent="0.35"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</row>
    <row r="1566" spans="8:18" x14ac:dyDescent="0.35"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</row>
    <row r="1567" spans="8:18" x14ac:dyDescent="0.35"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</row>
    <row r="1568" spans="8:18" x14ac:dyDescent="0.35"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</row>
    <row r="1569" spans="8:18" x14ac:dyDescent="0.35"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</row>
    <row r="1570" spans="8:18" x14ac:dyDescent="0.35"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</row>
    <row r="1571" spans="8:18" x14ac:dyDescent="0.35"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</row>
    <row r="1572" spans="8:18" x14ac:dyDescent="0.35"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</row>
    <row r="1573" spans="8:18" x14ac:dyDescent="0.35"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</row>
    <row r="1574" spans="8:18" x14ac:dyDescent="0.35"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</row>
    <row r="1575" spans="8:18" x14ac:dyDescent="0.35"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</row>
    <row r="1576" spans="8:18" x14ac:dyDescent="0.35"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</row>
    <row r="1577" spans="8:18" x14ac:dyDescent="0.35"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</row>
    <row r="1578" spans="8:18" x14ac:dyDescent="0.35"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</row>
    <row r="1579" spans="8:18" x14ac:dyDescent="0.35"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</row>
    <row r="1580" spans="8:18" x14ac:dyDescent="0.35"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</row>
    <row r="1581" spans="8:18" x14ac:dyDescent="0.35"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</row>
    <row r="1582" spans="8:18" x14ac:dyDescent="0.35"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</row>
    <row r="1583" spans="8:18" x14ac:dyDescent="0.35"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</row>
    <row r="1584" spans="8:18" x14ac:dyDescent="0.35"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</row>
    <row r="1585" spans="8:18" x14ac:dyDescent="0.35"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</row>
    <row r="1586" spans="8:18" x14ac:dyDescent="0.35"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</row>
    <row r="1587" spans="8:18" x14ac:dyDescent="0.35"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</row>
    <row r="1588" spans="8:18" x14ac:dyDescent="0.35"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</row>
    <row r="1589" spans="8:18" x14ac:dyDescent="0.35"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</row>
    <row r="1590" spans="8:18" x14ac:dyDescent="0.35"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</row>
    <row r="1591" spans="8:18" x14ac:dyDescent="0.35"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</row>
    <row r="1592" spans="8:18" x14ac:dyDescent="0.35"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</row>
    <row r="1593" spans="8:18" x14ac:dyDescent="0.35"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</row>
    <row r="1594" spans="8:18" x14ac:dyDescent="0.35"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</row>
    <row r="1595" spans="8:18" x14ac:dyDescent="0.35"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</row>
    <row r="1596" spans="8:18" x14ac:dyDescent="0.35"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</row>
    <row r="1597" spans="8:18" x14ac:dyDescent="0.35"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</row>
    <row r="1598" spans="8:18" x14ac:dyDescent="0.35"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</row>
    <row r="1599" spans="8:18" x14ac:dyDescent="0.35"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</row>
    <row r="1600" spans="8:18" x14ac:dyDescent="0.35"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</row>
    <row r="1601" spans="8:18" x14ac:dyDescent="0.35"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</row>
    <row r="1602" spans="8:18" x14ac:dyDescent="0.35"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</row>
    <row r="1603" spans="8:18" x14ac:dyDescent="0.35"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</row>
    <row r="1604" spans="8:18" x14ac:dyDescent="0.35"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</row>
    <row r="1605" spans="8:18" x14ac:dyDescent="0.35"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</row>
    <row r="1606" spans="8:18" x14ac:dyDescent="0.35"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</row>
    <row r="1607" spans="8:18" x14ac:dyDescent="0.35"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</row>
    <row r="1608" spans="8:18" x14ac:dyDescent="0.35"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</row>
    <row r="1609" spans="8:18" x14ac:dyDescent="0.35"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</row>
    <row r="1610" spans="8:18" x14ac:dyDescent="0.35"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</row>
    <row r="1611" spans="8:18" x14ac:dyDescent="0.35"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</row>
    <row r="1612" spans="8:18" x14ac:dyDescent="0.35"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</row>
    <row r="1613" spans="8:18" x14ac:dyDescent="0.35"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</row>
    <row r="1614" spans="8:18" x14ac:dyDescent="0.35"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</row>
    <row r="1615" spans="8:18" x14ac:dyDescent="0.35"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</row>
    <row r="1616" spans="8:18" x14ac:dyDescent="0.35"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</row>
    <row r="1617" spans="8:18" x14ac:dyDescent="0.35"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</row>
    <row r="1618" spans="8:18" x14ac:dyDescent="0.35"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</row>
    <row r="1619" spans="8:18" x14ac:dyDescent="0.35"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</row>
    <row r="1620" spans="8:18" x14ac:dyDescent="0.35"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</row>
    <row r="1621" spans="8:18" x14ac:dyDescent="0.35"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</row>
    <row r="1622" spans="8:18" x14ac:dyDescent="0.35"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</row>
    <row r="1623" spans="8:18" x14ac:dyDescent="0.35"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</row>
    <row r="1624" spans="8:18" x14ac:dyDescent="0.35"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</row>
    <row r="1625" spans="8:18" x14ac:dyDescent="0.35"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</row>
    <row r="1626" spans="8:18" x14ac:dyDescent="0.35"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</row>
    <row r="1627" spans="8:18" x14ac:dyDescent="0.35"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</row>
    <row r="1628" spans="8:18" x14ac:dyDescent="0.35"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</row>
    <row r="1629" spans="8:18" x14ac:dyDescent="0.35"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</row>
    <row r="1630" spans="8:18" x14ac:dyDescent="0.35"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</row>
    <row r="1631" spans="8:18" x14ac:dyDescent="0.35"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</row>
    <row r="1632" spans="8:18" x14ac:dyDescent="0.35"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</row>
    <row r="1633" spans="8:18" x14ac:dyDescent="0.35"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</row>
    <row r="1634" spans="8:18" x14ac:dyDescent="0.35"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</row>
    <row r="1635" spans="8:18" x14ac:dyDescent="0.35"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</row>
    <row r="1636" spans="8:18" x14ac:dyDescent="0.35"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</row>
    <row r="1637" spans="8:18" x14ac:dyDescent="0.35"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</row>
    <row r="1638" spans="8:18" x14ac:dyDescent="0.35"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</row>
    <row r="1639" spans="8:18" x14ac:dyDescent="0.35"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</row>
    <row r="1640" spans="8:18" x14ac:dyDescent="0.35"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</row>
    <row r="1641" spans="8:18" x14ac:dyDescent="0.35"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</row>
    <row r="1642" spans="8:18" x14ac:dyDescent="0.35"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</row>
    <row r="1643" spans="8:18" x14ac:dyDescent="0.35"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</row>
    <row r="1644" spans="8:18" x14ac:dyDescent="0.35"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</row>
    <row r="1645" spans="8:18" x14ac:dyDescent="0.35"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</row>
    <row r="1646" spans="8:18" x14ac:dyDescent="0.35"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</row>
    <row r="1647" spans="8:18" x14ac:dyDescent="0.35"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</row>
    <row r="1648" spans="8:18" x14ac:dyDescent="0.35"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</row>
    <row r="1649" spans="8:18" x14ac:dyDescent="0.35"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</row>
    <row r="1650" spans="8:18" x14ac:dyDescent="0.35"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</row>
    <row r="1651" spans="8:18" x14ac:dyDescent="0.35"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</row>
    <row r="1652" spans="8:18" x14ac:dyDescent="0.35"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</row>
    <row r="1653" spans="8:18" x14ac:dyDescent="0.35"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</row>
    <row r="1654" spans="8:18" x14ac:dyDescent="0.35"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</row>
    <row r="1655" spans="8:18" x14ac:dyDescent="0.35"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</row>
    <row r="1656" spans="8:18" x14ac:dyDescent="0.35"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</row>
    <row r="1657" spans="8:18" x14ac:dyDescent="0.35"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</row>
    <row r="1658" spans="8:18" x14ac:dyDescent="0.35"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</row>
    <row r="1659" spans="8:18" x14ac:dyDescent="0.35"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</row>
    <row r="1660" spans="8:18" x14ac:dyDescent="0.35"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</row>
    <row r="1661" spans="8:18" x14ac:dyDescent="0.35"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</row>
    <row r="1662" spans="8:18" x14ac:dyDescent="0.35"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</row>
    <row r="1663" spans="8:18" x14ac:dyDescent="0.35"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</row>
    <row r="1664" spans="8:18" x14ac:dyDescent="0.35"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</row>
    <row r="1665" spans="8:18" x14ac:dyDescent="0.35"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</row>
    <row r="1666" spans="8:18" x14ac:dyDescent="0.35"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</row>
    <row r="1667" spans="8:18" x14ac:dyDescent="0.35"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</row>
    <row r="1668" spans="8:18" x14ac:dyDescent="0.35"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</row>
    <row r="1669" spans="8:18" x14ac:dyDescent="0.35"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</row>
    <row r="1670" spans="8:18" x14ac:dyDescent="0.35"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</row>
    <row r="1671" spans="8:18" x14ac:dyDescent="0.35"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</row>
    <row r="1672" spans="8:18" x14ac:dyDescent="0.35"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</row>
    <row r="1673" spans="8:18" x14ac:dyDescent="0.35"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</row>
    <row r="1674" spans="8:18" x14ac:dyDescent="0.35"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</row>
    <row r="1675" spans="8:18" x14ac:dyDescent="0.35"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</row>
    <row r="1676" spans="8:18" x14ac:dyDescent="0.35"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</row>
    <row r="1677" spans="8:18" x14ac:dyDescent="0.35"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</row>
    <row r="1678" spans="8:18" x14ac:dyDescent="0.35"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</row>
    <row r="1679" spans="8:18" x14ac:dyDescent="0.35"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</row>
    <row r="1680" spans="8:18" x14ac:dyDescent="0.35"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</row>
    <row r="1681" spans="8:18" x14ac:dyDescent="0.35"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</row>
    <row r="1682" spans="8:18" x14ac:dyDescent="0.35"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</row>
    <row r="1683" spans="8:18" x14ac:dyDescent="0.35"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</row>
    <row r="1684" spans="8:18" x14ac:dyDescent="0.35"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</row>
    <row r="1685" spans="8:18" x14ac:dyDescent="0.35"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</row>
    <row r="1686" spans="8:18" x14ac:dyDescent="0.35"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</row>
    <row r="1687" spans="8:18" x14ac:dyDescent="0.35"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</row>
    <row r="1688" spans="8:18" x14ac:dyDescent="0.35"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</row>
    <row r="1689" spans="8:18" x14ac:dyDescent="0.35"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</row>
    <row r="1690" spans="8:18" x14ac:dyDescent="0.35"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</row>
    <row r="1691" spans="8:18" x14ac:dyDescent="0.35"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</row>
    <row r="1692" spans="8:18" x14ac:dyDescent="0.35"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</row>
    <row r="1693" spans="8:18" x14ac:dyDescent="0.35"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</row>
    <row r="1694" spans="8:18" x14ac:dyDescent="0.35"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</row>
    <row r="1695" spans="8:18" x14ac:dyDescent="0.35"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</row>
    <row r="1696" spans="8:18" x14ac:dyDescent="0.35"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</row>
    <row r="1697" spans="8:18" x14ac:dyDescent="0.35"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</row>
    <row r="1698" spans="8:18" x14ac:dyDescent="0.35"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</row>
    <row r="1699" spans="8:18" x14ac:dyDescent="0.35"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</row>
    <row r="1700" spans="8:18" x14ac:dyDescent="0.35"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</row>
    <row r="1701" spans="8:18" x14ac:dyDescent="0.35"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</row>
    <row r="1702" spans="8:18" x14ac:dyDescent="0.35"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</row>
    <row r="1703" spans="8:18" x14ac:dyDescent="0.35"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</row>
    <row r="1704" spans="8:18" x14ac:dyDescent="0.35"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</row>
    <row r="1705" spans="8:18" x14ac:dyDescent="0.35"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</row>
    <row r="1706" spans="8:18" x14ac:dyDescent="0.35"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</row>
    <row r="1707" spans="8:18" x14ac:dyDescent="0.35"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</row>
    <row r="1708" spans="8:18" x14ac:dyDescent="0.35"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</row>
    <row r="1709" spans="8:18" x14ac:dyDescent="0.35"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</row>
    <row r="1710" spans="8:18" x14ac:dyDescent="0.35"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</row>
    <row r="1711" spans="8:18" x14ac:dyDescent="0.35"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</row>
    <row r="1712" spans="8:18" x14ac:dyDescent="0.35"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</row>
    <row r="1713" spans="8:18" x14ac:dyDescent="0.35"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</row>
    <row r="1714" spans="8:18" x14ac:dyDescent="0.35"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</row>
    <row r="1715" spans="8:18" x14ac:dyDescent="0.35"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</row>
    <row r="1716" spans="8:18" x14ac:dyDescent="0.35"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</row>
    <row r="1717" spans="8:18" x14ac:dyDescent="0.35"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</row>
    <row r="1718" spans="8:18" x14ac:dyDescent="0.35"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</row>
    <row r="1719" spans="8:18" x14ac:dyDescent="0.35"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</row>
    <row r="1720" spans="8:18" x14ac:dyDescent="0.35"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</row>
    <row r="1721" spans="8:18" x14ac:dyDescent="0.35"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</row>
    <row r="1722" spans="8:18" x14ac:dyDescent="0.35"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</row>
    <row r="1723" spans="8:18" x14ac:dyDescent="0.35"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</row>
    <row r="1724" spans="8:18" x14ac:dyDescent="0.35"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</row>
    <row r="1725" spans="8:18" x14ac:dyDescent="0.35"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</row>
    <row r="1726" spans="8:18" x14ac:dyDescent="0.35"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</row>
    <row r="1727" spans="8:18" x14ac:dyDescent="0.35"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</row>
    <row r="1728" spans="8:18" x14ac:dyDescent="0.35"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</row>
    <row r="1729" spans="8:18" x14ac:dyDescent="0.35"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</row>
    <row r="1730" spans="8:18" x14ac:dyDescent="0.35"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</row>
    <row r="1731" spans="8:18" x14ac:dyDescent="0.35"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</row>
    <row r="1732" spans="8:18" x14ac:dyDescent="0.35"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</row>
    <row r="1733" spans="8:18" x14ac:dyDescent="0.35"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</row>
    <row r="1734" spans="8:18" x14ac:dyDescent="0.35"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</row>
    <row r="1735" spans="8:18" x14ac:dyDescent="0.35"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</row>
    <row r="1736" spans="8:18" x14ac:dyDescent="0.35"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</row>
    <row r="1737" spans="8:18" x14ac:dyDescent="0.35"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</row>
    <row r="1738" spans="8:18" x14ac:dyDescent="0.35"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</row>
    <row r="1739" spans="8:18" x14ac:dyDescent="0.35"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</row>
    <row r="1740" spans="8:18" x14ac:dyDescent="0.35"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</row>
    <row r="1741" spans="8:18" x14ac:dyDescent="0.35"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</row>
    <row r="1742" spans="8:18" x14ac:dyDescent="0.35"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</row>
    <row r="1743" spans="8:18" x14ac:dyDescent="0.35"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</row>
    <row r="1744" spans="8:18" x14ac:dyDescent="0.35"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</row>
    <row r="1745" spans="8:18" x14ac:dyDescent="0.35"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</row>
    <row r="1746" spans="8:18" x14ac:dyDescent="0.35"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</row>
    <row r="1747" spans="8:18" x14ac:dyDescent="0.35"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</row>
    <row r="1748" spans="8:18" x14ac:dyDescent="0.35"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</row>
    <row r="1749" spans="8:18" x14ac:dyDescent="0.35"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</row>
    <row r="1750" spans="8:18" x14ac:dyDescent="0.35"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</row>
    <row r="1751" spans="8:18" x14ac:dyDescent="0.35"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</row>
    <row r="1752" spans="8:18" x14ac:dyDescent="0.35"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</row>
    <row r="1753" spans="8:18" x14ac:dyDescent="0.35"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</row>
    <row r="1754" spans="8:18" x14ac:dyDescent="0.35"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</row>
    <row r="1755" spans="8:18" x14ac:dyDescent="0.35"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</row>
    <row r="1756" spans="8:18" x14ac:dyDescent="0.35"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</row>
    <row r="1757" spans="8:18" x14ac:dyDescent="0.35"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</row>
    <row r="1758" spans="8:18" x14ac:dyDescent="0.35"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</row>
    <row r="1759" spans="8:18" x14ac:dyDescent="0.35"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</row>
    <row r="1760" spans="8:18" x14ac:dyDescent="0.35"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</row>
    <row r="1761" spans="8:18" x14ac:dyDescent="0.35"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</row>
    <row r="1762" spans="8:18" x14ac:dyDescent="0.35"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</row>
    <row r="1763" spans="8:18" x14ac:dyDescent="0.35"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</row>
    <row r="1764" spans="8:18" x14ac:dyDescent="0.35"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</row>
    <row r="1765" spans="8:18" x14ac:dyDescent="0.35"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</row>
    <row r="1766" spans="8:18" x14ac:dyDescent="0.35"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</row>
    <row r="1767" spans="8:18" x14ac:dyDescent="0.35"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</row>
    <row r="1768" spans="8:18" x14ac:dyDescent="0.35"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</row>
    <row r="1769" spans="8:18" x14ac:dyDescent="0.35"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</row>
    <row r="1770" spans="8:18" x14ac:dyDescent="0.35"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</row>
    <row r="1771" spans="8:18" x14ac:dyDescent="0.35"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</row>
    <row r="1772" spans="8:18" x14ac:dyDescent="0.35"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</row>
    <row r="1773" spans="8:18" x14ac:dyDescent="0.35"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</row>
    <row r="1774" spans="8:18" x14ac:dyDescent="0.35"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</row>
    <row r="1775" spans="8:18" x14ac:dyDescent="0.35"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</row>
    <row r="1776" spans="8:18" x14ac:dyDescent="0.35"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</row>
    <row r="1777" spans="8:18" x14ac:dyDescent="0.35"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</row>
    <row r="1778" spans="8:18" x14ac:dyDescent="0.35"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</row>
    <row r="1779" spans="8:18" x14ac:dyDescent="0.35"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</row>
    <row r="1780" spans="8:18" x14ac:dyDescent="0.35"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</row>
    <row r="1781" spans="8:18" x14ac:dyDescent="0.35"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</row>
    <row r="1782" spans="8:18" x14ac:dyDescent="0.35"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</row>
    <row r="1783" spans="8:18" x14ac:dyDescent="0.35"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</row>
    <row r="1784" spans="8:18" x14ac:dyDescent="0.35"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</row>
    <row r="1785" spans="8:18" x14ac:dyDescent="0.35"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</row>
    <row r="1786" spans="8:18" x14ac:dyDescent="0.35"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</row>
    <row r="1787" spans="8:18" x14ac:dyDescent="0.35"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</row>
    <row r="1788" spans="8:18" x14ac:dyDescent="0.35"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</row>
    <row r="1789" spans="8:18" x14ac:dyDescent="0.35"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</row>
    <row r="1790" spans="8:18" x14ac:dyDescent="0.35"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</row>
    <row r="1791" spans="8:18" x14ac:dyDescent="0.35"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</row>
    <row r="1792" spans="8:18" x14ac:dyDescent="0.35"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</row>
    <row r="1793" spans="8:18" x14ac:dyDescent="0.35"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</row>
    <row r="1794" spans="8:18" x14ac:dyDescent="0.35"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</row>
    <row r="1795" spans="8:18" x14ac:dyDescent="0.35"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</row>
    <row r="1796" spans="8:18" x14ac:dyDescent="0.35"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</row>
    <row r="1797" spans="8:18" x14ac:dyDescent="0.35"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</row>
    <row r="1798" spans="8:18" x14ac:dyDescent="0.35"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</row>
    <row r="1799" spans="8:18" x14ac:dyDescent="0.35"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</row>
    <row r="1800" spans="8:18" x14ac:dyDescent="0.35"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</row>
    <row r="1801" spans="8:18" x14ac:dyDescent="0.35"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</row>
    <row r="1802" spans="8:18" x14ac:dyDescent="0.35"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</row>
    <row r="1803" spans="8:18" x14ac:dyDescent="0.35"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</row>
    <row r="1804" spans="8:18" x14ac:dyDescent="0.35"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</row>
    <row r="1805" spans="8:18" x14ac:dyDescent="0.35"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</row>
    <row r="1806" spans="8:18" x14ac:dyDescent="0.35"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</row>
    <row r="1807" spans="8:18" x14ac:dyDescent="0.35"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</row>
    <row r="1808" spans="8:18" x14ac:dyDescent="0.35"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</row>
    <row r="1809" spans="8:18" x14ac:dyDescent="0.35"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</row>
    <row r="1810" spans="8:18" x14ac:dyDescent="0.35"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</row>
    <row r="1811" spans="8:18" x14ac:dyDescent="0.35"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</row>
    <row r="1812" spans="8:18" x14ac:dyDescent="0.35"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</row>
    <row r="1813" spans="8:18" x14ac:dyDescent="0.35"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</row>
    <row r="1814" spans="8:18" x14ac:dyDescent="0.35"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</row>
    <row r="1815" spans="8:18" x14ac:dyDescent="0.35"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</row>
    <row r="1816" spans="8:18" x14ac:dyDescent="0.35"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</row>
    <row r="1817" spans="8:18" x14ac:dyDescent="0.35"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</row>
    <row r="1818" spans="8:18" x14ac:dyDescent="0.35"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</row>
    <row r="1819" spans="8:18" x14ac:dyDescent="0.35"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</row>
    <row r="1820" spans="8:18" x14ac:dyDescent="0.35"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</row>
    <row r="1821" spans="8:18" x14ac:dyDescent="0.35"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</row>
    <row r="1822" spans="8:18" x14ac:dyDescent="0.35"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</row>
    <row r="1823" spans="8:18" x14ac:dyDescent="0.35"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</row>
    <row r="1824" spans="8:18" x14ac:dyDescent="0.35"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</row>
    <row r="1825" spans="8:18" x14ac:dyDescent="0.35"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</row>
    <row r="1826" spans="8:18" x14ac:dyDescent="0.35"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</row>
    <row r="1827" spans="8:18" x14ac:dyDescent="0.35"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</row>
    <row r="1828" spans="8:18" x14ac:dyDescent="0.35"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</row>
    <row r="1829" spans="8:18" x14ac:dyDescent="0.35"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</row>
    <row r="1830" spans="8:18" x14ac:dyDescent="0.35"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</row>
    <row r="1831" spans="8:18" x14ac:dyDescent="0.35"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</row>
    <row r="1832" spans="8:18" x14ac:dyDescent="0.35"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</row>
    <row r="1833" spans="8:18" x14ac:dyDescent="0.35"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</row>
    <row r="1834" spans="8:18" x14ac:dyDescent="0.35"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</row>
    <row r="1835" spans="8:18" x14ac:dyDescent="0.35"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</row>
    <row r="1836" spans="8:18" x14ac:dyDescent="0.35"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</row>
    <row r="1837" spans="8:18" x14ac:dyDescent="0.35"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</row>
    <row r="1838" spans="8:18" x14ac:dyDescent="0.35"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</row>
    <row r="1839" spans="8:18" x14ac:dyDescent="0.35"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</row>
    <row r="1840" spans="8:18" x14ac:dyDescent="0.35"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</row>
    <row r="1841" spans="8:18" x14ac:dyDescent="0.35"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</row>
    <row r="1842" spans="8:18" x14ac:dyDescent="0.35"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</row>
    <row r="1843" spans="8:18" x14ac:dyDescent="0.35"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</row>
    <row r="1844" spans="8:18" x14ac:dyDescent="0.35"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</row>
    <row r="1845" spans="8:18" x14ac:dyDescent="0.35"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</row>
    <row r="1846" spans="8:18" x14ac:dyDescent="0.35"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</row>
    <row r="1847" spans="8:18" x14ac:dyDescent="0.35"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</row>
    <row r="1848" spans="8:18" x14ac:dyDescent="0.35"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</row>
    <row r="1849" spans="8:18" x14ac:dyDescent="0.35"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</row>
    <row r="1850" spans="8:18" x14ac:dyDescent="0.35"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</row>
    <row r="1851" spans="8:18" x14ac:dyDescent="0.35"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</row>
    <row r="1852" spans="8:18" x14ac:dyDescent="0.35"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</row>
    <row r="1853" spans="8:18" x14ac:dyDescent="0.35"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</row>
    <row r="1854" spans="8:18" x14ac:dyDescent="0.35"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</row>
    <row r="1855" spans="8:18" x14ac:dyDescent="0.35"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</row>
    <row r="1856" spans="8:18" x14ac:dyDescent="0.35"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</row>
    <row r="1857" spans="8:18" x14ac:dyDescent="0.35"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</row>
    <row r="1858" spans="8:18" x14ac:dyDescent="0.35"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</row>
    <row r="1859" spans="8:18" x14ac:dyDescent="0.35"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</row>
    <row r="1860" spans="8:18" x14ac:dyDescent="0.35"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</row>
    <row r="1861" spans="8:18" x14ac:dyDescent="0.35"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</row>
    <row r="1862" spans="8:18" x14ac:dyDescent="0.35"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</row>
    <row r="1863" spans="8:18" x14ac:dyDescent="0.35"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</row>
    <row r="1864" spans="8:18" x14ac:dyDescent="0.35"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</row>
    <row r="1865" spans="8:18" x14ac:dyDescent="0.35"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</row>
    <row r="1866" spans="8:18" x14ac:dyDescent="0.35"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</row>
    <row r="1867" spans="8:18" x14ac:dyDescent="0.35"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</row>
    <row r="1868" spans="8:18" x14ac:dyDescent="0.35"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</row>
    <row r="1869" spans="8:18" x14ac:dyDescent="0.35"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</row>
    <row r="1870" spans="8:18" x14ac:dyDescent="0.35"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</row>
    <row r="1871" spans="8:18" x14ac:dyDescent="0.35"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</row>
    <row r="1872" spans="8:18" x14ac:dyDescent="0.35"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</row>
    <row r="1873" spans="8:18" x14ac:dyDescent="0.35"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</row>
    <row r="1874" spans="8:18" x14ac:dyDescent="0.35"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</row>
    <row r="1875" spans="8:18" x14ac:dyDescent="0.35"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</row>
    <row r="1876" spans="8:18" x14ac:dyDescent="0.35"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</row>
    <row r="1877" spans="8:18" x14ac:dyDescent="0.35"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</row>
    <row r="1878" spans="8:18" x14ac:dyDescent="0.35"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</row>
    <row r="1879" spans="8:18" x14ac:dyDescent="0.35"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</row>
    <row r="1880" spans="8:18" x14ac:dyDescent="0.35"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</row>
    <row r="1881" spans="8:18" x14ac:dyDescent="0.35"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</row>
    <row r="1882" spans="8:18" x14ac:dyDescent="0.35"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</row>
    <row r="1883" spans="8:18" x14ac:dyDescent="0.35"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</row>
    <row r="1884" spans="8:18" x14ac:dyDescent="0.35"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</row>
    <row r="1885" spans="8:18" x14ac:dyDescent="0.35"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</row>
    <row r="1886" spans="8:18" x14ac:dyDescent="0.35"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</row>
    <row r="1887" spans="8:18" x14ac:dyDescent="0.35"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</row>
    <row r="1888" spans="8:18" x14ac:dyDescent="0.35"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</row>
    <row r="1889" spans="8:18" x14ac:dyDescent="0.35"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</row>
    <row r="1890" spans="8:18" x14ac:dyDescent="0.35"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</row>
    <row r="1891" spans="8:18" x14ac:dyDescent="0.35"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</row>
    <row r="1892" spans="8:18" x14ac:dyDescent="0.35"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</row>
    <row r="1893" spans="8:18" x14ac:dyDescent="0.35"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</row>
    <row r="1894" spans="8:18" x14ac:dyDescent="0.35"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</row>
    <row r="1895" spans="8:18" x14ac:dyDescent="0.35"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</row>
    <row r="1896" spans="8:18" x14ac:dyDescent="0.35"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</row>
    <row r="1897" spans="8:18" x14ac:dyDescent="0.35"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</row>
    <row r="1898" spans="8:18" x14ac:dyDescent="0.35"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</row>
    <row r="1899" spans="8:18" x14ac:dyDescent="0.35"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</row>
    <row r="1900" spans="8:18" x14ac:dyDescent="0.35"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</row>
    <row r="1901" spans="8:18" x14ac:dyDescent="0.35"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</row>
    <row r="1902" spans="8:18" x14ac:dyDescent="0.35"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</row>
    <row r="1903" spans="8:18" x14ac:dyDescent="0.35"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</row>
    <row r="1904" spans="8:18" x14ac:dyDescent="0.35"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</row>
    <row r="1905" spans="8:18" x14ac:dyDescent="0.35"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</row>
    <row r="1906" spans="8:18" x14ac:dyDescent="0.35"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</row>
    <row r="1907" spans="8:18" x14ac:dyDescent="0.35"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</row>
    <row r="1908" spans="8:18" x14ac:dyDescent="0.35"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</row>
    <row r="1909" spans="8:18" x14ac:dyDescent="0.35"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</row>
    <row r="1910" spans="8:18" x14ac:dyDescent="0.35"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</row>
    <row r="1911" spans="8:18" x14ac:dyDescent="0.35"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</row>
    <row r="1912" spans="8:18" x14ac:dyDescent="0.35"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</row>
    <row r="1913" spans="8:18" x14ac:dyDescent="0.35"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</row>
    <row r="1914" spans="8:18" x14ac:dyDescent="0.35"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</row>
    <row r="1915" spans="8:18" x14ac:dyDescent="0.35"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</row>
    <row r="1916" spans="8:18" x14ac:dyDescent="0.35"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</row>
    <row r="1917" spans="8:18" x14ac:dyDescent="0.35"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</row>
    <row r="1918" spans="8:18" x14ac:dyDescent="0.35"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</row>
    <row r="1919" spans="8:18" x14ac:dyDescent="0.35"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</row>
    <row r="1920" spans="8:18" x14ac:dyDescent="0.35"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</row>
    <row r="1921" spans="8:18" x14ac:dyDescent="0.35"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</row>
    <row r="1922" spans="8:18" x14ac:dyDescent="0.35"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</row>
    <row r="1923" spans="8:18" x14ac:dyDescent="0.35"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</row>
    <row r="1924" spans="8:18" x14ac:dyDescent="0.35"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</row>
    <row r="1925" spans="8:18" x14ac:dyDescent="0.35"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</row>
    <row r="1926" spans="8:18" x14ac:dyDescent="0.35"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</row>
    <row r="1927" spans="8:18" x14ac:dyDescent="0.35"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</row>
    <row r="1928" spans="8:18" x14ac:dyDescent="0.35"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</row>
    <row r="1929" spans="8:18" x14ac:dyDescent="0.35"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</row>
    <row r="1930" spans="8:18" x14ac:dyDescent="0.35"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</row>
    <row r="1931" spans="8:18" x14ac:dyDescent="0.35"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</row>
    <row r="1932" spans="8:18" x14ac:dyDescent="0.35"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</row>
    <row r="1933" spans="8:18" x14ac:dyDescent="0.35"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</row>
    <row r="1934" spans="8:18" x14ac:dyDescent="0.35"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</row>
    <row r="1935" spans="8:18" x14ac:dyDescent="0.35"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</row>
    <row r="1936" spans="8:18" x14ac:dyDescent="0.35"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</row>
    <row r="1937" spans="8:18" x14ac:dyDescent="0.35"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</row>
    <row r="1938" spans="8:18" x14ac:dyDescent="0.35"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</row>
    <row r="1939" spans="8:18" x14ac:dyDescent="0.35"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</row>
    <row r="1940" spans="8:18" x14ac:dyDescent="0.35"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</row>
    <row r="1941" spans="8:18" x14ac:dyDescent="0.35"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</row>
    <row r="1942" spans="8:18" x14ac:dyDescent="0.35"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</row>
    <row r="1943" spans="8:18" x14ac:dyDescent="0.35"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</row>
    <row r="1944" spans="8:18" x14ac:dyDescent="0.35"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</row>
    <row r="1945" spans="8:18" x14ac:dyDescent="0.35"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</row>
    <row r="1946" spans="8:18" x14ac:dyDescent="0.35"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</row>
    <row r="1947" spans="8:18" x14ac:dyDescent="0.35"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</row>
    <row r="1948" spans="8:18" x14ac:dyDescent="0.35"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</row>
    <row r="1949" spans="8:18" x14ac:dyDescent="0.35"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</row>
    <row r="1950" spans="8:18" x14ac:dyDescent="0.35"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</row>
    <row r="1951" spans="8:18" x14ac:dyDescent="0.35"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</row>
    <row r="1952" spans="8:18" x14ac:dyDescent="0.35"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</row>
    <row r="1953" spans="8:18" x14ac:dyDescent="0.35"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</row>
    <row r="1954" spans="8:18" x14ac:dyDescent="0.35"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</row>
    <row r="1955" spans="8:18" x14ac:dyDescent="0.35"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</row>
    <row r="1956" spans="8:18" x14ac:dyDescent="0.35"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</row>
    <row r="1957" spans="8:18" x14ac:dyDescent="0.35"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</row>
    <row r="1958" spans="8:18" x14ac:dyDescent="0.35"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</row>
    <row r="1959" spans="8:18" x14ac:dyDescent="0.35"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</row>
    <row r="1960" spans="8:18" x14ac:dyDescent="0.35"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</row>
    <row r="1961" spans="8:18" x14ac:dyDescent="0.35"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</row>
    <row r="1962" spans="8:18" x14ac:dyDescent="0.35"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</row>
    <row r="1963" spans="8:18" x14ac:dyDescent="0.35"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</row>
    <row r="1964" spans="8:18" x14ac:dyDescent="0.35"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</row>
    <row r="1965" spans="8:18" x14ac:dyDescent="0.35"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</row>
    <row r="1966" spans="8:18" x14ac:dyDescent="0.35"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</row>
    <row r="1967" spans="8:18" x14ac:dyDescent="0.35"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</row>
    <row r="1968" spans="8:18" x14ac:dyDescent="0.35"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</row>
    <row r="1969" spans="8:18" x14ac:dyDescent="0.35"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</row>
    <row r="1970" spans="8:18" x14ac:dyDescent="0.35"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</row>
    <row r="1971" spans="8:18" x14ac:dyDescent="0.35"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</row>
    <row r="1972" spans="8:18" x14ac:dyDescent="0.35"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</row>
    <row r="1973" spans="8:18" x14ac:dyDescent="0.35"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</row>
    <row r="1974" spans="8:18" x14ac:dyDescent="0.35"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</row>
    <row r="1975" spans="8:18" x14ac:dyDescent="0.35"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</row>
    <row r="1976" spans="8:18" x14ac:dyDescent="0.35"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</row>
    <row r="1977" spans="8:18" x14ac:dyDescent="0.35"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</row>
    <row r="1978" spans="8:18" x14ac:dyDescent="0.35"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</row>
    <row r="1979" spans="8:18" x14ac:dyDescent="0.35"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</row>
    <row r="1980" spans="8:18" x14ac:dyDescent="0.35"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</row>
    <row r="1981" spans="8:18" x14ac:dyDescent="0.35"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</row>
    <row r="1982" spans="8:18" x14ac:dyDescent="0.35"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</row>
    <row r="1983" spans="8:18" x14ac:dyDescent="0.35"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</row>
    <row r="1984" spans="8:18" x14ac:dyDescent="0.35"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</row>
    <row r="1985" spans="8:18" x14ac:dyDescent="0.35"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</row>
    <row r="1986" spans="8:18" x14ac:dyDescent="0.35"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</row>
    <row r="1987" spans="8:18" x14ac:dyDescent="0.35"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</row>
    <row r="1988" spans="8:18" x14ac:dyDescent="0.35"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</row>
    <row r="1989" spans="8:18" x14ac:dyDescent="0.35"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</row>
    <row r="1990" spans="8:18" x14ac:dyDescent="0.35"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</row>
    <row r="1991" spans="8:18" x14ac:dyDescent="0.35"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</row>
    <row r="1992" spans="8:18" x14ac:dyDescent="0.35"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</row>
    <row r="1993" spans="8:18" x14ac:dyDescent="0.35"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</row>
    <row r="1994" spans="8:18" x14ac:dyDescent="0.35"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</row>
    <row r="1995" spans="8:18" x14ac:dyDescent="0.35"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</row>
    <row r="1996" spans="8:18" x14ac:dyDescent="0.35"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</row>
    <row r="1997" spans="8:18" x14ac:dyDescent="0.35"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</row>
    <row r="1998" spans="8:18" x14ac:dyDescent="0.35"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</row>
    <row r="1999" spans="8:18" x14ac:dyDescent="0.35"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</row>
    <row r="2000" spans="8:18" x14ac:dyDescent="0.35"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</row>
    <row r="2001" spans="8:18" x14ac:dyDescent="0.35"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</row>
    <row r="2002" spans="8:18" x14ac:dyDescent="0.35"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</row>
    <row r="2003" spans="8:18" x14ac:dyDescent="0.35"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</row>
    <row r="2004" spans="8:18" x14ac:dyDescent="0.35"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</row>
    <row r="2005" spans="8:18" x14ac:dyDescent="0.35"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</row>
    <row r="2006" spans="8:18" x14ac:dyDescent="0.35"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</row>
    <row r="2007" spans="8:18" x14ac:dyDescent="0.35"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</row>
    <row r="2008" spans="8:18" x14ac:dyDescent="0.35"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</row>
    <row r="2009" spans="8:18" x14ac:dyDescent="0.35"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</row>
    <row r="2010" spans="8:18" x14ac:dyDescent="0.35"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</row>
    <row r="2011" spans="8:18" x14ac:dyDescent="0.35"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</row>
    <row r="2012" spans="8:18" x14ac:dyDescent="0.35"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</row>
    <row r="2013" spans="8:18" x14ac:dyDescent="0.35"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</row>
    <row r="2014" spans="8:18" x14ac:dyDescent="0.35"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</row>
    <row r="2015" spans="8:18" x14ac:dyDescent="0.35"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</row>
    <row r="2016" spans="8:18" x14ac:dyDescent="0.35"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</row>
    <row r="2017" spans="8:18" x14ac:dyDescent="0.35"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</row>
    <row r="2018" spans="8:18" x14ac:dyDescent="0.35"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</row>
    <row r="2019" spans="8:18" x14ac:dyDescent="0.35"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</row>
    <row r="2020" spans="8:18" x14ac:dyDescent="0.35"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</row>
    <row r="2021" spans="8:18" x14ac:dyDescent="0.35"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</row>
    <row r="2022" spans="8:18" x14ac:dyDescent="0.35"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</row>
    <row r="2023" spans="8:18" x14ac:dyDescent="0.35"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</row>
    <row r="2024" spans="8:18" x14ac:dyDescent="0.35"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</row>
    <row r="2025" spans="8:18" x14ac:dyDescent="0.35"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</row>
    <row r="2026" spans="8:18" x14ac:dyDescent="0.35"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</row>
    <row r="2027" spans="8:18" x14ac:dyDescent="0.35"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</row>
    <row r="2028" spans="8:18" x14ac:dyDescent="0.35"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</row>
    <row r="2029" spans="8:18" x14ac:dyDescent="0.35"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</row>
    <row r="2030" spans="8:18" x14ac:dyDescent="0.35"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</row>
    <row r="2031" spans="8:18" x14ac:dyDescent="0.35"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</row>
    <row r="2032" spans="8:18" x14ac:dyDescent="0.35"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</row>
    <row r="2033" spans="8:18" x14ac:dyDescent="0.35"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</row>
    <row r="2034" spans="8:18" x14ac:dyDescent="0.35"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</row>
    <row r="2035" spans="8:18" x14ac:dyDescent="0.35"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</row>
    <row r="2036" spans="8:18" x14ac:dyDescent="0.35"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</row>
    <row r="2037" spans="8:18" x14ac:dyDescent="0.35"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</row>
    <row r="2038" spans="8:18" x14ac:dyDescent="0.35"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</row>
    <row r="2039" spans="8:18" x14ac:dyDescent="0.35"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</row>
    <row r="2040" spans="8:18" x14ac:dyDescent="0.35"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</row>
    <row r="2041" spans="8:18" x14ac:dyDescent="0.35"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</row>
    <row r="2042" spans="8:18" x14ac:dyDescent="0.35"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</row>
    <row r="2043" spans="8:18" x14ac:dyDescent="0.35"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</row>
    <row r="2044" spans="8:18" x14ac:dyDescent="0.35"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</row>
    <row r="2045" spans="8:18" x14ac:dyDescent="0.35"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</row>
    <row r="2046" spans="8:18" x14ac:dyDescent="0.35"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</row>
    <row r="2047" spans="8:18" x14ac:dyDescent="0.35"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</row>
    <row r="2048" spans="8:18" x14ac:dyDescent="0.35"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</row>
    <row r="2049" spans="8:18" x14ac:dyDescent="0.35"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</row>
    <row r="2050" spans="8:18" x14ac:dyDescent="0.35"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</row>
    <row r="2051" spans="8:18" x14ac:dyDescent="0.35"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</row>
    <row r="2052" spans="8:18" x14ac:dyDescent="0.35"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</row>
    <row r="2053" spans="8:18" x14ac:dyDescent="0.35"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</row>
    <row r="2054" spans="8:18" x14ac:dyDescent="0.35"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</row>
    <row r="2055" spans="8:18" x14ac:dyDescent="0.35"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</row>
    <row r="2056" spans="8:18" x14ac:dyDescent="0.35"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</row>
    <row r="2057" spans="8:18" x14ac:dyDescent="0.35"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</row>
    <row r="2058" spans="8:18" x14ac:dyDescent="0.35"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</row>
    <row r="2059" spans="8:18" x14ac:dyDescent="0.35"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</row>
    <row r="2060" spans="8:18" x14ac:dyDescent="0.35"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</row>
    <row r="2061" spans="8:18" x14ac:dyDescent="0.35"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</row>
    <row r="2062" spans="8:18" x14ac:dyDescent="0.35"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</row>
    <row r="2063" spans="8:18" x14ac:dyDescent="0.35"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</row>
    <row r="2064" spans="8:18" x14ac:dyDescent="0.35"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</row>
    <row r="2065" spans="8:18" x14ac:dyDescent="0.35"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</row>
    <row r="2066" spans="8:18" x14ac:dyDescent="0.35"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</row>
    <row r="2067" spans="8:18" x14ac:dyDescent="0.35"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</row>
    <row r="2068" spans="8:18" x14ac:dyDescent="0.35"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</row>
    <row r="2069" spans="8:18" x14ac:dyDescent="0.35"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</row>
    <row r="2070" spans="8:18" x14ac:dyDescent="0.35"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</row>
    <row r="2071" spans="8:18" x14ac:dyDescent="0.35"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</row>
    <row r="2072" spans="8:18" x14ac:dyDescent="0.35"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</row>
    <row r="2073" spans="8:18" x14ac:dyDescent="0.35"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</row>
    <row r="2074" spans="8:18" x14ac:dyDescent="0.35"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</row>
    <row r="2075" spans="8:18" x14ac:dyDescent="0.35"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</row>
    <row r="2076" spans="8:18" x14ac:dyDescent="0.35"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</row>
    <row r="2077" spans="8:18" x14ac:dyDescent="0.35"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</row>
    <row r="2078" spans="8:18" x14ac:dyDescent="0.35"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</row>
    <row r="2079" spans="8:18" x14ac:dyDescent="0.35"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</row>
    <row r="2080" spans="8:18" x14ac:dyDescent="0.35"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</row>
    <row r="2081" spans="8:18" x14ac:dyDescent="0.35"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</row>
    <row r="2082" spans="8:18" x14ac:dyDescent="0.35"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</row>
    <row r="2083" spans="8:18" x14ac:dyDescent="0.35"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</row>
    <row r="2084" spans="8:18" x14ac:dyDescent="0.35"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</row>
    <row r="2085" spans="8:18" x14ac:dyDescent="0.35"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</row>
    <row r="2086" spans="8:18" x14ac:dyDescent="0.35"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</row>
    <row r="2087" spans="8:18" x14ac:dyDescent="0.35"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</row>
    <row r="2088" spans="8:18" x14ac:dyDescent="0.35"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</row>
    <row r="2089" spans="8:18" x14ac:dyDescent="0.35"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</row>
    <row r="2090" spans="8:18" x14ac:dyDescent="0.35"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</row>
    <row r="2091" spans="8:18" x14ac:dyDescent="0.35"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</row>
    <row r="2092" spans="8:18" x14ac:dyDescent="0.35"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</row>
    <row r="2093" spans="8:18" x14ac:dyDescent="0.35"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</row>
    <row r="2094" spans="8:18" x14ac:dyDescent="0.35"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</row>
    <row r="2095" spans="8:18" x14ac:dyDescent="0.35"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</row>
    <row r="2096" spans="8:18" x14ac:dyDescent="0.35"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</row>
    <row r="2097" spans="8:18" x14ac:dyDescent="0.35"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</row>
    <row r="2098" spans="8:18" x14ac:dyDescent="0.35"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</row>
    <row r="2099" spans="8:18" x14ac:dyDescent="0.35"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</row>
    <row r="2100" spans="8:18" x14ac:dyDescent="0.35"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</row>
    <row r="2101" spans="8:18" x14ac:dyDescent="0.35"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</row>
    <row r="2102" spans="8:18" x14ac:dyDescent="0.35"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</row>
    <row r="2103" spans="8:18" x14ac:dyDescent="0.35"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</row>
    <row r="2104" spans="8:18" x14ac:dyDescent="0.35"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</row>
    <row r="2105" spans="8:18" x14ac:dyDescent="0.35"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</row>
    <row r="2106" spans="8:18" x14ac:dyDescent="0.35"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</row>
    <row r="2107" spans="8:18" x14ac:dyDescent="0.35"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</row>
    <row r="2108" spans="8:18" x14ac:dyDescent="0.35"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</row>
    <row r="2109" spans="8:18" x14ac:dyDescent="0.35"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</row>
    <row r="2110" spans="8:18" x14ac:dyDescent="0.35"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</row>
    <row r="2111" spans="8:18" x14ac:dyDescent="0.35"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</row>
    <row r="2112" spans="8:18" x14ac:dyDescent="0.35"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</row>
    <row r="2113" spans="8:18" x14ac:dyDescent="0.35"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</row>
    <row r="2114" spans="8:18" x14ac:dyDescent="0.35"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</row>
    <row r="2115" spans="8:18" x14ac:dyDescent="0.35"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</row>
    <row r="2116" spans="8:18" x14ac:dyDescent="0.35"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</row>
    <row r="2117" spans="8:18" x14ac:dyDescent="0.35"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</row>
    <row r="2118" spans="8:18" x14ac:dyDescent="0.35"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</row>
    <row r="2119" spans="8:18" x14ac:dyDescent="0.35"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</row>
    <row r="2120" spans="8:18" x14ac:dyDescent="0.35"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</row>
    <row r="2121" spans="8:18" x14ac:dyDescent="0.35"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</row>
    <row r="2122" spans="8:18" x14ac:dyDescent="0.35"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</row>
    <row r="2123" spans="8:18" x14ac:dyDescent="0.35"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</row>
    <row r="2124" spans="8:18" x14ac:dyDescent="0.35"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</row>
    <row r="2125" spans="8:18" x14ac:dyDescent="0.35"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</row>
    <row r="2126" spans="8:18" x14ac:dyDescent="0.35"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</row>
    <row r="2127" spans="8:18" x14ac:dyDescent="0.35"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</row>
    <row r="2128" spans="8:18" x14ac:dyDescent="0.35"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</row>
    <row r="2129" spans="8:18" x14ac:dyDescent="0.35"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</row>
    <row r="2130" spans="8:18" x14ac:dyDescent="0.35"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</row>
    <row r="2131" spans="8:18" x14ac:dyDescent="0.35"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</row>
    <row r="2132" spans="8:18" x14ac:dyDescent="0.35"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</row>
    <row r="2133" spans="8:18" x14ac:dyDescent="0.35"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</row>
    <row r="2134" spans="8:18" x14ac:dyDescent="0.35"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</row>
    <row r="2135" spans="8:18" x14ac:dyDescent="0.35"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</row>
    <row r="2136" spans="8:18" x14ac:dyDescent="0.35"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</row>
    <row r="2137" spans="8:18" x14ac:dyDescent="0.35"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</row>
    <row r="2138" spans="8:18" x14ac:dyDescent="0.35"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</row>
    <row r="2139" spans="8:18" x14ac:dyDescent="0.35"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</row>
    <row r="2140" spans="8:18" x14ac:dyDescent="0.35"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</row>
    <row r="2141" spans="8:18" x14ac:dyDescent="0.35"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</row>
    <row r="2142" spans="8:18" x14ac:dyDescent="0.35"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</row>
    <row r="2143" spans="8:18" x14ac:dyDescent="0.35"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</row>
    <row r="2144" spans="8:18" x14ac:dyDescent="0.35"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</row>
    <row r="2145" spans="8:18" x14ac:dyDescent="0.35"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</row>
    <row r="2146" spans="8:18" x14ac:dyDescent="0.35"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</row>
    <row r="2147" spans="8:18" x14ac:dyDescent="0.35"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</row>
    <row r="2148" spans="8:18" x14ac:dyDescent="0.35"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</row>
    <row r="2149" spans="8:18" x14ac:dyDescent="0.35"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</row>
    <row r="2150" spans="8:18" x14ac:dyDescent="0.35"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</row>
    <row r="2151" spans="8:18" x14ac:dyDescent="0.35"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</row>
    <row r="2152" spans="8:18" x14ac:dyDescent="0.35"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</row>
    <row r="2153" spans="8:18" x14ac:dyDescent="0.35"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</row>
    <row r="2154" spans="8:18" x14ac:dyDescent="0.35"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</row>
    <row r="2155" spans="8:18" x14ac:dyDescent="0.35"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</row>
    <row r="2156" spans="8:18" x14ac:dyDescent="0.35"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</row>
    <row r="2157" spans="8:18" x14ac:dyDescent="0.35"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</row>
    <row r="2158" spans="8:18" x14ac:dyDescent="0.35"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</row>
    <row r="2159" spans="8:18" x14ac:dyDescent="0.35"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</row>
    <row r="2160" spans="8:18" x14ac:dyDescent="0.35"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</row>
    <row r="2161" spans="8:18" x14ac:dyDescent="0.35"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</row>
    <row r="2162" spans="8:18" x14ac:dyDescent="0.35"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</row>
    <row r="2163" spans="8:18" x14ac:dyDescent="0.35"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</row>
    <row r="2164" spans="8:18" x14ac:dyDescent="0.35"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</row>
    <row r="2165" spans="8:18" x14ac:dyDescent="0.35"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</row>
    <row r="2166" spans="8:18" x14ac:dyDescent="0.35"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</row>
    <row r="2167" spans="8:18" x14ac:dyDescent="0.35"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</row>
    <row r="2168" spans="8:18" x14ac:dyDescent="0.35"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</row>
    <row r="2169" spans="8:18" x14ac:dyDescent="0.35"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</row>
    <row r="2170" spans="8:18" x14ac:dyDescent="0.35"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</row>
    <row r="2171" spans="8:18" x14ac:dyDescent="0.35"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</row>
    <row r="2172" spans="8:18" x14ac:dyDescent="0.35"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</row>
    <row r="2173" spans="8:18" x14ac:dyDescent="0.35"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</row>
    <row r="2174" spans="8:18" x14ac:dyDescent="0.35"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</row>
    <row r="2175" spans="8:18" x14ac:dyDescent="0.35"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</row>
    <row r="2176" spans="8:18" x14ac:dyDescent="0.35"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</row>
    <row r="2177" spans="8:18" x14ac:dyDescent="0.35"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</row>
    <row r="2178" spans="8:18" x14ac:dyDescent="0.35"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</row>
    <row r="2179" spans="8:18" x14ac:dyDescent="0.35"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</row>
    <row r="2180" spans="8:18" x14ac:dyDescent="0.35"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</row>
    <row r="2181" spans="8:18" x14ac:dyDescent="0.35"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</row>
    <row r="2182" spans="8:18" x14ac:dyDescent="0.35"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</row>
    <row r="2183" spans="8:18" x14ac:dyDescent="0.35"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</row>
    <row r="2184" spans="8:18" x14ac:dyDescent="0.35"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</row>
    <row r="2185" spans="8:18" x14ac:dyDescent="0.35"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</row>
    <row r="2186" spans="8:18" x14ac:dyDescent="0.35"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</row>
    <row r="2187" spans="8:18" x14ac:dyDescent="0.35"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</row>
    <row r="2188" spans="8:18" x14ac:dyDescent="0.35"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</row>
    <row r="2189" spans="8:18" x14ac:dyDescent="0.35"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</row>
    <row r="2190" spans="8:18" x14ac:dyDescent="0.35"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</row>
    <row r="2191" spans="8:18" x14ac:dyDescent="0.35"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</row>
    <row r="2192" spans="8:18" x14ac:dyDescent="0.35"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</row>
    <row r="2193" spans="8:18" x14ac:dyDescent="0.35"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</row>
    <row r="2194" spans="8:18" x14ac:dyDescent="0.35"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</row>
    <row r="2195" spans="8:18" x14ac:dyDescent="0.35"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</row>
    <row r="2196" spans="8:18" x14ac:dyDescent="0.35"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</row>
    <row r="2197" spans="8:18" x14ac:dyDescent="0.35"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</row>
    <row r="2198" spans="8:18" x14ac:dyDescent="0.35"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</row>
    <row r="2199" spans="8:18" x14ac:dyDescent="0.35"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</row>
    <row r="2200" spans="8:18" x14ac:dyDescent="0.35"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</row>
    <row r="2201" spans="8:18" x14ac:dyDescent="0.35"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</row>
    <row r="2202" spans="8:18" x14ac:dyDescent="0.35"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</row>
    <row r="2203" spans="8:18" x14ac:dyDescent="0.35"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</row>
    <row r="2204" spans="8:18" x14ac:dyDescent="0.35"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</row>
    <row r="2205" spans="8:18" x14ac:dyDescent="0.35"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</row>
    <row r="2206" spans="8:18" x14ac:dyDescent="0.35"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</row>
    <row r="2207" spans="8:18" x14ac:dyDescent="0.35"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</row>
    <row r="2208" spans="8:18" x14ac:dyDescent="0.35"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</row>
    <row r="2209" spans="8:18" x14ac:dyDescent="0.35"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</row>
    <row r="2210" spans="8:18" x14ac:dyDescent="0.35"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</row>
    <row r="2211" spans="8:18" x14ac:dyDescent="0.35"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</row>
    <row r="2212" spans="8:18" x14ac:dyDescent="0.35"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</row>
    <row r="2213" spans="8:18" x14ac:dyDescent="0.35"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</row>
    <row r="2214" spans="8:18" x14ac:dyDescent="0.35"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</row>
    <row r="2215" spans="8:18" x14ac:dyDescent="0.35"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</row>
    <row r="2216" spans="8:18" x14ac:dyDescent="0.35"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</row>
    <row r="2217" spans="8:18" x14ac:dyDescent="0.35"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</row>
    <row r="2218" spans="8:18" x14ac:dyDescent="0.35"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</row>
    <row r="2219" spans="8:18" x14ac:dyDescent="0.35"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</row>
    <row r="2220" spans="8:18" x14ac:dyDescent="0.35"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</row>
    <row r="2221" spans="8:18" x14ac:dyDescent="0.35"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</row>
    <row r="2222" spans="8:18" x14ac:dyDescent="0.35"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</row>
    <row r="2223" spans="8:18" x14ac:dyDescent="0.35"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</row>
    <row r="2224" spans="8:18" x14ac:dyDescent="0.35"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</row>
    <row r="2225" spans="8:18" x14ac:dyDescent="0.35"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</row>
    <row r="2226" spans="8:18" x14ac:dyDescent="0.35"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</row>
    <row r="2227" spans="8:18" x14ac:dyDescent="0.35"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</row>
    <row r="2228" spans="8:18" x14ac:dyDescent="0.35"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</row>
    <row r="2229" spans="8:18" x14ac:dyDescent="0.35"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</row>
    <row r="2230" spans="8:18" x14ac:dyDescent="0.35"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</row>
    <row r="2231" spans="8:18" x14ac:dyDescent="0.35"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</row>
    <row r="2232" spans="8:18" x14ac:dyDescent="0.35"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</row>
    <row r="2233" spans="8:18" x14ac:dyDescent="0.35"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</row>
    <row r="2234" spans="8:18" x14ac:dyDescent="0.35"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</row>
    <row r="2235" spans="8:18" x14ac:dyDescent="0.35"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</row>
    <row r="2236" spans="8:18" x14ac:dyDescent="0.35"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</row>
    <row r="2237" spans="8:18" x14ac:dyDescent="0.35"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</row>
    <row r="2238" spans="8:18" x14ac:dyDescent="0.35"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</row>
    <row r="2239" spans="8:18" x14ac:dyDescent="0.35"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</row>
    <row r="2240" spans="8:18" x14ac:dyDescent="0.35"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</row>
    <row r="2241" spans="8:18" x14ac:dyDescent="0.35"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</row>
    <row r="2242" spans="8:18" x14ac:dyDescent="0.35"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</row>
    <row r="2243" spans="8:18" x14ac:dyDescent="0.35"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</row>
    <row r="2244" spans="8:18" x14ac:dyDescent="0.35"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</row>
    <row r="2245" spans="8:18" x14ac:dyDescent="0.35"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</row>
    <row r="2246" spans="8:18" x14ac:dyDescent="0.35"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</row>
    <row r="2247" spans="8:18" x14ac:dyDescent="0.35"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</row>
    <row r="2248" spans="8:18" x14ac:dyDescent="0.35"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</row>
    <row r="2249" spans="8:18" x14ac:dyDescent="0.35"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</row>
    <row r="2250" spans="8:18" x14ac:dyDescent="0.35"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</row>
    <row r="2251" spans="8:18" x14ac:dyDescent="0.35"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</row>
    <row r="2252" spans="8:18" x14ac:dyDescent="0.35"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</row>
    <row r="2253" spans="8:18" x14ac:dyDescent="0.35"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</row>
    <row r="2254" spans="8:18" x14ac:dyDescent="0.35"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</row>
    <row r="2255" spans="8:18" x14ac:dyDescent="0.35"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</row>
    <row r="2256" spans="8:18" x14ac:dyDescent="0.35"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</row>
    <row r="2257" spans="8:18" x14ac:dyDescent="0.35"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</row>
    <row r="2258" spans="8:18" x14ac:dyDescent="0.35"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</row>
    <row r="2259" spans="8:18" x14ac:dyDescent="0.35"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</row>
    <row r="2260" spans="8:18" x14ac:dyDescent="0.35"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</row>
    <row r="2261" spans="8:18" x14ac:dyDescent="0.35"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</row>
    <row r="2262" spans="8:18" x14ac:dyDescent="0.35"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</row>
    <row r="2263" spans="8:18" x14ac:dyDescent="0.35"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</row>
    <row r="2264" spans="8:18" x14ac:dyDescent="0.35"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</row>
    <row r="2265" spans="8:18" x14ac:dyDescent="0.35"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</row>
    <row r="2266" spans="8:18" x14ac:dyDescent="0.35"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</row>
    <row r="2267" spans="8:18" x14ac:dyDescent="0.35"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</row>
    <row r="2268" spans="8:18" x14ac:dyDescent="0.35"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</row>
    <row r="2269" spans="8:18" x14ac:dyDescent="0.35"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</row>
    <row r="2270" spans="8:18" x14ac:dyDescent="0.35"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</row>
    <row r="2271" spans="8:18" x14ac:dyDescent="0.35"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</row>
    <row r="2272" spans="8:18" x14ac:dyDescent="0.35"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</row>
    <row r="2273" spans="8:18" x14ac:dyDescent="0.35"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</row>
    <row r="2274" spans="8:18" x14ac:dyDescent="0.35"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</row>
    <row r="2275" spans="8:18" x14ac:dyDescent="0.35"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</row>
    <row r="2276" spans="8:18" x14ac:dyDescent="0.35"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</row>
    <row r="2277" spans="8:18" x14ac:dyDescent="0.35"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</row>
    <row r="2278" spans="8:18" x14ac:dyDescent="0.35"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</row>
    <row r="2279" spans="8:18" x14ac:dyDescent="0.35"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</row>
    <row r="2280" spans="8:18" x14ac:dyDescent="0.35"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</row>
    <row r="2281" spans="8:18" x14ac:dyDescent="0.35"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</row>
    <row r="2282" spans="8:18" x14ac:dyDescent="0.35"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</row>
    <row r="2283" spans="8:18" x14ac:dyDescent="0.35"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</row>
    <row r="2284" spans="8:18" x14ac:dyDescent="0.35"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</row>
    <row r="2285" spans="8:18" x14ac:dyDescent="0.35"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</row>
    <row r="2286" spans="8:18" x14ac:dyDescent="0.35"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</row>
    <row r="2287" spans="8:18" x14ac:dyDescent="0.35"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</row>
    <row r="2288" spans="8:18" x14ac:dyDescent="0.35"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</row>
    <row r="2289" spans="8:18" x14ac:dyDescent="0.35"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</row>
    <row r="2290" spans="8:18" x14ac:dyDescent="0.35"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</row>
    <row r="2291" spans="8:18" x14ac:dyDescent="0.35"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</row>
    <row r="2292" spans="8:18" x14ac:dyDescent="0.35"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</row>
    <row r="2293" spans="8:18" x14ac:dyDescent="0.35"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</row>
    <row r="2294" spans="8:18" x14ac:dyDescent="0.35"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</row>
    <row r="2295" spans="8:18" x14ac:dyDescent="0.35"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</row>
    <row r="2296" spans="8:18" x14ac:dyDescent="0.35"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</row>
    <row r="2297" spans="8:18" x14ac:dyDescent="0.35"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</row>
    <row r="2298" spans="8:18" x14ac:dyDescent="0.35"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</row>
    <row r="2299" spans="8:18" x14ac:dyDescent="0.35"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</row>
    <row r="2300" spans="8:18" x14ac:dyDescent="0.35"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</row>
    <row r="2301" spans="8:18" x14ac:dyDescent="0.35"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</row>
    <row r="2302" spans="8:18" x14ac:dyDescent="0.35"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</row>
    <row r="2303" spans="8:18" x14ac:dyDescent="0.35"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</row>
    <row r="2304" spans="8:18" x14ac:dyDescent="0.35"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</row>
    <row r="2305" spans="8:18" x14ac:dyDescent="0.35"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</row>
    <row r="2306" spans="8:18" x14ac:dyDescent="0.35"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</row>
    <row r="2307" spans="8:18" x14ac:dyDescent="0.35"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</row>
    <row r="2308" spans="8:18" x14ac:dyDescent="0.35"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</row>
    <row r="2309" spans="8:18" x14ac:dyDescent="0.35"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</row>
    <row r="2310" spans="8:18" x14ac:dyDescent="0.35"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</row>
    <row r="2311" spans="8:18" x14ac:dyDescent="0.35"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</row>
    <row r="2312" spans="8:18" x14ac:dyDescent="0.35"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</row>
    <row r="2313" spans="8:18" x14ac:dyDescent="0.35"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</row>
    <row r="2314" spans="8:18" x14ac:dyDescent="0.35"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</row>
    <row r="2315" spans="8:18" x14ac:dyDescent="0.35"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</row>
    <row r="2316" spans="8:18" x14ac:dyDescent="0.35"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</row>
    <row r="2317" spans="8:18" x14ac:dyDescent="0.35"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</row>
    <row r="2318" spans="8:18" x14ac:dyDescent="0.35"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</row>
    <row r="2319" spans="8:18" x14ac:dyDescent="0.35"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</row>
    <row r="2320" spans="8:18" x14ac:dyDescent="0.35"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</row>
    <row r="2321" spans="8:18" x14ac:dyDescent="0.35"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</row>
    <row r="2322" spans="8:18" x14ac:dyDescent="0.35"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</row>
    <row r="2323" spans="8:18" x14ac:dyDescent="0.35"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</row>
    <row r="2324" spans="8:18" x14ac:dyDescent="0.35"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</row>
    <row r="2325" spans="8:18" x14ac:dyDescent="0.35"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</row>
    <row r="2326" spans="8:18" x14ac:dyDescent="0.35"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</row>
    <row r="2327" spans="8:18" x14ac:dyDescent="0.35"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</row>
    <row r="2328" spans="8:18" x14ac:dyDescent="0.35"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</row>
    <row r="2329" spans="8:18" x14ac:dyDescent="0.35"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</row>
    <row r="2330" spans="8:18" x14ac:dyDescent="0.35"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</row>
    <row r="2331" spans="8:18" x14ac:dyDescent="0.35"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</row>
    <row r="2332" spans="8:18" x14ac:dyDescent="0.35"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</row>
    <row r="2333" spans="8:18" x14ac:dyDescent="0.35"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</row>
    <row r="2334" spans="8:18" x14ac:dyDescent="0.35"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</row>
    <row r="2335" spans="8:18" x14ac:dyDescent="0.35"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</row>
    <row r="2336" spans="8:18" x14ac:dyDescent="0.35"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</row>
    <row r="2337" spans="8:18" x14ac:dyDescent="0.35"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</row>
    <row r="2338" spans="8:18" x14ac:dyDescent="0.35"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</row>
    <row r="2339" spans="8:18" x14ac:dyDescent="0.35"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</row>
    <row r="2340" spans="8:18" x14ac:dyDescent="0.35"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</row>
    <row r="2341" spans="8:18" x14ac:dyDescent="0.35"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</row>
    <row r="2342" spans="8:18" x14ac:dyDescent="0.35"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</row>
    <row r="2343" spans="8:18" x14ac:dyDescent="0.35"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</row>
    <row r="2344" spans="8:18" x14ac:dyDescent="0.35"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</row>
    <row r="2345" spans="8:18" x14ac:dyDescent="0.35"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</row>
    <row r="2346" spans="8:18" x14ac:dyDescent="0.35"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</row>
    <row r="2347" spans="8:18" x14ac:dyDescent="0.35"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</row>
    <row r="2348" spans="8:18" x14ac:dyDescent="0.35"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</row>
    <row r="2349" spans="8:18" x14ac:dyDescent="0.35"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</row>
    <row r="2350" spans="8:18" x14ac:dyDescent="0.35"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</row>
    <row r="2351" spans="8:18" x14ac:dyDescent="0.35"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</row>
    <row r="2352" spans="8:18" x14ac:dyDescent="0.35"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</row>
    <row r="2353" spans="8:18" x14ac:dyDescent="0.35"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</row>
    <row r="2354" spans="8:18" x14ac:dyDescent="0.35"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</row>
    <row r="2355" spans="8:18" x14ac:dyDescent="0.35"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</row>
    <row r="2356" spans="8:18" x14ac:dyDescent="0.35"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</row>
    <row r="2357" spans="8:18" x14ac:dyDescent="0.35"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</row>
    <row r="2358" spans="8:18" x14ac:dyDescent="0.35"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</row>
    <row r="2359" spans="8:18" x14ac:dyDescent="0.35"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</row>
    <row r="2360" spans="8:18" x14ac:dyDescent="0.35"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</row>
    <row r="2361" spans="8:18" x14ac:dyDescent="0.35"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</row>
    <row r="2362" spans="8:18" x14ac:dyDescent="0.35"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</row>
    <row r="2363" spans="8:18" x14ac:dyDescent="0.35"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</row>
    <row r="2364" spans="8:18" x14ac:dyDescent="0.35"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</row>
    <row r="2365" spans="8:18" x14ac:dyDescent="0.35"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</row>
    <row r="2366" spans="8:18" x14ac:dyDescent="0.35"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</row>
    <row r="2367" spans="8:18" x14ac:dyDescent="0.35"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</row>
    <row r="2368" spans="8:18" x14ac:dyDescent="0.35"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</row>
    <row r="2369" spans="8:18" x14ac:dyDescent="0.35"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</row>
    <row r="2370" spans="8:18" x14ac:dyDescent="0.35"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</row>
    <row r="2371" spans="8:18" x14ac:dyDescent="0.35"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</row>
    <row r="2372" spans="8:18" x14ac:dyDescent="0.35"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</row>
    <row r="2373" spans="8:18" x14ac:dyDescent="0.35"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</row>
    <row r="2374" spans="8:18" x14ac:dyDescent="0.35"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</row>
    <row r="2375" spans="8:18" x14ac:dyDescent="0.35"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</row>
    <row r="2376" spans="8:18" x14ac:dyDescent="0.35"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</row>
    <row r="2377" spans="8:18" x14ac:dyDescent="0.35"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</row>
    <row r="2378" spans="8:18" x14ac:dyDescent="0.35"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</row>
    <row r="2379" spans="8:18" x14ac:dyDescent="0.35"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</row>
    <row r="2380" spans="8:18" x14ac:dyDescent="0.35"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</row>
    <row r="2381" spans="8:18" x14ac:dyDescent="0.35"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</row>
    <row r="2382" spans="8:18" x14ac:dyDescent="0.35"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</row>
    <row r="2383" spans="8:18" x14ac:dyDescent="0.35"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</row>
    <row r="2384" spans="8:18" x14ac:dyDescent="0.35"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</row>
    <row r="2385" spans="8:18" x14ac:dyDescent="0.35"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</row>
    <row r="2386" spans="8:18" x14ac:dyDescent="0.35"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</row>
    <row r="2387" spans="8:18" x14ac:dyDescent="0.35"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</row>
    <row r="2388" spans="8:18" x14ac:dyDescent="0.35"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</row>
    <row r="2389" spans="8:18" x14ac:dyDescent="0.35"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</row>
    <row r="2390" spans="8:18" x14ac:dyDescent="0.35"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</row>
    <row r="2391" spans="8:18" x14ac:dyDescent="0.35"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</row>
    <row r="2392" spans="8:18" x14ac:dyDescent="0.35"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</row>
    <row r="2393" spans="8:18" x14ac:dyDescent="0.35"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</row>
    <row r="2394" spans="8:18" x14ac:dyDescent="0.35"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</row>
    <row r="2395" spans="8:18" x14ac:dyDescent="0.35"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</row>
    <row r="2396" spans="8:18" x14ac:dyDescent="0.35"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</row>
    <row r="2397" spans="8:18" x14ac:dyDescent="0.35"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</row>
    <row r="2398" spans="8:18" x14ac:dyDescent="0.35"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</row>
    <row r="2399" spans="8:18" x14ac:dyDescent="0.35"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</row>
    <row r="2400" spans="8:18" x14ac:dyDescent="0.35"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</row>
    <row r="2401" spans="8:18" x14ac:dyDescent="0.35"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</row>
    <row r="2402" spans="8:18" x14ac:dyDescent="0.35"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</row>
    <row r="2403" spans="8:18" x14ac:dyDescent="0.35"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</row>
    <row r="2404" spans="8:18" x14ac:dyDescent="0.35"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</row>
    <row r="2405" spans="8:18" x14ac:dyDescent="0.35"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</row>
    <row r="2406" spans="8:18" x14ac:dyDescent="0.35"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</row>
    <row r="2407" spans="8:18" x14ac:dyDescent="0.35"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</row>
    <row r="2408" spans="8:18" x14ac:dyDescent="0.35"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</row>
    <row r="2409" spans="8:18" x14ac:dyDescent="0.35"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</row>
    <row r="2410" spans="8:18" x14ac:dyDescent="0.35"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</row>
    <row r="2411" spans="8:18" x14ac:dyDescent="0.35"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</row>
    <row r="2412" spans="8:18" x14ac:dyDescent="0.35"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</row>
    <row r="2413" spans="8:18" x14ac:dyDescent="0.35"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</row>
    <row r="2414" spans="8:18" x14ac:dyDescent="0.35"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</row>
    <row r="2415" spans="8:18" x14ac:dyDescent="0.35"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</row>
    <row r="2416" spans="8:18" x14ac:dyDescent="0.35"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</row>
    <row r="2417" spans="8:18" x14ac:dyDescent="0.35"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</row>
    <row r="2418" spans="8:18" x14ac:dyDescent="0.35"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</row>
    <row r="2419" spans="8:18" x14ac:dyDescent="0.35"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</row>
    <row r="2420" spans="8:18" x14ac:dyDescent="0.35"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</row>
    <row r="2421" spans="8:18" x14ac:dyDescent="0.35"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</row>
    <row r="2422" spans="8:18" x14ac:dyDescent="0.35"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</row>
    <row r="2423" spans="8:18" x14ac:dyDescent="0.35"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</row>
    <row r="2424" spans="8:18" x14ac:dyDescent="0.35"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</row>
    <row r="2425" spans="8:18" x14ac:dyDescent="0.35"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</row>
    <row r="2426" spans="8:18" x14ac:dyDescent="0.35"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</row>
    <row r="2427" spans="8:18" x14ac:dyDescent="0.35"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</row>
    <row r="2428" spans="8:18" x14ac:dyDescent="0.35"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</row>
    <row r="2429" spans="8:18" x14ac:dyDescent="0.35"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</row>
    <row r="2430" spans="8:18" x14ac:dyDescent="0.35"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</row>
    <row r="2431" spans="8:18" x14ac:dyDescent="0.35"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</row>
    <row r="2432" spans="8:18" x14ac:dyDescent="0.35"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</row>
    <row r="2433" spans="8:18" x14ac:dyDescent="0.35"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</row>
    <row r="2434" spans="8:18" x14ac:dyDescent="0.35"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</row>
    <row r="2435" spans="8:18" x14ac:dyDescent="0.35"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</row>
    <row r="2436" spans="8:18" x14ac:dyDescent="0.35"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</row>
    <row r="2437" spans="8:18" x14ac:dyDescent="0.35"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</row>
    <row r="2438" spans="8:18" x14ac:dyDescent="0.35"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</row>
    <row r="2439" spans="8:18" x14ac:dyDescent="0.35"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</row>
    <row r="2440" spans="8:18" x14ac:dyDescent="0.35"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</row>
    <row r="2441" spans="8:18" x14ac:dyDescent="0.35"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</row>
    <row r="2442" spans="8:18" x14ac:dyDescent="0.35"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</row>
    <row r="2443" spans="8:18" x14ac:dyDescent="0.35"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</row>
    <row r="2444" spans="8:18" x14ac:dyDescent="0.35"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</row>
    <row r="2445" spans="8:18" x14ac:dyDescent="0.35"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</row>
    <row r="2446" spans="8:18" x14ac:dyDescent="0.35"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</row>
    <row r="2447" spans="8:18" x14ac:dyDescent="0.35"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</row>
    <row r="2448" spans="8:18" x14ac:dyDescent="0.35"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</row>
    <row r="2449" spans="8:18" x14ac:dyDescent="0.35"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</row>
    <row r="2450" spans="8:18" x14ac:dyDescent="0.35"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</row>
    <row r="2451" spans="8:18" x14ac:dyDescent="0.35"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</row>
    <row r="2452" spans="8:18" x14ac:dyDescent="0.35"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</row>
    <row r="2453" spans="8:18" x14ac:dyDescent="0.35"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</row>
    <row r="2454" spans="8:18" x14ac:dyDescent="0.35"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</row>
    <row r="2455" spans="8:18" x14ac:dyDescent="0.35"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</row>
    <row r="2456" spans="8:18" x14ac:dyDescent="0.35"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</row>
    <row r="2457" spans="8:18" x14ac:dyDescent="0.35"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</row>
    <row r="2458" spans="8:18" x14ac:dyDescent="0.35"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</row>
    <row r="2459" spans="8:18" x14ac:dyDescent="0.35"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</row>
    <row r="2460" spans="8:18" x14ac:dyDescent="0.35"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</row>
    <row r="2461" spans="8:18" x14ac:dyDescent="0.35"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</row>
    <row r="2462" spans="8:18" x14ac:dyDescent="0.35"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</row>
    <row r="2463" spans="8:18" x14ac:dyDescent="0.35"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</row>
    <row r="2464" spans="8:18" x14ac:dyDescent="0.35"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</row>
    <row r="2465" spans="8:18" x14ac:dyDescent="0.35"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</row>
    <row r="2466" spans="8:18" x14ac:dyDescent="0.35"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</row>
    <row r="2467" spans="8:18" x14ac:dyDescent="0.35"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</row>
    <row r="2468" spans="8:18" x14ac:dyDescent="0.35"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</row>
    <row r="2469" spans="8:18" x14ac:dyDescent="0.35"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</row>
    <row r="2470" spans="8:18" x14ac:dyDescent="0.35"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</row>
    <row r="2471" spans="8:18" x14ac:dyDescent="0.35"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</row>
    <row r="2472" spans="8:18" x14ac:dyDescent="0.35"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</row>
    <row r="2473" spans="8:18" x14ac:dyDescent="0.35"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</row>
    <row r="2474" spans="8:18" x14ac:dyDescent="0.35"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</row>
    <row r="2475" spans="8:18" x14ac:dyDescent="0.35"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</row>
    <row r="2476" spans="8:18" x14ac:dyDescent="0.35"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</row>
    <row r="2477" spans="8:18" x14ac:dyDescent="0.35"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</row>
    <row r="2478" spans="8:18" x14ac:dyDescent="0.35"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</row>
    <row r="2479" spans="8:18" x14ac:dyDescent="0.35"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</row>
    <row r="2480" spans="8:18" x14ac:dyDescent="0.35"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</row>
    <row r="2481" spans="8:18" x14ac:dyDescent="0.35"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</row>
    <row r="2482" spans="8:18" x14ac:dyDescent="0.35"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</row>
    <row r="2483" spans="8:18" x14ac:dyDescent="0.35"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</row>
    <row r="2484" spans="8:18" x14ac:dyDescent="0.35"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</row>
    <row r="2485" spans="8:18" x14ac:dyDescent="0.35"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</row>
    <row r="2486" spans="8:18" x14ac:dyDescent="0.35"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</row>
    <row r="2487" spans="8:18" x14ac:dyDescent="0.35"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</row>
    <row r="2488" spans="8:18" x14ac:dyDescent="0.35"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</row>
    <row r="2489" spans="8:18" x14ac:dyDescent="0.35"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</row>
    <row r="2490" spans="8:18" x14ac:dyDescent="0.35"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</row>
    <row r="2491" spans="8:18" x14ac:dyDescent="0.35"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</row>
    <row r="2492" spans="8:18" x14ac:dyDescent="0.35"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</row>
    <row r="2493" spans="8:18" x14ac:dyDescent="0.35"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</row>
    <row r="2494" spans="8:18" x14ac:dyDescent="0.35"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</row>
    <row r="2495" spans="8:18" x14ac:dyDescent="0.35"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</row>
    <row r="2496" spans="8:18" x14ac:dyDescent="0.35"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</row>
    <row r="2497" spans="8:18" x14ac:dyDescent="0.35"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</row>
    <row r="2498" spans="8:18" x14ac:dyDescent="0.35"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</row>
    <row r="2499" spans="8:18" x14ac:dyDescent="0.35"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</row>
    <row r="2500" spans="8:18" x14ac:dyDescent="0.35"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</row>
    <row r="2501" spans="8:18" x14ac:dyDescent="0.35"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</row>
    <row r="2502" spans="8:18" x14ac:dyDescent="0.35"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</row>
    <row r="2503" spans="8:18" x14ac:dyDescent="0.35"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</row>
    <row r="2504" spans="8:18" x14ac:dyDescent="0.35"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</row>
    <row r="2505" spans="8:18" x14ac:dyDescent="0.35"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</row>
    <row r="2506" spans="8:18" x14ac:dyDescent="0.35"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</row>
    <row r="2507" spans="8:18" x14ac:dyDescent="0.35"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</row>
    <row r="2508" spans="8:18" x14ac:dyDescent="0.35"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</row>
    <row r="2509" spans="8:18" x14ac:dyDescent="0.35"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</row>
    <row r="2510" spans="8:18" x14ac:dyDescent="0.35"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</row>
    <row r="2511" spans="8:18" x14ac:dyDescent="0.35"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</row>
    <row r="2512" spans="8:18" x14ac:dyDescent="0.35"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</row>
    <row r="2513" spans="8:18" x14ac:dyDescent="0.35"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</row>
    <row r="2514" spans="8:18" x14ac:dyDescent="0.35"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</row>
    <row r="2515" spans="8:18" x14ac:dyDescent="0.35"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</row>
    <row r="2516" spans="8:18" x14ac:dyDescent="0.35"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</row>
    <row r="2517" spans="8:18" x14ac:dyDescent="0.35"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</row>
    <row r="2518" spans="8:18" x14ac:dyDescent="0.35"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</row>
    <row r="2519" spans="8:18" x14ac:dyDescent="0.35"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</row>
    <row r="2520" spans="8:18" x14ac:dyDescent="0.35"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</row>
    <row r="2521" spans="8:18" x14ac:dyDescent="0.35"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</row>
    <row r="2522" spans="8:18" x14ac:dyDescent="0.35"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</row>
    <row r="2523" spans="8:18" x14ac:dyDescent="0.35"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</row>
    <row r="2524" spans="8:18" x14ac:dyDescent="0.35"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</row>
    <row r="2525" spans="8:18" x14ac:dyDescent="0.35"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</row>
    <row r="2526" spans="8:18" x14ac:dyDescent="0.35"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</row>
    <row r="2527" spans="8:18" x14ac:dyDescent="0.35"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</row>
    <row r="2528" spans="8:18" x14ac:dyDescent="0.35"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</row>
    <row r="2529" spans="8:18" x14ac:dyDescent="0.35"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</row>
    <row r="2530" spans="8:18" x14ac:dyDescent="0.35"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</row>
    <row r="2531" spans="8:18" x14ac:dyDescent="0.35"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</row>
    <row r="2532" spans="8:18" x14ac:dyDescent="0.35"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</row>
    <row r="2533" spans="8:18" x14ac:dyDescent="0.35"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</row>
    <row r="2534" spans="8:18" x14ac:dyDescent="0.35"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</row>
    <row r="2535" spans="8:18" x14ac:dyDescent="0.35"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</row>
    <row r="2536" spans="8:18" x14ac:dyDescent="0.35"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</row>
    <row r="2537" spans="8:18" x14ac:dyDescent="0.35"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</row>
    <row r="2538" spans="8:18" x14ac:dyDescent="0.35"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</row>
    <row r="2539" spans="8:18" x14ac:dyDescent="0.35"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</row>
    <row r="2540" spans="8:18" x14ac:dyDescent="0.35"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</row>
    <row r="2541" spans="8:18" x14ac:dyDescent="0.35"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</row>
    <row r="2542" spans="8:18" x14ac:dyDescent="0.35"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</row>
    <row r="2543" spans="8:18" x14ac:dyDescent="0.35"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</row>
    <row r="2544" spans="8:18" x14ac:dyDescent="0.35"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</row>
    <row r="2545" spans="8:18" x14ac:dyDescent="0.35"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</row>
    <row r="2546" spans="8:18" x14ac:dyDescent="0.35"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</row>
    <row r="2547" spans="8:18" x14ac:dyDescent="0.35"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</row>
    <row r="2548" spans="8:18" x14ac:dyDescent="0.35"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</row>
    <row r="2549" spans="8:18" x14ac:dyDescent="0.35"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</row>
    <row r="2550" spans="8:18" x14ac:dyDescent="0.35"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</row>
    <row r="2551" spans="8:18" x14ac:dyDescent="0.35"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</row>
    <row r="2552" spans="8:18" x14ac:dyDescent="0.35"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</row>
    <row r="2553" spans="8:18" x14ac:dyDescent="0.35"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</row>
    <row r="2554" spans="8:18" x14ac:dyDescent="0.35"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</row>
    <row r="2555" spans="8:18" x14ac:dyDescent="0.35"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</row>
    <row r="2556" spans="8:18" x14ac:dyDescent="0.35"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</row>
    <row r="2557" spans="8:18" x14ac:dyDescent="0.35"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</row>
    <row r="2558" spans="8:18" x14ac:dyDescent="0.35"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</row>
    <row r="2559" spans="8:18" x14ac:dyDescent="0.35"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</row>
    <row r="2560" spans="8:18" x14ac:dyDescent="0.35"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</row>
    <row r="2561" spans="8:18" x14ac:dyDescent="0.35"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</row>
    <row r="2562" spans="8:18" x14ac:dyDescent="0.35"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</row>
    <row r="2563" spans="8:18" x14ac:dyDescent="0.35"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</row>
    <row r="2564" spans="8:18" x14ac:dyDescent="0.35"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</row>
    <row r="2565" spans="8:18" x14ac:dyDescent="0.35"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</row>
    <row r="2566" spans="8:18" x14ac:dyDescent="0.35"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</row>
    <row r="2567" spans="8:18" x14ac:dyDescent="0.35"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</row>
    <row r="2568" spans="8:18" x14ac:dyDescent="0.35"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</row>
    <row r="2569" spans="8:18" x14ac:dyDescent="0.35"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</row>
    <row r="2570" spans="8:18" x14ac:dyDescent="0.35"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</row>
    <row r="2571" spans="8:18" x14ac:dyDescent="0.35"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</row>
    <row r="2572" spans="8:18" x14ac:dyDescent="0.35"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</row>
    <row r="2573" spans="8:18" x14ac:dyDescent="0.35"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</row>
    <row r="2574" spans="8:18" x14ac:dyDescent="0.35"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</row>
    <row r="2575" spans="8:18" x14ac:dyDescent="0.35"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</row>
    <row r="2576" spans="8:18" x14ac:dyDescent="0.35"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</row>
    <row r="2577" spans="8:18" x14ac:dyDescent="0.35"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</row>
    <row r="2578" spans="8:18" x14ac:dyDescent="0.35"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</row>
    <row r="2579" spans="8:18" x14ac:dyDescent="0.35"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</row>
    <row r="2580" spans="8:18" x14ac:dyDescent="0.35"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</row>
    <row r="2581" spans="8:18" x14ac:dyDescent="0.35"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</row>
    <row r="2582" spans="8:18" x14ac:dyDescent="0.35"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</row>
    <row r="2583" spans="8:18" x14ac:dyDescent="0.35"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</row>
    <row r="2584" spans="8:18" x14ac:dyDescent="0.35"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</row>
    <row r="2585" spans="8:18" x14ac:dyDescent="0.35"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</row>
    <row r="2586" spans="8:18" x14ac:dyDescent="0.35"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</row>
    <row r="2587" spans="8:18" x14ac:dyDescent="0.35"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</row>
    <row r="2588" spans="8:18" x14ac:dyDescent="0.35"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</row>
    <row r="2589" spans="8:18" x14ac:dyDescent="0.35"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</row>
    <row r="2590" spans="8:18" x14ac:dyDescent="0.35"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</row>
    <row r="2591" spans="8:18" x14ac:dyDescent="0.35"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</row>
    <row r="2592" spans="8:18" x14ac:dyDescent="0.35"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</row>
    <row r="2593" spans="8:18" x14ac:dyDescent="0.35"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</row>
    <row r="2594" spans="8:18" x14ac:dyDescent="0.35"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</row>
    <row r="2595" spans="8:18" x14ac:dyDescent="0.35"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</row>
    <row r="2596" spans="8:18" x14ac:dyDescent="0.35"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</row>
    <row r="2597" spans="8:18" x14ac:dyDescent="0.35"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</row>
    <row r="2598" spans="8:18" x14ac:dyDescent="0.35"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</row>
    <row r="2599" spans="8:18" x14ac:dyDescent="0.35"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</row>
    <row r="2600" spans="8:18" x14ac:dyDescent="0.35"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</row>
    <row r="2601" spans="8:18" x14ac:dyDescent="0.35"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</row>
    <row r="2602" spans="8:18" x14ac:dyDescent="0.35"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</row>
    <row r="2603" spans="8:18" x14ac:dyDescent="0.35"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</row>
    <row r="2604" spans="8:18" x14ac:dyDescent="0.35"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</row>
    <row r="2605" spans="8:18" x14ac:dyDescent="0.35"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</row>
    <row r="2606" spans="8:18" x14ac:dyDescent="0.35"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</row>
    <row r="2607" spans="8:18" x14ac:dyDescent="0.35"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</row>
    <row r="2608" spans="8:18" x14ac:dyDescent="0.35"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</row>
    <row r="2609" spans="8:18" x14ac:dyDescent="0.35"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</row>
    <row r="2610" spans="8:18" x14ac:dyDescent="0.35"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</row>
    <row r="2611" spans="8:18" x14ac:dyDescent="0.35"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</row>
    <row r="2612" spans="8:18" x14ac:dyDescent="0.35"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</row>
    <row r="2613" spans="8:18" x14ac:dyDescent="0.35"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</row>
    <row r="2614" spans="8:18" x14ac:dyDescent="0.35"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</row>
    <row r="2615" spans="8:18" x14ac:dyDescent="0.35"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</row>
    <row r="2616" spans="8:18" x14ac:dyDescent="0.35"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</row>
    <row r="2617" spans="8:18" x14ac:dyDescent="0.35"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</row>
    <row r="2618" spans="8:18" x14ac:dyDescent="0.35"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</row>
    <row r="2619" spans="8:18" x14ac:dyDescent="0.35"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</row>
    <row r="2620" spans="8:18" x14ac:dyDescent="0.35"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</row>
    <row r="2621" spans="8:18" x14ac:dyDescent="0.35"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</row>
    <row r="2622" spans="8:18" x14ac:dyDescent="0.35"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</row>
    <row r="2623" spans="8:18" x14ac:dyDescent="0.35"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</row>
    <row r="2624" spans="8:18" x14ac:dyDescent="0.35"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</row>
    <row r="2625" spans="8:18" x14ac:dyDescent="0.35"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</row>
    <row r="2626" spans="8:18" x14ac:dyDescent="0.35"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</row>
    <row r="2627" spans="8:18" x14ac:dyDescent="0.35"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</row>
    <row r="2628" spans="8:18" x14ac:dyDescent="0.35"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</row>
    <row r="2629" spans="8:18" x14ac:dyDescent="0.35"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</row>
    <row r="2630" spans="8:18" x14ac:dyDescent="0.35"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</row>
    <row r="2631" spans="8:18" x14ac:dyDescent="0.35"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</row>
    <row r="2632" spans="8:18" x14ac:dyDescent="0.35"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</row>
    <row r="2633" spans="8:18" x14ac:dyDescent="0.35"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</row>
    <row r="2634" spans="8:18" x14ac:dyDescent="0.35"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</row>
    <row r="2635" spans="8:18" x14ac:dyDescent="0.35"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</row>
    <row r="2636" spans="8:18" x14ac:dyDescent="0.35"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</row>
    <row r="2637" spans="8:18" x14ac:dyDescent="0.35"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</row>
    <row r="2638" spans="8:18" x14ac:dyDescent="0.35"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</row>
    <row r="2639" spans="8:18" x14ac:dyDescent="0.35"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</row>
    <row r="2640" spans="8:18" x14ac:dyDescent="0.35"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</row>
    <row r="2641" spans="8:18" x14ac:dyDescent="0.35"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</row>
    <row r="2642" spans="8:18" x14ac:dyDescent="0.35"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</row>
    <row r="2643" spans="8:18" x14ac:dyDescent="0.35"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</row>
    <row r="2644" spans="8:18" x14ac:dyDescent="0.35"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</row>
    <row r="2645" spans="8:18" x14ac:dyDescent="0.35"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</row>
    <row r="2646" spans="8:18" x14ac:dyDescent="0.35"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</row>
    <row r="2647" spans="8:18" x14ac:dyDescent="0.35"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</row>
    <row r="2648" spans="8:18" x14ac:dyDescent="0.35"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</row>
    <row r="2649" spans="8:18" x14ac:dyDescent="0.35"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</row>
    <row r="2650" spans="8:18" x14ac:dyDescent="0.35"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</row>
    <row r="2651" spans="8:18" x14ac:dyDescent="0.35"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</row>
    <row r="2652" spans="8:18" x14ac:dyDescent="0.35"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</row>
    <row r="2653" spans="8:18" x14ac:dyDescent="0.35"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</row>
    <row r="2654" spans="8:18" x14ac:dyDescent="0.35"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</row>
    <row r="2655" spans="8:18" x14ac:dyDescent="0.35"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</row>
    <row r="2656" spans="8:18" x14ac:dyDescent="0.35"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</row>
    <row r="2657" spans="8:18" x14ac:dyDescent="0.35"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</row>
    <row r="2658" spans="8:18" x14ac:dyDescent="0.35"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</row>
    <row r="2659" spans="8:18" x14ac:dyDescent="0.35"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</row>
    <row r="2660" spans="8:18" x14ac:dyDescent="0.35"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</row>
    <row r="2661" spans="8:18" x14ac:dyDescent="0.35"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</row>
    <row r="2662" spans="8:18" x14ac:dyDescent="0.35"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</row>
    <row r="2663" spans="8:18" x14ac:dyDescent="0.35"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</row>
    <row r="2664" spans="8:18" x14ac:dyDescent="0.35"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</row>
    <row r="2665" spans="8:18" x14ac:dyDescent="0.35"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</row>
    <row r="2666" spans="8:18" x14ac:dyDescent="0.35"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</row>
    <row r="2667" spans="8:18" x14ac:dyDescent="0.35"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</row>
    <row r="2668" spans="8:18" x14ac:dyDescent="0.35"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</row>
    <row r="2669" spans="8:18" x14ac:dyDescent="0.35"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</row>
    <row r="2670" spans="8:18" x14ac:dyDescent="0.35"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</row>
    <row r="2671" spans="8:18" x14ac:dyDescent="0.35"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</row>
    <row r="2672" spans="8:18" x14ac:dyDescent="0.35"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</row>
    <row r="2673" spans="8:18" x14ac:dyDescent="0.35"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</row>
    <row r="2674" spans="8:18" x14ac:dyDescent="0.35"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</row>
    <row r="2675" spans="8:18" x14ac:dyDescent="0.35"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</row>
    <row r="2676" spans="8:18" x14ac:dyDescent="0.35"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</row>
    <row r="2677" spans="8:18" x14ac:dyDescent="0.35"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</row>
    <row r="2678" spans="8:18" x14ac:dyDescent="0.35"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</row>
    <row r="2679" spans="8:18" x14ac:dyDescent="0.35"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</row>
    <row r="2680" spans="8:18" x14ac:dyDescent="0.35"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</row>
    <row r="2681" spans="8:18" x14ac:dyDescent="0.35"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</row>
    <row r="2682" spans="8:18" x14ac:dyDescent="0.35"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</row>
    <row r="2683" spans="8:18" x14ac:dyDescent="0.35"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</row>
    <row r="2684" spans="8:18" x14ac:dyDescent="0.35"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</row>
    <row r="2685" spans="8:18" x14ac:dyDescent="0.35"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</row>
    <row r="2686" spans="8:18" x14ac:dyDescent="0.35"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</row>
    <row r="2687" spans="8:18" x14ac:dyDescent="0.35"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</row>
    <row r="2688" spans="8:18" x14ac:dyDescent="0.35"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</row>
    <row r="2689" spans="8:18" x14ac:dyDescent="0.35"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</row>
    <row r="2690" spans="8:18" x14ac:dyDescent="0.35"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</row>
    <row r="2691" spans="8:18" x14ac:dyDescent="0.35"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</row>
    <row r="2692" spans="8:18" x14ac:dyDescent="0.35"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</row>
    <row r="2693" spans="8:18" x14ac:dyDescent="0.35"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</row>
    <row r="2694" spans="8:18" x14ac:dyDescent="0.35"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</row>
    <row r="2695" spans="8:18" x14ac:dyDescent="0.35"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</row>
    <row r="2696" spans="8:18" x14ac:dyDescent="0.35"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</row>
    <row r="2697" spans="8:18" x14ac:dyDescent="0.35"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</row>
    <row r="2698" spans="8:18" x14ac:dyDescent="0.35"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</row>
    <row r="2699" spans="8:18" x14ac:dyDescent="0.35"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</row>
    <row r="2700" spans="8:18" x14ac:dyDescent="0.35"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</row>
    <row r="2701" spans="8:18" x14ac:dyDescent="0.35"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</row>
    <row r="2702" spans="8:18" x14ac:dyDescent="0.35"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</row>
    <row r="2703" spans="8:18" x14ac:dyDescent="0.35"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</row>
    <row r="2704" spans="8:18" x14ac:dyDescent="0.35"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</row>
    <row r="2705" spans="8:18" x14ac:dyDescent="0.35"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</row>
    <row r="2706" spans="8:18" x14ac:dyDescent="0.35"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</row>
    <row r="2707" spans="8:18" x14ac:dyDescent="0.35"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</row>
    <row r="2708" spans="8:18" x14ac:dyDescent="0.35"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</row>
    <row r="2709" spans="8:18" x14ac:dyDescent="0.35"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</row>
    <row r="2710" spans="8:18" x14ac:dyDescent="0.35"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</row>
    <row r="2711" spans="8:18" x14ac:dyDescent="0.35"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</row>
    <row r="2712" spans="8:18" x14ac:dyDescent="0.35"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</row>
    <row r="2713" spans="8:18" x14ac:dyDescent="0.35"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</row>
    <row r="2714" spans="8:18" x14ac:dyDescent="0.35"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</row>
    <row r="2715" spans="8:18" x14ac:dyDescent="0.35"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</row>
    <row r="2716" spans="8:18" x14ac:dyDescent="0.35"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</row>
    <row r="2717" spans="8:18" x14ac:dyDescent="0.35"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</row>
    <row r="2718" spans="8:18" x14ac:dyDescent="0.35"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</row>
    <row r="2719" spans="8:18" x14ac:dyDescent="0.35"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</row>
    <row r="2720" spans="8:18" x14ac:dyDescent="0.35"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</row>
    <row r="2721" spans="8:18" x14ac:dyDescent="0.35"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</row>
    <row r="2722" spans="8:18" x14ac:dyDescent="0.35"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</row>
    <row r="2723" spans="8:18" x14ac:dyDescent="0.35"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</row>
    <row r="2724" spans="8:18" x14ac:dyDescent="0.35"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</row>
    <row r="2725" spans="8:18" x14ac:dyDescent="0.35"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</row>
    <row r="2726" spans="8:18" x14ac:dyDescent="0.35"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</row>
    <row r="2727" spans="8:18" x14ac:dyDescent="0.35"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</row>
    <row r="2728" spans="8:18" x14ac:dyDescent="0.35"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</row>
    <row r="2729" spans="8:18" x14ac:dyDescent="0.35"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</row>
    <row r="2730" spans="8:18" x14ac:dyDescent="0.35"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</row>
    <row r="2731" spans="8:18" x14ac:dyDescent="0.35"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</row>
    <row r="2732" spans="8:18" x14ac:dyDescent="0.35"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</row>
    <row r="2733" spans="8:18" x14ac:dyDescent="0.35"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</row>
    <row r="2734" spans="8:18" x14ac:dyDescent="0.35"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</row>
    <row r="2735" spans="8:18" x14ac:dyDescent="0.35"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</row>
    <row r="2736" spans="8:18" x14ac:dyDescent="0.35"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</row>
    <row r="2737" spans="8:18" x14ac:dyDescent="0.35"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</row>
    <row r="2738" spans="8:18" x14ac:dyDescent="0.35"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</row>
    <row r="2739" spans="8:18" x14ac:dyDescent="0.35"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</row>
    <row r="2740" spans="8:18" x14ac:dyDescent="0.35"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</row>
    <row r="2741" spans="8:18" x14ac:dyDescent="0.35"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</row>
    <row r="2742" spans="8:18" x14ac:dyDescent="0.35"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</row>
    <row r="2743" spans="8:18" x14ac:dyDescent="0.35"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</row>
    <row r="2744" spans="8:18" x14ac:dyDescent="0.35"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</row>
    <row r="2745" spans="8:18" x14ac:dyDescent="0.35"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</row>
    <row r="2746" spans="8:18" x14ac:dyDescent="0.35"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</row>
    <row r="2747" spans="8:18" x14ac:dyDescent="0.35"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</row>
    <row r="2748" spans="8:18" x14ac:dyDescent="0.35"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</row>
    <row r="2749" spans="8:18" x14ac:dyDescent="0.35"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</row>
    <row r="2750" spans="8:18" x14ac:dyDescent="0.35"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</row>
    <row r="2751" spans="8:18" x14ac:dyDescent="0.35"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</row>
    <row r="2752" spans="8:18" x14ac:dyDescent="0.35"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</row>
    <row r="2753" spans="8:18" x14ac:dyDescent="0.35"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</row>
    <row r="2754" spans="8:18" x14ac:dyDescent="0.35"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</row>
    <row r="2755" spans="8:18" x14ac:dyDescent="0.35"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</row>
    <row r="2756" spans="8:18" x14ac:dyDescent="0.35"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</row>
    <row r="2757" spans="8:18" x14ac:dyDescent="0.35"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</row>
    <row r="2758" spans="8:18" x14ac:dyDescent="0.35"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</row>
    <row r="2759" spans="8:18" x14ac:dyDescent="0.35"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</row>
    <row r="2760" spans="8:18" x14ac:dyDescent="0.35"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</row>
    <row r="2761" spans="8:18" x14ac:dyDescent="0.35"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</row>
    <row r="2762" spans="8:18" x14ac:dyDescent="0.35"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</row>
    <row r="2763" spans="8:18" x14ac:dyDescent="0.35"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</row>
    <row r="2764" spans="8:18" x14ac:dyDescent="0.35"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</row>
    <row r="2765" spans="8:18" x14ac:dyDescent="0.35"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</row>
    <row r="2766" spans="8:18" x14ac:dyDescent="0.35"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</row>
    <row r="2767" spans="8:18" x14ac:dyDescent="0.35"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</row>
    <row r="2768" spans="8:18" x14ac:dyDescent="0.35"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</row>
    <row r="2769" spans="8:18" x14ac:dyDescent="0.35"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</row>
    <row r="2770" spans="8:18" x14ac:dyDescent="0.35"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</row>
    <row r="2771" spans="8:18" x14ac:dyDescent="0.35"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</row>
    <row r="2772" spans="8:18" x14ac:dyDescent="0.35"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</row>
    <row r="2773" spans="8:18" x14ac:dyDescent="0.35"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</row>
    <row r="2774" spans="8:18" x14ac:dyDescent="0.35"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</row>
    <row r="2775" spans="8:18" x14ac:dyDescent="0.35"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</row>
    <row r="2776" spans="8:18" x14ac:dyDescent="0.35"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</row>
    <row r="2777" spans="8:18" x14ac:dyDescent="0.35"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</row>
    <row r="2778" spans="8:18" x14ac:dyDescent="0.35"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</row>
    <row r="2779" spans="8:18" x14ac:dyDescent="0.35"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</row>
    <row r="2780" spans="8:18" x14ac:dyDescent="0.35"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</row>
    <row r="2781" spans="8:18" x14ac:dyDescent="0.35"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</row>
    <row r="2782" spans="8:18" x14ac:dyDescent="0.35"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</row>
    <row r="2783" spans="8:18" x14ac:dyDescent="0.35"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</row>
    <row r="2784" spans="8:18" x14ac:dyDescent="0.35"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</row>
    <row r="2785" spans="8:18" x14ac:dyDescent="0.35"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</row>
    <row r="2786" spans="8:18" x14ac:dyDescent="0.35"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</row>
    <row r="2787" spans="8:18" x14ac:dyDescent="0.35"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</row>
    <row r="2788" spans="8:18" x14ac:dyDescent="0.35"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</row>
    <row r="2789" spans="8:18" x14ac:dyDescent="0.35"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</row>
    <row r="2790" spans="8:18" x14ac:dyDescent="0.35"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</row>
    <row r="2791" spans="8:18" x14ac:dyDescent="0.35"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</row>
    <row r="2792" spans="8:18" x14ac:dyDescent="0.35"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</row>
    <row r="2793" spans="8:18" x14ac:dyDescent="0.35"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</row>
    <row r="2794" spans="8:18" x14ac:dyDescent="0.35"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</row>
    <row r="2795" spans="8:18" x14ac:dyDescent="0.35"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</row>
    <row r="2796" spans="8:18" x14ac:dyDescent="0.35"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</row>
    <row r="2797" spans="8:18" x14ac:dyDescent="0.35"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</row>
    <row r="2798" spans="8:18" x14ac:dyDescent="0.35"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</row>
    <row r="2799" spans="8:18" x14ac:dyDescent="0.35"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</row>
    <row r="2800" spans="8:18" x14ac:dyDescent="0.35"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</row>
    <row r="2801" spans="8:18" x14ac:dyDescent="0.35"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</row>
    <row r="2802" spans="8:18" x14ac:dyDescent="0.35"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</row>
    <row r="2803" spans="8:18" x14ac:dyDescent="0.35"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</row>
    <row r="2804" spans="8:18" x14ac:dyDescent="0.35"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</row>
    <row r="2805" spans="8:18" x14ac:dyDescent="0.35"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</row>
    <row r="2806" spans="8:18" x14ac:dyDescent="0.35"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</row>
    <row r="2807" spans="8:18" x14ac:dyDescent="0.35"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</row>
    <row r="2808" spans="8:18" x14ac:dyDescent="0.35"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</row>
    <row r="2809" spans="8:18" x14ac:dyDescent="0.35"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</row>
    <row r="2810" spans="8:18" x14ac:dyDescent="0.35"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</row>
    <row r="2811" spans="8:18" x14ac:dyDescent="0.35"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</row>
    <row r="2812" spans="8:18" x14ac:dyDescent="0.35"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</row>
    <row r="2813" spans="8:18" x14ac:dyDescent="0.35"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</row>
    <row r="2814" spans="8:18" x14ac:dyDescent="0.35"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</row>
    <row r="2815" spans="8:18" x14ac:dyDescent="0.35"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</row>
    <row r="2816" spans="8:18" x14ac:dyDescent="0.35"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</row>
    <row r="2817" spans="8:18" x14ac:dyDescent="0.35"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</row>
    <row r="2818" spans="8:18" x14ac:dyDescent="0.35"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</row>
    <row r="2819" spans="8:18" x14ac:dyDescent="0.35"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</row>
    <row r="2820" spans="8:18" x14ac:dyDescent="0.35"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</row>
    <row r="2821" spans="8:18" x14ac:dyDescent="0.35"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</row>
    <row r="2822" spans="8:18" x14ac:dyDescent="0.35"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</row>
    <row r="2823" spans="8:18" x14ac:dyDescent="0.35"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</row>
    <row r="2824" spans="8:18" x14ac:dyDescent="0.35"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</row>
    <row r="2825" spans="8:18" x14ac:dyDescent="0.35"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</row>
    <row r="2826" spans="8:18" x14ac:dyDescent="0.35"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</row>
    <row r="2827" spans="8:18" x14ac:dyDescent="0.35"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</row>
    <row r="2828" spans="8:18" x14ac:dyDescent="0.35"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</row>
    <row r="2829" spans="8:18" x14ac:dyDescent="0.35"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</row>
    <row r="2830" spans="8:18" x14ac:dyDescent="0.35"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</row>
    <row r="2831" spans="8:18" x14ac:dyDescent="0.35"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</row>
    <row r="2832" spans="8:18" x14ac:dyDescent="0.35"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</row>
    <row r="2833" spans="8:18" x14ac:dyDescent="0.35"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</row>
    <row r="2834" spans="8:18" x14ac:dyDescent="0.35"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</row>
    <row r="2835" spans="8:18" x14ac:dyDescent="0.35"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</row>
    <row r="2836" spans="8:18" x14ac:dyDescent="0.35"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</row>
    <row r="2837" spans="8:18" x14ac:dyDescent="0.35"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</row>
    <row r="2838" spans="8:18" x14ac:dyDescent="0.35"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</row>
    <row r="2839" spans="8:18" x14ac:dyDescent="0.35"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</row>
    <row r="2840" spans="8:18" x14ac:dyDescent="0.35"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</row>
    <row r="2841" spans="8:18" x14ac:dyDescent="0.35"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</row>
    <row r="2842" spans="8:18" x14ac:dyDescent="0.35"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</row>
    <row r="2843" spans="8:18" x14ac:dyDescent="0.35"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</row>
    <row r="2844" spans="8:18" x14ac:dyDescent="0.35"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</row>
    <row r="2845" spans="8:18" x14ac:dyDescent="0.35"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</row>
    <row r="2846" spans="8:18" x14ac:dyDescent="0.35"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</row>
    <row r="2847" spans="8:18" x14ac:dyDescent="0.35"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</row>
    <row r="2848" spans="8:18" x14ac:dyDescent="0.35"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</row>
    <row r="2849" spans="8:18" x14ac:dyDescent="0.35"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</row>
    <row r="2850" spans="8:18" x14ac:dyDescent="0.35"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</row>
    <row r="2851" spans="8:18" x14ac:dyDescent="0.35"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</row>
    <row r="2852" spans="8:18" x14ac:dyDescent="0.35"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</row>
    <row r="2853" spans="8:18" x14ac:dyDescent="0.35"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</row>
    <row r="2854" spans="8:18" x14ac:dyDescent="0.35"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</row>
    <row r="2855" spans="8:18" x14ac:dyDescent="0.35"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</row>
    <row r="2856" spans="8:18" x14ac:dyDescent="0.35"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</row>
    <row r="2857" spans="8:18" x14ac:dyDescent="0.35"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</row>
    <row r="2858" spans="8:18" x14ac:dyDescent="0.35"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</row>
    <row r="2859" spans="8:18" x14ac:dyDescent="0.35"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</row>
    <row r="2860" spans="8:18" x14ac:dyDescent="0.35"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</row>
    <row r="2861" spans="8:18" x14ac:dyDescent="0.35"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</row>
    <row r="2862" spans="8:18" x14ac:dyDescent="0.35"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</row>
    <row r="2863" spans="8:18" x14ac:dyDescent="0.35"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</row>
    <row r="2864" spans="8:18" x14ac:dyDescent="0.35"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</row>
    <row r="2865" spans="8:18" x14ac:dyDescent="0.35"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</row>
    <row r="2866" spans="8:18" x14ac:dyDescent="0.35"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</row>
    <row r="2867" spans="8:18" x14ac:dyDescent="0.35"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</row>
    <row r="2868" spans="8:18" x14ac:dyDescent="0.35"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</row>
    <row r="2869" spans="8:18" x14ac:dyDescent="0.35"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</row>
    <row r="2870" spans="8:18" x14ac:dyDescent="0.35"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</row>
    <row r="2871" spans="8:18" x14ac:dyDescent="0.35"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</row>
    <row r="2872" spans="8:18" x14ac:dyDescent="0.35"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</row>
    <row r="2873" spans="8:18" x14ac:dyDescent="0.35"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</row>
    <row r="2874" spans="8:18" x14ac:dyDescent="0.35"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</row>
    <row r="2875" spans="8:18" x14ac:dyDescent="0.35"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</row>
    <row r="2876" spans="8:18" x14ac:dyDescent="0.35"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</row>
    <row r="2877" spans="8:18" x14ac:dyDescent="0.35"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</row>
    <row r="2878" spans="8:18" x14ac:dyDescent="0.35"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</row>
    <row r="2879" spans="8:18" x14ac:dyDescent="0.35"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</row>
    <row r="2880" spans="8:18" x14ac:dyDescent="0.35"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</row>
    <row r="2881" spans="8:18" x14ac:dyDescent="0.35"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</row>
    <row r="2882" spans="8:18" x14ac:dyDescent="0.35"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</row>
    <row r="2883" spans="8:18" x14ac:dyDescent="0.35"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</row>
    <row r="2884" spans="8:18" x14ac:dyDescent="0.35"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</row>
    <row r="2885" spans="8:18" x14ac:dyDescent="0.35"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</row>
    <row r="2886" spans="8:18" x14ac:dyDescent="0.35"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</row>
    <row r="2887" spans="8:18" x14ac:dyDescent="0.35"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</row>
    <row r="2888" spans="8:18" x14ac:dyDescent="0.35"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</row>
    <row r="2889" spans="8:18" x14ac:dyDescent="0.35"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</row>
    <row r="2890" spans="8:18" x14ac:dyDescent="0.35"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</row>
    <row r="2891" spans="8:18" x14ac:dyDescent="0.35"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</row>
    <row r="2892" spans="8:18" x14ac:dyDescent="0.35"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</row>
    <row r="2893" spans="8:18" x14ac:dyDescent="0.35"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</row>
    <row r="2894" spans="8:18" x14ac:dyDescent="0.35"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</row>
    <row r="2895" spans="8:18" x14ac:dyDescent="0.35"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</row>
    <row r="2896" spans="8:18" x14ac:dyDescent="0.35"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</row>
    <row r="2897" spans="8:18" x14ac:dyDescent="0.35"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</row>
    <row r="2898" spans="8:18" x14ac:dyDescent="0.35"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</row>
    <row r="2899" spans="8:18" x14ac:dyDescent="0.35"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</row>
    <row r="2900" spans="8:18" x14ac:dyDescent="0.35"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</row>
    <row r="2901" spans="8:18" x14ac:dyDescent="0.35"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</row>
    <row r="2902" spans="8:18" x14ac:dyDescent="0.35"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</row>
    <row r="2903" spans="8:18" x14ac:dyDescent="0.35"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</row>
    <row r="2904" spans="8:18" x14ac:dyDescent="0.35"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</row>
    <row r="2905" spans="8:18" x14ac:dyDescent="0.35"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</row>
    <row r="2906" spans="8:18" x14ac:dyDescent="0.35"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</row>
    <row r="2907" spans="8:18" x14ac:dyDescent="0.35"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</row>
    <row r="2908" spans="8:18" x14ac:dyDescent="0.35"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</row>
    <row r="2909" spans="8:18" x14ac:dyDescent="0.35"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</row>
    <row r="2910" spans="8:18" x14ac:dyDescent="0.35"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</row>
    <row r="2911" spans="8:18" x14ac:dyDescent="0.35"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</row>
    <row r="2912" spans="8:18" x14ac:dyDescent="0.35"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</row>
    <row r="2913" spans="8:18" x14ac:dyDescent="0.35"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</row>
    <row r="2914" spans="8:18" x14ac:dyDescent="0.35"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</row>
    <row r="2915" spans="8:18" x14ac:dyDescent="0.35"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</row>
    <row r="2916" spans="8:18" x14ac:dyDescent="0.35"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</row>
    <row r="2917" spans="8:18" x14ac:dyDescent="0.35"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</row>
    <row r="2918" spans="8:18" x14ac:dyDescent="0.35"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</row>
    <row r="2919" spans="8:18" x14ac:dyDescent="0.35"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</row>
    <row r="2920" spans="8:18" x14ac:dyDescent="0.35"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</row>
    <row r="2921" spans="8:18" x14ac:dyDescent="0.35"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</row>
    <row r="2922" spans="8:18" x14ac:dyDescent="0.35"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</row>
    <row r="2923" spans="8:18" x14ac:dyDescent="0.35"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</row>
    <row r="2924" spans="8:18" x14ac:dyDescent="0.35"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</row>
    <row r="2925" spans="8:18" x14ac:dyDescent="0.35"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</row>
    <row r="2926" spans="8:18" x14ac:dyDescent="0.35"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</row>
    <row r="2927" spans="8:18" x14ac:dyDescent="0.35"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</row>
    <row r="2928" spans="8:18" x14ac:dyDescent="0.35"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</row>
    <row r="2929" spans="8:18" x14ac:dyDescent="0.35"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</row>
    <row r="2930" spans="8:18" x14ac:dyDescent="0.35"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</row>
    <row r="2931" spans="8:18" x14ac:dyDescent="0.35"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</row>
    <row r="2932" spans="8:18" x14ac:dyDescent="0.35"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</row>
    <row r="2933" spans="8:18" x14ac:dyDescent="0.35"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</row>
    <row r="2934" spans="8:18" x14ac:dyDescent="0.35"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</row>
    <row r="2935" spans="8:18" x14ac:dyDescent="0.35"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</row>
    <row r="2936" spans="8:18" x14ac:dyDescent="0.35"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</row>
    <row r="2937" spans="8:18" x14ac:dyDescent="0.35"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</row>
    <row r="2938" spans="8:18" x14ac:dyDescent="0.35"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</row>
    <row r="2939" spans="8:18" x14ac:dyDescent="0.35"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</row>
    <row r="2940" spans="8:18" x14ac:dyDescent="0.35"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</row>
    <row r="2941" spans="8:18" x14ac:dyDescent="0.35"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</row>
    <row r="2942" spans="8:18" x14ac:dyDescent="0.35"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</row>
    <row r="2943" spans="8:18" x14ac:dyDescent="0.35"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</row>
    <row r="2944" spans="8:18" x14ac:dyDescent="0.35"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</row>
    <row r="2945" spans="8:18" x14ac:dyDescent="0.35"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</row>
    <row r="2946" spans="8:18" x14ac:dyDescent="0.35"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</row>
    <row r="2947" spans="8:18" x14ac:dyDescent="0.35"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</row>
    <row r="2948" spans="8:18" x14ac:dyDescent="0.35"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</row>
    <row r="2949" spans="8:18" x14ac:dyDescent="0.35"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</row>
    <row r="2950" spans="8:18" x14ac:dyDescent="0.35"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</row>
    <row r="2951" spans="8:18" x14ac:dyDescent="0.35"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</row>
    <row r="2952" spans="8:18" x14ac:dyDescent="0.35"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</row>
    <row r="2953" spans="8:18" x14ac:dyDescent="0.35"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</row>
    <row r="2954" spans="8:18" x14ac:dyDescent="0.35"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</row>
    <row r="2955" spans="8:18" x14ac:dyDescent="0.35"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</row>
    <row r="2956" spans="8:18" x14ac:dyDescent="0.35"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</row>
    <row r="2957" spans="8:18" x14ac:dyDescent="0.35"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</row>
    <row r="2958" spans="8:18" x14ac:dyDescent="0.35"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</row>
    <row r="2959" spans="8:18" x14ac:dyDescent="0.35"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</row>
    <row r="2960" spans="8:18" x14ac:dyDescent="0.35"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</row>
    <row r="2961" spans="8:18" x14ac:dyDescent="0.35"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</row>
    <row r="2962" spans="8:18" x14ac:dyDescent="0.35"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</row>
    <row r="2963" spans="8:18" x14ac:dyDescent="0.35"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</row>
    <row r="2964" spans="8:18" x14ac:dyDescent="0.35"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</row>
    <row r="2965" spans="8:18" x14ac:dyDescent="0.35"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</row>
    <row r="2966" spans="8:18" x14ac:dyDescent="0.35"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</row>
    <row r="2967" spans="8:18" x14ac:dyDescent="0.35"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</row>
    <row r="2968" spans="8:18" x14ac:dyDescent="0.35"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</row>
    <row r="2969" spans="8:18" x14ac:dyDescent="0.35"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</row>
    <row r="2970" spans="8:18" x14ac:dyDescent="0.35"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</row>
    <row r="2971" spans="8:18" x14ac:dyDescent="0.35"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</row>
    <row r="2972" spans="8:18" x14ac:dyDescent="0.35"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</row>
    <row r="2973" spans="8:18" x14ac:dyDescent="0.35"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</row>
    <row r="2974" spans="8:18" x14ac:dyDescent="0.35"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</row>
    <row r="2975" spans="8:18" x14ac:dyDescent="0.35"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</row>
    <row r="2976" spans="8:18" x14ac:dyDescent="0.35"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</row>
    <row r="2977" spans="8:18" x14ac:dyDescent="0.35"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</row>
    <row r="2978" spans="8:18" x14ac:dyDescent="0.35"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</row>
    <row r="2979" spans="8:18" x14ac:dyDescent="0.35"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</row>
    <row r="2980" spans="8:18" x14ac:dyDescent="0.35"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</row>
    <row r="2981" spans="8:18" x14ac:dyDescent="0.35"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</row>
    <row r="2982" spans="8:18" x14ac:dyDescent="0.35"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</row>
    <row r="2983" spans="8:18" x14ac:dyDescent="0.35"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</row>
    <row r="2984" spans="8:18" x14ac:dyDescent="0.35"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</row>
    <row r="2985" spans="8:18" x14ac:dyDescent="0.35"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</row>
    <row r="2986" spans="8:18" x14ac:dyDescent="0.35"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</row>
    <row r="2987" spans="8:18" x14ac:dyDescent="0.35"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</row>
    <row r="2988" spans="8:18" x14ac:dyDescent="0.35"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</row>
    <row r="2989" spans="8:18" x14ac:dyDescent="0.35"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</row>
    <row r="2990" spans="8:18" x14ac:dyDescent="0.35"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</row>
    <row r="2991" spans="8:18" x14ac:dyDescent="0.35"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</row>
    <row r="2992" spans="8:18" x14ac:dyDescent="0.35"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</row>
    <row r="2993" spans="8:18" x14ac:dyDescent="0.35"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</row>
    <row r="2994" spans="8:18" x14ac:dyDescent="0.35"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</row>
    <row r="2995" spans="8:18" x14ac:dyDescent="0.35"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</row>
    <row r="2996" spans="8:18" x14ac:dyDescent="0.35"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</row>
    <row r="2997" spans="8:18" x14ac:dyDescent="0.35"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</row>
    <row r="2998" spans="8:18" x14ac:dyDescent="0.35"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</row>
    <row r="2999" spans="8:18" x14ac:dyDescent="0.35"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</row>
    <row r="3000" spans="8:18" x14ac:dyDescent="0.35"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</row>
    <row r="3001" spans="8:18" x14ac:dyDescent="0.35"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</row>
    <row r="3002" spans="8:18" x14ac:dyDescent="0.35"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</row>
    <row r="3003" spans="8:18" x14ac:dyDescent="0.35"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</row>
    <row r="3004" spans="8:18" x14ac:dyDescent="0.35"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</row>
    <row r="3005" spans="8:18" x14ac:dyDescent="0.35"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</row>
    <row r="3006" spans="8:18" x14ac:dyDescent="0.35"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</row>
    <row r="3007" spans="8:18" x14ac:dyDescent="0.35"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</row>
    <row r="3008" spans="8:18" x14ac:dyDescent="0.35"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</row>
    <row r="3009" spans="8:18" x14ac:dyDescent="0.35"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</row>
    <row r="3010" spans="8:18" x14ac:dyDescent="0.35"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</row>
    <row r="3011" spans="8:18" x14ac:dyDescent="0.35"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</row>
    <row r="3012" spans="8:18" x14ac:dyDescent="0.35"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</row>
    <row r="3013" spans="8:18" x14ac:dyDescent="0.35"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</row>
    <row r="3014" spans="8:18" x14ac:dyDescent="0.35"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</row>
    <row r="3015" spans="8:18" x14ac:dyDescent="0.35"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</row>
    <row r="3016" spans="8:18" x14ac:dyDescent="0.35"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</row>
    <row r="3017" spans="8:18" x14ac:dyDescent="0.35"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</row>
    <row r="3018" spans="8:18" x14ac:dyDescent="0.35"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</row>
    <row r="3019" spans="8:18" x14ac:dyDescent="0.35"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</row>
    <row r="3020" spans="8:18" x14ac:dyDescent="0.35"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</row>
    <row r="3021" spans="8:18" x14ac:dyDescent="0.35"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</row>
    <row r="3022" spans="8:18" x14ac:dyDescent="0.35"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</row>
    <row r="3023" spans="8:18" x14ac:dyDescent="0.35"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</row>
    <row r="3024" spans="8:18" x14ac:dyDescent="0.35"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</row>
    <row r="3025" spans="8:18" x14ac:dyDescent="0.35"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</row>
    <row r="3026" spans="8:18" x14ac:dyDescent="0.35"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</row>
    <row r="3027" spans="8:18" x14ac:dyDescent="0.35"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</row>
    <row r="3028" spans="8:18" x14ac:dyDescent="0.35"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</row>
    <row r="3029" spans="8:18" x14ac:dyDescent="0.35"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</row>
    <row r="3030" spans="8:18" x14ac:dyDescent="0.35"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</row>
    <row r="3031" spans="8:18" x14ac:dyDescent="0.35"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</row>
    <row r="3032" spans="8:18" x14ac:dyDescent="0.35"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</row>
    <row r="3033" spans="8:18" x14ac:dyDescent="0.35"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</row>
    <row r="3034" spans="8:18" x14ac:dyDescent="0.35"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</row>
    <row r="3035" spans="8:18" x14ac:dyDescent="0.35"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</row>
    <row r="3036" spans="8:18" x14ac:dyDescent="0.35"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</row>
    <row r="3037" spans="8:18" x14ac:dyDescent="0.35"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</row>
    <row r="3038" spans="8:18" x14ac:dyDescent="0.35"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</row>
    <row r="3039" spans="8:18" x14ac:dyDescent="0.35"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</row>
    <row r="3040" spans="8:18" x14ac:dyDescent="0.35"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</row>
    <row r="3041" spans="8:18" x14ac:dyDescent="0.35"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</row>
    <row r="3042" spans="8:18" x14ac:dyDescent="0.35"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</row>
    <row r="3043" spans="8:18" x14ac:dyDescent="0.35"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</row>
    <row r="3044" spans="8:18" x14ac:dyDescent="0.35"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</row>
    <row r="3045" spans="8:18" x14ac:dyDescent="0.35"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</row>
    <row r="3046" spans="8:18" x14ac:dyDescent="0.35"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</row>
    <row r="3047" spans="8:18" x14ac:dyDescent="0.35"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</row>
    <row r="3048" spans="8:18" x14ac:dyDescent="0.35"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</row>
    <row r="3049" spans="8:18" x14ac:dyDescent="0.35"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</row>
    <row r="3050" spans="8:18" x14ac:dyDescent="0.35"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</row>
    <row r="3051" spans="8:18" x14ac:dyDescent="0.35"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</row>
    <row r="3052" spans="8:18" x14ac:dyDescent="0.35"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</row>
    <row r="3053" spans="8:18" x14ac:dyDescent="0.35"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</row>
    <row r="3054" spans="8:18" x14ac:dyDescent="0.35"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</row>
    <row r="3055" spans="8:18" x14ac:dyDescent="0.35"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</row>
    <row r="3056" spans="8:18" x14ac:dyDescent="0.35"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</row>
    <row r="3057" spans="8:18" x14ac:dyDescent="0.35"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</row>
    <row r="3058" spans="8:18" x14ac:dyDescent="0.35"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</row>
    <row r="3059" spans="8:18" x14ac:dyDescent="0.35"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</row>
    <row r="3060" spans="8:18" x14ac:dyDescent="0.35"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</row>
    <row r="3061" spans="8:18" x14ac:dyDescent="0.35"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</row>
    <row r="3062" spans="8:18" x14ac:dyDescent="0.35"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</row>
    <row r="3063" spans="8:18" x14ac:dyDescent="0.35"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</row>
    <row r="3064" spans="8:18" x14ac:dyDescent="0.35"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</row>
    <row r="3065" spans="8:18" x14ac:dyDescent="0.35"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</row>
    <row r="3066" spans="8:18" x14ac:dyDescent="0.35"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</row>
    <row r="3067" spans="8:18" x14ac:dyDescent="0.35"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</row>
    <row r="3068" spans="8:18" x14ac:dyDescent="0.35"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</row>
    <row r="3069" spans="8:18" x14ac:dyDescent="0.35"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</row>
    <row r="3070" spans="8:18" x14ac:dyDescent="0.35"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</row>
    <row r="3071" spans="8:18" x14ac:dyDescent="0.35"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</row>
    <row r="3072" spans="8:18" x14ac:dyDescent="0.35"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</row>
    <row r="3073" spans="8:18" x14ac:dyDescent="0.35"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</row>
    <row r="3074" spans="8:18" x14ac:dyDescent="0.35"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</row>
    <row r="3075" spans="8:18" x14ac:dyDescent="0.35"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</row>
    <row r="3076" spans="8:18" x14ac:dyDescent="0.35"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</row>
    <row r="3077" spans="8:18" x14ac:dyDescent="0.35"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</row>
    <row r="3078" spans="8:18" x14ac:dyDescent="0.35"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</row>
    <row r="3079" spans="8:18" x14ac:dyDescent="0.35"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</row>
    <row r="3080" spans="8:18" x14ac:dyDescent="0.35"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</row>
    <row r="3081" spans="8:18" x14ac:dyDescent="0.35"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</row>
    <row r="3082" spans="8:18" x14ac:dyDescent="0.35"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</row>
    <row r="3083" spans="8:18" x14ac:dyDescent="0.35"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</row>
    <row r="3084" spans="8:18" x14ac:dyDescent="0.35"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</row>
    <row r="3085" spans="8:18" x14ac:dyDescent="0.35"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</row>
    <row r="3086" spans="8:18" x14ac:dyDescent="0.35"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</row>
    <row r="3087" spans="8:18" x14ac:dyDescent="0.35"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</row>
    <row r="3088" spans="8:18" x14ac:dyDescent="0.35"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</row>
    <row r="3089" spans="8:18" x14ac:dyDescent="0.35"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</row>
    <row r="3090" spans="8:18" x14ac:dyDescent="0.35"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</row>
    <row r="3091" spans="8:18" x14ac:dyDescent="0.35"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</row>
    <row r="3092" spans="8:18" x14ac:dyDescent="0.35"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</row>
    <row r="3093" spans="8:18" x14ac:dyDescent="0.35"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</row>
    <row r="3094" spans="8:18" x14ac:dyDescent="0.35"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</row>
    <row r="3095" spans="8:18" x14ac:dyDescent="0.35"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</row>
    <row r="3096" spans="8:18" x14ac:dyDescent="0.35"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</row>
    <row r="3097" spans="8:18" x14ac:dyDescent="0.35"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</row>
    <row r="3098" spans="8:18" x14ac:dyDescent="0.35"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</row>
    <row r="3099" spans="8:18" x14ac:dyDescent="0.35"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</row>
    <row r="3100" spans="8:18" x14ac:dyDescent="0.35"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</row>
    <row r="3101" spans="8:18" x14ac:dyDescent="0.35"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</row>
    <row r="3102" spans="8:18" x14ac:dyDescent="0.35"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</row>
    <row r="3103" spans="8:18" x14ac:dyDescent="0.35"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</row>
    <row r="3104" spans="8:18" x14ac:dyDescent="0.35"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</row>
    <row r="3105" spans="8:18" x14ac:dyDescent="0.35"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</row>
    <row r="3106" spans="8:18" x14ac:dyDescent="0.35"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</row>
    <row r="3107" spans="8:18" x14ac:dyDescent="0.35"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</row>
    <row r="3108" spans="8:18" x14ac:dyDescent="0.35"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</row>
    <row r="3109" spans="8:18" x14ac:dyDescent="0.35"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</row>
    <row r="3110" spans="8:18" x14ac:dyDescent="0.35"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</row>
    <row r="3111" spans="8:18" x14ac:dyDescent="0.35"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</row>
    <row r="3112" spans="8:18" x14ac:dyDescent="0.35"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</row>
    <row r="3113" spans="8:18" x14ac:dyDescent="0.35"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</row>
    <row r="3114" spans="8:18" x14ac:dyDescent="0.35"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</row>
    <row r="3115" spans="8:18" x14ac:dyDescent="0.35"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</row>
    <row r="3116" spans="8:18" x14ac:dyDescent="0.35"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</row>
    <row r="3117" spans="8:18" x14ac:dyDescent="0.35"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</row>
    <row r="3118" spans="8:18" x14ac:dyDescent="0.35"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</row>
    <row r="3119" spans="8:18" x14ac:dyDescent="0.35"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</row>
    <row r="3120" spans="8:18" x14ac:dyDescent="0.35"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</row>
    <row r="3121" spans="8:18" x14ac:dyDescent="0.35"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</row>
    <row r="3122" spans="8:18" x14ac:dyDescent="0.35"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</row>
    <row r="3123" spans="8:18" x14ac:dyDescent="0.35"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</row>
    <row r="3124" spans="8:18" x14ac:dyDescent="0.35"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</row>
    <row r="3125" spans="8:18" x14ac:dyDescent="0.35"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</row>
    <row r="3126" spans="8:18" x14ac:dyDescent="0.35"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</row>
    <row r="3127" spans="8:18" x14ac:dyDescent="0.35"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</row>
    <row r="3128" spans="8:18" x14ac:dyDescent="0.35"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</row>
    <row r="3129" spans="8:18" x14ac:dyDescent="0.35"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</row>
    <row r="3130" spans="8:18" x14ac:dyDescent="0.35"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</row>
    <row r="3131" spans="8:18" x14ac:dyDescent="0.35"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</row>
    <row r="3132" spans="8:18" x14ac:dyDescent="0.35"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</row>
    <row r="3133" spans="8:18" x14ac:dyDescent="0.35"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</row>
    <row r="3134" spans="8:18" x14ac:dyDescent="0.35"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</row>
    <row r="3135" spans="8:18" x14ac:dyDescent="0.35"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</row>
    <row r="3136" spans="8:18" x14ac:dyDescent="0.35"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</row>
    <row r="3137" spans="8:18" x14ac:dyDescent="0.35"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</row>
    <row r="3138" spans="8:18" x14ac:dyDescent="0.35"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</row>
    <row r="3139" spans="8:18" x14ac:dyDescent="0.35"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</row>
    <row r="3140" spans="8:18" x14ac:dyDescent="0.35"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</row>
    <row r="3141" spans="8:18" x14ac:dyDescent="0.35"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</row>
    <row r="3142" spans="8:18" x14ac:dyDescent="0.35"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</row>
    <row r="3143" spans="8:18" x14ac:dyDescent="0.35"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</row>
    <row r="3144" spans="8:18" x14ac:dyDescent="0.35"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</row>
    <row r="3145" spans="8:18" x14ac:dyDescent="0.35"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</row>
    <row r="3146" spans="8:18" x14ac:dyDescent="0.35"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</row>
    <row r="3147" spans="8:18" x14ac:dyDescent="0.35"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</row>
    <row r="3148" spans="8:18" x14ac:dyDescent="0.35"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</row>
    <row r="3149" spans="8:18" x14ac:dyDescent="0.35"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</row>
    <row r="3150" spans="8:18" x14ac:dyDescent="0.35"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</row>
    <row r="3151" spans="8:18" x14ac:dyDescent="0.35"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</row>
    <row r="3152" spans="8:18" x14ac:dyDescent="0.35"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</row>
    <row r="3153" spans="8:18" x14ac:dyDescent="0.35"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</row>
    <row r="3154" spans="8:18" x14ac:dyDescent="0.35"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</row>
    <row r="3155" spans="8:18" x14ac:dyDescent="0.35"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</row>
    <row r="3156" spans="8:18" x14ac:dyDescent="0.35"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</row>
    <row r="3157" spans="8:18" x14ac:dyDescent="0.35"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</row>
    <row r="3158" spans="8:18" x14ac:dyDescent="0.35"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</row>
    <row r="3159" spans="8:18" x14ac:dyDescent="0.35"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</row>
    <row r="3160" spans="8:18" x14ac:dyDescent="0.35"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</row>
    <row r="3161" spans="8:18" x14ac:dyDescent="0.35"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</row>
    <row r="3162" spans="8:18" x14ac:dyDescent="0.35"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</row>
    <row r="3163" spans="8:18" x14ac:dyDescent="0.35"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</row>
    <row r="3164" spans="8:18" x14ac:dyDescent="0.35"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</row>
    <row r="3165" spans="8:18" x14ac:dyDescent="0.35"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</row>
    <row r="3166" spans="8:18" x14ac:dyDescent="0.35"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</row>
    <row r="3167" spans="8:18" x14ac:dyDescent="0.35"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</row>
    <row r="3168" spans="8:18" x14ac:dyDescent="0.35"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</row>
    <row r="3169" spans="8:18" x14ac:dyDescent="0.35"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</row>
    <row r="3170" spans="8:18" x14ac:dyDescent="0.35"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</row>
    <row r="3171" spans="8:18" x14ac:dyDescent="0.35"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</row>
    <row r="3172" spans="8:18" x14ac:dyDescent="0.35"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</row>
    <row r="3173" spans="8:18" x14ac:dyDescent="0.35"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</row>
    <row r="3174" spans="8:18" x14ac:dyDescent="0.35"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</row>
    <row r="3175" spans="8:18" x14ac:dyDescent="0.35"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</row>
    <row r="3176" spans="8:18" x14ac:dyDescent="0.35"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</row>
    <row r="3177" spans="8:18" x14ac:dyDescent="0.35"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</row>
    <row r="3178" spans="8:18" x14ac:dyDescent="0.35"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</row>
    <row r="3179" spans="8:18" x14ac:dyDescent="0.35"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</row>
    <row r="3180" spans="8:18" x14ac:dyDescent="0.35"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</row>
    <row r="3181" spans="8:18" x14ac:dyDescent="0.35"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</row>
    <row r="3182" spans="8:18" x14ac:dyDescent="0.35"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</row>
    <row r="3183" spans="8:18" x14ac:dyDescent="0.35"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</row>
    <row r="3184" spans="8:18" x14ac:dyDescent="0.35"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</row>
    <row r="3185" spans="8:18" x14ac:dyDescent="0.35"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</row>
    <row r="3186" spans="8:18" x14ac:dyDescent="0.35"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</row>
    <row r="3187" spans="8:18" x14ac:dyDescent="0.35"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</row>
    <row r="3188" spans="8:18" x14ac:dyDescent="0.35"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</row>
    <row r="3189" spans="8:18" x14ac:dyDescent="0.35"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</row>
    <row r="3190" spans="8:18" x14ac:dyDescent="0.35"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</row>
    <row r="3191" spans="8:18" x14ac:dyDescent="0.35"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</row>
    <row r="3192" spans="8:18" x14ac:dyDescent="0.35"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</row>
    <row r="3193" spans="8:18" x14ac:dyDescent="0.35"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</row>
    <row r="3194" spans="8:18" x14ac:dyDescent="0.35"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</row>
    <row r="3195" spans="8:18" x14ac:dyDescent="0.35"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</row>
    <row r="3196" spans="8:18" x14ac:dyDescent="0.35"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</row>
    <row r="3197" spans="8:18" x14ac:dyDescent="0.35"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</row>
    <row r="3198" spans="8:18" x14ac:dyDescent="0.35"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</row>
    <row r="3199" spans="8:18" x14ac:dyDescent="0.35"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</row>
    <row r="3200" spans="8:18" x14ac:dyDescent="0.35"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</row>
    <row r="3201" spans="8:18" x14ac:dyDescent="0.35"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</row>
    <row r="3202" spans="8:18" x14ac:dyDescent="0.35"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</row>
    <row r="3203" spans="8:18" x14ac:dyDescent="0.35"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</row>
    <row r="3204" spans="8:18" x14ac:dyDescent="0.35"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</row>
    <row r="3205" spans="8:18" x14ac:dyDescent="0.35"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</row>
    <row r="3206" spans="8:18" x14ac:dyDescent="0.35"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</row>
    <row r="3207" spans="8:18" x14ac:dyDescent="0.35"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</row>
    <row r="3208" spans="8:18" x14ac:dyDescent="0.35"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</row>
    <row r="3209" spans="8:18" x14ac:dyDescent="0.35"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</row>
    <row r="3210" spans="8:18" x14ac:dyDescent="0.35"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</row>
    <row r="3211" spans="8:18" x14ac:dyDescent="0.35"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</row>
    <row r="3212" spans="8:18" x14ac:dyDescent="0.35"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</row>
    <row r="3213" spans="8:18" x14ac:dyDescent="0.35"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</row>
    <row r="3214" spans="8:18" x14ac:dyDescent="0.35"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</row>
    <row r="3215" spans="8:18" x14ac:dyDescent="0.35"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</row>
    <row r="3216" spans="8:18" x14ac:dyDescent="0.35"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</row>
    <row r="3217" spans="8:18" x14ac:dyDescent="0.35"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</row>
    <row r="3218" spans="8:18" x14ac:dyDescent="0.35"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</row>
    <row r="3219" spans="8:18" x14ac:dyDescent="0.35"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</row>
    <row r="3220" spans="8:18" x14ac:dyDescent="0.35"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</row>
    <row r="3221" spans="8:18" x14ac:dyDescent="0.35"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</row>
    <row r="3222" spans="8:18" x14ac:dyDescent="0.35"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</row>
    <row r="3223" spans="8:18" x14ac:dyDescent="0.35"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</row>
    <row r="3224" spans="8:18" x14ac:dyDescent="0.35"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</row>
    <row r="3225" spans="8:18" x14ac:dyDescent="0.35"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</row>
    <row r="3226" spans="8:18" x14ac:dyDescent="0.35"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</row>
    <row r="3227" spans="8:18" x14ac:dyDescent="0.35"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</row>
    <row r="3228" spans="8:18" x14ac:dyDescent="0.35"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</row>
    <row r="3229" spans="8:18" x14ac:dyDescent="0.35"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</row>
    <row r="3230" spans="8:18" x14ac:dyDescent="0.35"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</row>
    <row r="3231" spans="8:18" x14ac:dyDescent="0.35"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</row>
    <row r="3232" spans="8:18" x14ac:dyDescent="0.35"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</row>
    <row r="3233" spans="8:18" x14ac:dyDescent="0.35"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</row>
    <row r="3234" spans="8:18" x14ac:dyDescent="0.35"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</row>
    <row r="3235" spans="8:18" x14ac:dyDescent="0.35"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</row>
    <row r="3236" spans="8:18" x14ac:dyDescent="0.35"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</row>
    <row r="3237" spans="8:18" x14ac:dyDescent="0.35"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</row>
    <row r="3238" spans="8:18" x14ac:dyDescent="0.35"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</row>
    <row r="3239" spans="8:18" x14ac:dyDescent="0.35"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</row>
    <row r="3240" spans="8:18" x14ac:dyDescent="0.35"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</row>
    <row r="3241" spans="8:18" x14ac:dyDescent="0.35"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</row>
    <row r="3242" spans="8:18" x14ac:dyDescent="0.35"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</row>
    <row r="3243" spans="8:18" x14ac:dyDescent="0.35"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</row>
    <row r="3244" spans="8:18" x14ac:dyDescent="0.35"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</row>
    <row r="3245" spans="8:18" x14ac:dyDescent="0.35"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</row>
    <row r="3246" spans="8:18" x14ac:dyDescent="0.35"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</row>
    <row r="3247" spans="8:18" x14ac:dyDescent="0.35"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</row>
    <row r="3248" spans="8:18" x14ac:dyDescent="0.35"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</row>
    <row r="3249" spans="8:18" x14ac:dyDescent="0.35"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</row>
    <row r="3250" spans="8:18" x14ac:dyDescent="0.35"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</row>
    <row r="3251" spans="8:18" x14ac:dyDescent="0.35"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</row>
    <row r="3252" spans="8:18" x14ac:dyDescent="0.35"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</row>
    <row r="3253" spans="8:18" x14ac:dyDescent="0.35"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</row>
    <row r="3254" spans="8:18" x14ac:dyDescent="0.35"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</row>
    <row r="3255" spans="8:18" x14ac:dyDescent="0.35"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</row>
    <row r="3256" spans="8:18" x14ac:dyDescent="0.35"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</row>
    <row r="3257" spans="8:18" x14ac:dyDescent="0.35"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</row>
    <row r="3258" spans="8:18" x14ac:dyDescent="0.35"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</row>
    <row r="3259" spans="8:18" x14ac:dyDescent="0.35"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</row>
    <row r="3260" spans="8:18" x14ac:dyDescent="0.35"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</row>
    <row r="3261" spans="8:18" x14ac:dyDescent="0.35"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</row>
    <row r="3262" spans="8:18" x14ac:dyDescent="0.35"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</row>
    <row r="3263" spans="8:18" x14ac:dyDescent="0.35"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</row>
    <row r="3264" spans="8:18" x14ac:dyDescent="0.35"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</row>
    <row r="3265" spans="8:18" x14ac:dyDescent="0.35"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</row>
    <row r="3266" spans="8:18" x14ac:dyDescent="0.35"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</row>
    <row r="3267" spans="8:18" x14ac:dyDescent="0.35"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</row>
    <row r="3268" spans="8:18" x14ac:dyDescent="0.35"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</row>
    <row r="3269" spans="8:18" x14ac:dyDescent="0.35"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</row>
    <row r="3270" spans="8:18" x14ac:dyDescent="0.35"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</row>
    <row r="3271" spans="8:18" x14ac:dyDescent="0.35"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</row>
    <row r="3272" spans="8:18" x14ac:dyDescent="0.35"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</row>
    <row r="3273" spans="8:18" x14ac:dyDescent="0.35"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</row>
    <row r="3274" spans="8:18" x14ac:dyDescent="0.35"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</row>
    <row r="3275" spans="8:18" x14ac:dyDescent="0.35"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</row>
    <row r="3276" spans="8:18" x14ac:dyDescent="0.35"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</row>
    <row r="3277" spans="8:18" x14ac:dyDescent="0.35"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</row>
    <row r="3278" spans="8:18" x14ac:dyDescent="0.35"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</row>
    <row r="3279" spans="8:18" x14ac:dyDescent="0.35"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</row>
    <row r="3280" spans="8:18" x14ac:dyDescent="0.35"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</row>
    <row r="3281" spans="8:18" x14ac:dyDescent="0.35"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</row>
    <row r="3282" spans="8:18" x14ac:dyDescent="0.35"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</row>
    <row r="3283" spans="8:18" x14ac:dyDescent="0.35"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</row>
    <row r="3284" spans="8:18" x14ac:dyDescent="0.35"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</row>
    <row r="3285" spans="8:18" x14ac:dyDescent="0.35"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</row>
    <row r="3286" spans="8:18" x14ac:dyDescent="0.35"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</row>
    <row r="3287" spans="8:18" x14ac:dyDescent="0.35"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</row>
    <row r="3288" spans="8:18" x14ac:dyDescent="0.35"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</row>
    <row r="3289" spans="8:18" x14ac:dyDescent="0.35"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</row>
    <row r="3290" spans="8:18" x14ac:dyDescent="0.35"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</row>
    <row r="3291" spans="8:18" x14ac:dyDescent="0.35"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</row>
    <row r="3292" spans="8:18" x14ac:dyDescent="0.35"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</row>
    <row r="3293" spans="8:18" x14ac:dyDescent="0.35"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</row>
    <row r="3294" spans="8:18" x14ac:dyDescent="0.35"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</row>
    <row r="3295" spans="8:18" x14ac:dyDescent="0.35"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</row>
    <row r="3296" spans="8:18" x14ac:dyDescent="0.35"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</row>
    <row r="3297" spans="8:18" x14ac:dyDescent="0.35"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</row>
    <row r="3298" spans="8:18" x14ac:dyDescent="0.35"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</row>
    <row r="3299" spans="8:18" x14ac:dyDescent="0.35"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</row>
    <row r="3300" spans="8:18" x14ac:dyDescent="0.35"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</row>
    <row r="3301" spans="8:18" x14ac:dyDescent="0.35"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</row>
    <row r="3302" spans="8:18" x14ac:dyDescent="0.35"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</row>
    <row r="3303" spans="8:18" x14ac:dyDescent="0.35"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</row>
    <row r="3304" spans="8:18" x14ac:dyDescent="0.35"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</row>
    <row r="3305" spans="8:18" x14ac:dyDescent="0.35"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</row>
    <row r="3306" spans="8:18" x14ac:dyDescent="0.35"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</row>
    <row r="3307" spans="8:18" x14ac:dyDescent="0.35"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</row>
    <row r="3308" spans="8:18" x14ac:dyDescent="0.35"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</row>
    <row r="3309" spans="8:18" x14ac:dyDescent="0.35"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</row>
    <row r="3310" spans="8:18" x14ac:dyDescent="0.35"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</row>
    <row r="3311" spans="8:18" x14ac:dyDescent="0.35"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</row>
    <row r="3312" spans="8:18" x14ac:dyDescent="0.35"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</row>
    <row r="3313" spans="8:18" x14ac:dyDescent="0.35"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</row>
    <row r="3314" spans="8:18" x14ac:dyDescent="0.35"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</row>
    <row r="3315" spans="8:18" x14ac:dyDescent="0.35"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</row>
    <row r="3316" spans="8:18" x14ac:dyDescent="0.35"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</row>
    <row r="3317" spans="8:18" x14ac:dyDescent="0.35"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</row>
    <row r="3318" spans="8:18" x14ac:dyDescent="0.35"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</row>
    <row r="3319" spans="8:18" x14ac:dyDescent="0.35"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</row>
    <row r="3320" spans="8:18" x14ac:dyDescent="0.35"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</row>
    <row r="3321" spans="8:18" x14ac:dyDescent="0.35"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</row>
    <row r="3322" spans="8:18" x14ac:dyDescent="0.35"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</row>
    <row r="3323" spans="8:18" x14ac:dyDescent="0.35"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</row>
    <row r="3324" spans="8:18" x14ac:dyDescent="0.35"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</row>
    <row r="3325" spans="8:18" x14ac:dyDescent="0.35"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</row>
    <row r="3326" spans="8:18" x14ac:dyDescent="0.35"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</row>
    <row r="3327" spans="8:18" x14ac:dyDescent="0.35"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</row>
    <row r="3328" spans="8:18" x14ac:dyDescent="0.35"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</row>
    <row r="3329" spans="8:18" x14ac:dyDescent="0.35"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</row>
    <row r="3330" spans="8:18" x14ac:dyDescent="0.35"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</row>
    <row r="3331" spans="8:18" x14ac:dyDescent="0.35"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</row>
    <row r="3332" spans="8:18" x14ac:dyDescent="0.35"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</row>
    <row r="3333" spans="8:18" x14ac:dyDescent="0.35"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</row>
    <row r="3334" spans="8:18" x14ac:dyDescent="0.35"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</row>
    <row r="3335" spans="8:18" x14ac:dyDescent="0.35"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</row>
    <row r="3336" spans="8:18" x14ac:dyDescent="0.35"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</row>
    <row r="3337" spans="8:18" x14ac:dyDescent="0.35"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</row>
    <row r="3338" spans="8:18" x14ac:dyDescent="0.35"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</row>
    <row r="3339" spans="8:18" x14ac:dyDescent="0.35"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</row>
    <row r="3340" spans="8:18" x14ac:dyDescent="0.35"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</row>
    <row r="3341" spans="8:18" x14ac:dyDescent="0.35"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</row>
    <row r="3342" spans="8:18" x14ac:dyDescent="0.35"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</row>
    <row r="3343" spans="8:18" x14ac:dyDescent="0.35"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</row>
    <row r="3344" spans="8:18" x14ac:dyDescent="0.35"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</row>
    <row r="3345" spans="8:18" x14ac:dyDescent="0.35"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</row>
    <row r="3346" spans="8:18" x14ac:dyDescent="0.35"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</row>
    <row r="3347" spans="8:18" x14ac:dyDescent="0.35"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</row>
    <row r="3348" spans="8:18" x14ac:dyDescent="0.35"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</row>
    <row r="3349" spans="8:18" x14ac:dyDescent="0.35"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</row>
    <row r="3350" spans="8:18" x14ac:dyDescent="0.35"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</row>
    <row r="3351" spans="8:18" x14ac:dyDescent="0.35"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</row>
    <row r="3352" spans="8:18" x14ac:dyDescent="0.35"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</row>
    <row r="3353" spans="8:18" x14ac:dyDescent="0.35"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</row>
    <row r="3354" spans="8:18" x14ac:dyDescent="0.35"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</row>
    <row r="3355" spans="8:18" x14ac:dyDescent="0.35"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</row>
    <row r="3356" spans="8:18" x14ac:dyDescent="0.35"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</row>
    <row r="3357" spans="8:18" x14ac:dyDescent="0.35"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</row>
    <row r="3358" spans="8:18" x14ac:dyDescent="0.35"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</row>
    <row r="3359" spans="8:18" x14ac:dyDescent="0.35"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</row>
    <row r="3360" spans="8:18" x14ac:dyDescent="0.35"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</row>
    <row r="3361" spans="8:18" x14ac:dyDescent="0.35"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</row>
    <row r="3362" spans="8:18" x14ac:dyDescent="0.35"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</row>
    <row r="3363" spans="8:18" x14ac:dyDescent="0.35"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</row>
    <row r="3364" spans="8:18" x14ac:dyDescent="0.35"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</row>
    <row r="3365" spans="8:18" x14ac:dyDescent="0.35"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</row>
    <row r="3366" spans="8:18" x14ac:dyDescent="0.35"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</row>
    <row r="3367" spans="8:18" x14ac:dyDescent="0.35"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</row>
    <row r="3368" spans="8:18" x14ac:dyDescent="0.35"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</row>
    <row r="3369" spans="8:18" x14ac:dyDescent="0.35"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</row>
    <row r="3370" spans="8:18" x14ac:dyDescent="0.35"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</row>
    <row r="3371" spans="8:18" x14ac:dyDescent="0.35"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</row>
    <row r="3372" spans="8:18" x14ac:dyDescent="0.35"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</row>
    <row r="3373" spans="8:18" x14ac:dyDescent="0.35"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</row>
    <row r="3374" spans="8:18" x14ac:dyDescent="0.35"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</row>
    <row r="3375" spans="8:18" x14ac:dyDescent="0.35"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</row>
    <row r="3376" spans="8:18" x14ac:dyDescent="0.35"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</row>
    <row r="3377" spans="8:18" x14ac:dyDescent="0.35"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</row>
    <row r="3378" spans="8:18" x14ac:dyDescent="0.35"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</row>
    <row r="3379" spans="8:18" x14ac:dyDescent="0.35"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</row>
    <row r="3380" spans="8:18" x14ac:dyDescent="0.35"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</row>
    <row r="3381" spans="8:18" x14ac:dyDescent="0.35"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</row>
    <row r="3382" spans="8:18" x14ac:dyDescent="0.35"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</row>
    <row r="3383" spans="8:18" x14ac:dyDescent="0.35"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</row>
    <row r="3384" spans="8:18" x14ac:dyDescent="0.35"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</row>
    <row r="3385" spans="8:18" x14ac:dyDescent="0.35"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</row>
    <row r="3386" spans="8:18" x14ac:dyDescent="0.35"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</row>
    <row r="3387" spans="8:18" x14ac:dyDescent="0.35"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</row>
    <row r="3388" spans="8:18" x14ac:dyDescent="0.35"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</row>
    <row r="3389" spans="8:18" x14ac:dyDescent="0.35"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</row>
    <row r="3390" spans="8:18" x14ac:dyDescent="0.35"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</row>
    <row r="3391" spans="8:18" x14ac:dyDescent="0.35"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</row>
    <row r="3392" spans="8:18" x14ac:dyDescent="0.35"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</row>
    <row r="3393" spans="8:18" x14ac:dyDescent="0.35"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</row>
    <row r="3394" spans="8:18" x14ac:dyDescent="0.35"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</row>
    <row r="3395" spans="8:18" x14ac:dyDescent="0.35"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</row>
    <row r="3396" spans="8:18" x14ac:dyDescent="0.35"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</row>
    <row r="3397" spans="8:18" x14ac:dyDescent="0.35"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</row>
    <row r="3398" spans="8:18" x14ac:dyDescent="0.35"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</row>
    <row r="3399" spans="8:18" x14ac:dyDescent="0.35"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</row>
    <row r="3400" spans="8:18" x14ac:dyDescent="0.35"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</row>
    <row r="3401" spans="8:18" x14ac:dyDescent="0.35"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</row>
    <row r="3402" spans="8:18" x14ac:dyDescent="0.35"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</row>
    <row r="3403" spans="8:18" x14ac:dyDescent="0.35"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</row>
    <row r="3404" spans="8:18" x14ac:dyDescent="0.35"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</row>
    <row r="3405" spans="8:18" x14ac:dyDescent="0.35"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</row>
    <row r="3406" spans="8:18" x14ac:dyDescent="0.35"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</row>
    <row r="3407" spans="8:18" x14ac:dyDescent="0.35"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</row>
    <row r="3408" spans="8:18" x14ac:dyDescent="0.35"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</row>
    <row r="3409" spans="8:18" x14ac:dyDescent="0.35"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</row>
    <row r="3410" spans="8:18" x14ac:dyDescent="0.35"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</row>
    <row r="3411" spans="8:18" x14ac:dyDescent="0.35"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</row>
    <row r="3412" spans="8:18" x14ac:dyDescent="0.35"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</row>
    <row r="3413" spans="8:18" x14ac:dyDescent="0.35"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</row>
    <row r="3414" spans="8:18" x14ac:dyDescent="0.35"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</row>
    <row r="3415" spans="8:18" x14ac:dyDescent="0.35"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</row>
    <row r="3416" spans="8:18" x14ac:dyDescent="0.35"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</row>
    <row r="3417" spans="8:18" x14ac:dyDescent="0.35"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</row>
    <row r="3418" spans="8:18" x14ac:dyDescent="0.35"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</row>
    <row r="3419" spans="8:18" x14ac:dyDescent="0.35"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</row>
    <row r="3420" spans="8:18" x14ac:dyDescent="0.35"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</row>
    <row r="3421" spans="8:18" x14ac:dyDescent="0.35"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</row>
    <row r="3422" spans="8:18" x14ac:dyDescent="0.35"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</row>
    <row r="3423" spans="8:18" x14ac:dyDescent="0.35"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</row>
    <row r="3424" spans="8:18" x14ac:dyDescent="0.35"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</row>
    <row r="3425" spans="8:18" x14ac:dyDescent="0.35"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</row>
    <row r="3426" spans="8:18" x14ac:dyDescent="0.35"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</row>
    <row r="3427" spans="8:18" x14ac:dyDescent="0.35"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</row>
    <row r="3428" spans="8:18" x14ac:dyDescent="0.35"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</row>
    <row r="3429" spans="8:18" x14ac:dyDescent="0.35"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</row>
    <row r="3430" spans="8:18" x14ac:dyDescent="0.35"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</row>
    <row r="3431" spans="8:18" x14ac:dyDescent="0.35"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</row>
    <row r="3432" spans="8:18" x14ac:dyDescent="0.35"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</row>
    <row r="3433" spans="8:18" x14ac:dyDescent="0.35"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</row>
    <row r="3434" spans="8:18" x14ac:dyDescent="0.35"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</row>
    <row r="3435" spans="8:18" x14ac:dyDescent="0.35"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</row>
    <row r="3436" spans="8:18" x14ac:dyDescent="0.35"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</row>
    <row r="3437" spans="8:18" x14ac:dyDescent="0.35"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</row>
    <row r="3438" spans="8:18" x14ac:dyDescent="0.35"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</row>
    <row r="3439" spans="8:18" x14ac:dyDescent="0.35"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</row>
    <row r="3440" spans="8:18" x14ac:dyDescent="0.35"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</row>
    <row r="3441" spans="8:18" x14ac:dyDescent="0.35"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</row>
    <row r="3442" spans="8:18" x14ac:dyDescent="0.35"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</row>
    <row r="3443" spans="8:18" x14ac:dyDescent="0.35"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</row>
    <row r="3444" spans="8:18" x14ac:dyDescent="0.35"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</row>
    <row r="3445" spans="8:18" x14ac:dyDescent="0.35"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</row>
    <row r="3446" spans="8:18" x14ac:dyDescent="0.35"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</row>
    <row r="3447" spans="8:18" x14ac:dyDescent="0.35"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</row>
    <row r="3448" spans="8:18" x14ac:dyDescent="0.35"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</row>
    <row r="3449" spans="8:18" x14ac:dyDescent="0.35"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</row>
    <row r="3450" spans="8:18" x14ac:dyDescent="0.35"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</row>
    <row r="3451" spans="8:18" x14ac:dyDescent="0.35"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</row>
    <row r="3452" spans="8:18" x14ac:dyDescent="0.35"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</row>
    <row r="3453" spans="8:18" x14ac:dyDescent="0.35"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</row>
    <row r="3454" spans="8:18" x14ac:dyDescent="0.35"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</row>
    <row r="3455" spans="8:18" x14ac:dyDescent="0.35"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</row>
    <row r="3456" spans="8:18" x14ac:dyDescent="0.35"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</row>
    <row r="3457" spans="8:18" x14ac:dyDescent="0.35"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</row>
    <row r="3458" spans="8:18" x14ac:dyDescent="0.35"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</row>
    <row r="3459" spans="8:18" x14ac:dyDescent="0.35"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</row>
    <row r="3460" spans="8:18" x14ac:dyDescent="0.35"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</row>
    <row r="3461" spans="8:18" x14ac:dyDescent="0.35"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</row>
    <row r="3462" spans="8:18" x14ac:dyDescent="0.35"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</row>
    <row r="3463" spans="8:18" x14ac:dyDescent="0.35"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</row>
    <row r="3464" spans="8:18" x14ac:dyDescent="0.35"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</row>
    <row r="3465" spans="8:18" x14ac:dyDescent="0.35"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</row>
    <row r="3466" spans="8:18" x14ac:dyDescent="0.35"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</row>
    <row r="3467" spans="8:18" x14ac:dyDescent="0.35"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</row>
    <row r="3468" spans="8:18" x14ac:dyDescent="0.35"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</row>
    <row r="3469" spans="8:18" x14ac:dyDescent="0.35"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</row>
    <row r="3470" spans="8:18" x14ac:dyDescent="0.35"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</row>
    <row r="3471" spans="8:18" x14ac:dyDescent="0.35"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</row>
    <row r="3472" spans="8:18" x14ac:dyDescent="0.35"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</row>
    <row r="3473" spans="8:18" x14ac:dyDescent="0.35"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</row>
    <row r="3474" spans="8:18" x14ac:dyDescent="0.35"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</row>
    <row r="3475" spans="8:18" x14ac:dyDescent="0.35"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</row>
    <row r="3476" spans="8:18" x14ac:dyDescent="0.35"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</row>
    <row r="3477" spans="8:18" x14ac:dyDescent="0.35"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</row>
    <row r="3478" spans="8:18" x14ac:dyDescent="0.35"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</row>
    <row r="3479" spans="8:18" x14ac:dyDescent="0.35"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</row>
    <row r="3480" spans="8:18" x14ac:dyDescent="0.35"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</row>
    <row r="3481" spans="8:18" x14ac:dyDescent="0.35"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</row>
    <row r="3482" spans="8:18" x14ac:dyDescent="0.35"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</row>
    <row r="3483" spans="8:18" x14ac:dyDescent="0.35"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</row>
    <row r="3484" spans="8:18" x14ac:dyDescent="0.35"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</row>
    <row r="3485" spans="8:18" x14ac:dyDescent="0.35"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</row>
    <row r="3486" spans="8:18" x14ac:dyDescent="0.35"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</row>
    <row r="3487" spans="8:18" x14ac:dyDescent="0.35"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</row>
    <row r="3488" spans="8:18" x14ac:dyDescent="0.35"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</row>
    <row r="3489" spans="8:18" x14ac:dyDescent="0.35"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</row>
    <row r="3490" spans="8:18" x14ac:dyDescent="0.35"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</row>
    <row r="3491" spans="8:18" x14ac:dyDescent="0.35"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</row>
    <row r="3492" spans="8:18" x14ac:dyDescent="0.35"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</row>
    <row r="3493" spans="8:18" x14ac:dyDescent="0.35"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</row>
    <row r="3494" spans="8:18" x14ac:dyDescent="0.35"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</row>
    <row r="3495" spans="8:18" x14ac:dyDescent="0.35"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</row>
    <row r="3496" spans="8:18" x14ac:dyDescent="0.35"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</row>
    <row r="3497" spans="8:18" x14ac:dyDescent="0.35"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</row>
    <row r="3498" spans="8:18" x14ac:dyDescent="0.35"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</row>
    <row r="3499" spans="8:18" x14ac:dyDescent="0.35"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</row>
    <row r="3500" spans="8:18" x14ac:dyDescent="0.35"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</row>
    <row r="3501" spans="8:18" x14ac:dyDescent="0.35"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</row>
    <row r="3502" spans="8:18" x14ac:dyDescent="0.35"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</row>
    <row r="3503" spans="8:18" x14ac:dyDescent="0.35"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</row>
    <row r="3504" spans="8:18" x14ac:dyDescent="0.35"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</row>
    <row r="3505" spans="8:18" x14ac:dyDescent="0.35"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</row>
    <row r="3506" spans="8:18" x14ac:dyDescent="0.35"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</row>
    <row r="3507" spans="8:18" x14ac:dyDescent="0.35"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</row>
    <row r="3508" spans="8:18" x14ac:dyDescent="0.35"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</row>
    <row r="3509" spans="8:18" x14ac:dyDescent="0.35"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</row>
    <row r="3510" spans="8:18" x14ac:dyDescent="0.35"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</row>
    <row r="3511" spans="8:18" x14ac:dyDescent="0.35"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</row>
    <row r="3512" spans="8:18" x14ac:dyDescent="0.35"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</row>
    <row r="3513" spans="8:18" x14ac:dyDescent="0.35"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</row>
    <row r="3514" spans="8:18" x14ac:dyDescent="0.35"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</row>
    <row r="3515" spans="8:18" x14ac:dyDescent="0.35"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</row>
    <row r="3516" spans="8:18" x14ac:dyDescent="0.35"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</row>
    <row r="3517" spans="8:18" x14ac:dyDescent="0.35"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</row>
    <row r="3518" spans="8:18" x14ac:dyDescent="0.35"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</row>
    <row r="3519" spans="8:18" x14ac:dyDescent="0.35"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</row>
    <row r="3520" spans="8:18" x14ac:dyDescent="0.35"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</row>
    <row r="3521" spans="8:18" x14ac:dyDescent="0.35"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</row>
    <row r="3522" spans="8:18" x14ac:dyDescent="0.35"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</row>
    <row r="3523" spans="8:18" x14ac:dyDescent="0.35"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</row>
    <row r="3524" spans="8:18" x14ac:dyDescent="0.35"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</row>
    <row r="3525" spans="8:18" x14ac:dyDescent="0.35"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</row>
    <row r="3526" spans="8:18" x14ac:dyDescent="0.35"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</row>
    <row r="3527" spans="8:18" x14ac:dyDescent="0.35"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</row>
    <row r="3528" spans="8:18" x14ac:dyDescent="0.35"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</row>
    <row r="3529" spans="8:18" x14ac:dyDescent="0.35"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</row>
    <row r="3530" spans="8:18" x14ac:dyDescent="0.35"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</row>
    <row r="3531" spans="8:18" x14ac:dyDescent="0.35"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</row>
    <row r="3532" spans="8:18" x14ac:dyDescent="0.35"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</row>
    <row r="3533" spans="8:18" x14ac:dyDescent="0.35"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</row>
    <row r="3534" spans="8:18" x14ac:dyDescent="0.35"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</row>
    <row r="3535" spans="8:18" x14ac:dyDescent="0.35"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</row>
    <row r="3536" spans="8:18" x14ac:dyDescent="0.35"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</row>
    <row r="3537" spans="8:18" x14ac:dyDescent="0.35"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</row>
    <row r="3538" spans="8:18" x14ac:dyDescent="0.35"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</row>
    <row r="3539" spans="8:18" x14ac:dyDescent="0.35"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</row>
    <row r="3540" spans="8:18" x14ac:dyDescent="0.35"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</row>
    <row r="3541" spans="8:18" x14ac:dyDescent="0.35"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</row>
    <row r="3542" spans="8:18" x14ac:dyDescent="0.35"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</row>
    <row r="3543" spans="8:18" x14ac:dyDescent="0.35"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</row>
    <row r="3544" spans="8:18" x14ac:dyDescent="0.35"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</row>
    <row r="3545" spans="8:18" x14ac:dyDescent="0.35"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</row>
    <row r="3546" spans="8:18" x14ac:dyDescent="0.35"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</row>
    <row r="3547" spans="8:18" x14ac:dyDescent="0.35"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</row>
    <row r="3548" spans="8:18" x14ac:dyDescent="0.35"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</row>
    <row r="3549" spans="8:18" x14ac:dyDescent="0.35"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</row>
    <row r="3550" spans="8:18" x14ac:dyDescent="0.35"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</row>
    <row r="3551" spans="8:18" x14ac:dyDescent="0.35"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</row>
    <row r="3552" spans="8:18" x14ac:dyDescent="0.35"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</row>
    <row r="3553" spans="8:18" x14ac:dyDescent="0.35"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</row>
    <row r="3554" spans="8:18" x14ac:dyDescent="0.35"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</row>
    <row r="3555" spans="8:18" x14ac:dyDescent="0.35"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</row>
    <row r="3556" spans="8:18" x14ac:dyDescent="0.35"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</row>
    <row r="3557" spans="8:18" x14ac:dyDescent="0.35"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</row>
    <row r="3558" spans="8:18" x14ac:dyDescent="0.35"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</row>
    <row r="3559" spans="8:18" x14ac:dyDescent="0.35"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</row>
    <row r="3560" spans="8:18" x14ac:dyDescent="0.35"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</row>
    <row r="3561" spans="8:18" x14ac:dyDescent="0.35"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</row>
    <row r="3562" spans="8:18" x14ac:dyDescent="0.35"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</row>
    <row r="3563" spans="8:18" x14ac:dyDescent="0.35"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</row>
    <row r="3564" spans="8:18" x14ac:dyDescent="0.35"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</row>
    <row r="3565" spans="8:18" x14ac:dyDescent="0.35"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</row>
    <row r="3566" spans="8:18" x14ac:dyDescent="0.35"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</row>
    <row r="3567" spans="8:18" x14ac:dyDescent="0.35"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</row>
    <row r="3568" spans="8:18" x14ac:dyDescent="0.35"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</row>
    <row r="3569" spans="8:18" x14ac:dyDescent="0.35"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</row>
    <row r="3570" spans="8:18" x14ac:dyDescent="0.35"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</row>
    <row r="3571" spans="8:18" x14ac:dyDescent="0.35"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</row>
    <row r="3572" spans="8:18" x14ac:dyDescent="0.35"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</row>
    <row r="3573" spans="8:18" x14ac:dyDescent="0.35"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</row>
    <row r="3574" spans="8:18" x14ac:dyDescent="0.35"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</row>
    <row r="3575" spans="8:18" x14ac:dyDescent="0.35"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</row>
    <row r="3576" spans="8:18" x14ac:dyDescent="0.35"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</row>
    <row r="3577" spans="8:18" x14ac:dyDescent="0.35"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</row>
    <row r="3578" spans="8:18" x14ac:dyDescent="0.35"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</row>
    <row r="3579" spans="8:18" x14ac:dyDescent="0.35"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</row>
    <row r="3580" spans="8:18" x14ac:dyDescent="0.35"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</row>
    <row r="3581" spans="8:18" x14ac:dyDescent="0.35"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</row>
    <row r="3582" spans="8:18" x14ac:dyDescent="0.35"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</row>
    <row r="3583" spans="8:18" x14ac:dyDescent="0.35"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</row>
    <row r="3584" spans="8:18" x14ac:dyDescent="0.35"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</row>
    <row r="3585" spans="8:18" x14ac:dyDescent="0.35"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</row>
    <row r="3586" spans="8:18" x14ac:dyDescent="0.35"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</row>
    <row r="3587" spans="8:18" x14ac:dyDescent="0.35"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</row>
    <row r="3588" spans="8:18" x14ac:dyDescent="0.35"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</row>
    <row r="3589" spans="8:18" x14ac:dyDescent="0.35"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</row>
    <row r="3590" spans="8:18" x14ac:dyDescent="0.35"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</row>
    <row r="3591" spans="8:18" x14ac:dyDescent="0.35"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</row>
    <row r="3592" spans="8:18" x14ac:dyDescent="0.35"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</row>
    <row r="3593" spans="8:18" x14ac:dyDescent="0.35"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</row>
    <row r="3594" spans="8:18" x14ac:dyDescent="0.35"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</row>
    <row r="3595" spans="8:18" x14ac:dyDescent="0.35"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</row>
    <row r="3596" spans="8:18" x14ac:dyDescent="0.35"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</row>
    <row r="3597" spans="8:18" x14ac:dyDescent="0.35"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</row>
    <row r="3598" spans="8:18" x14ac:dyDescent="0.35"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</row>
    <row r="3599" spans="8:18" x14ac:dyDescent="0.35"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</row>
    <row r="3600" spans="8:18" x14ac:dyDescent="0.35"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</row>
    <row r="3601" spans="8:18" x14ac:dyDescent="0.35"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</row>
    <row r="3602" spans="8:18" x14ac:dyDescent="0.35"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</row>
    <row r="3603" spans="8:18" x14ac:dyDescent="0.35"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</row>
    <row r="3604" spans="8:18" x14ac:dyDescent="0.35"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</row>
    <row r="3605" spans="8:18" x14ac:dyDescent="0.35"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</row>
    <row r="3606" spans="8:18" x14ac:dyDescent="0.35"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</row>
    <row r="3607" spans="8:18" x14ac:dyDescent="0.35"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</row>
    <row r="3608" spans="8:18" x14ac:dyDescent="0.35"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</row>
    <row r="3609" spans="8:18" x14ac:dyDescent="0.35"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</row>
    <row r="3610" spans="8:18" x14ac:dyDescent="0.35"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</row>
    <row r="3611" spans="8:18" x14ac:dyDescent="0.35"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</row>
    <row r="3612" spans="8:18" x14ac:dyDescent="0.35"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</row>
    <row r="3613" spans="8:18" x14ac:dyDescent="0.35"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</row>
    <row r="3614" spans="8:18" x14ac:dyDescent="0.35"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</row>
    <row r="3615" spans="8:18" x14ac:dyDescent="0.35"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</row>
    <row r="3616" spans="8:18" x14ac:dyDescent="0.35"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</row>
    <row r="3617" spans="8:18" x14ac:dyDescent="0.35"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</row>
    <row r="3618" spans="8:18" x14ac:dyDescent="0.35"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</row>
    <row r="3619" spans="8:18" x14ac:dyDescent="0.35"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</row>
    <row r="3620" spans="8:18" x14ac:dyDescent="0.35"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</row>
    <row r="3621" spans="8:18" x14ac:dyDescent="0.35"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</row>
    <row r="3622" spans="8:18" x14ac:dyDescent="0.35"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</row>
    <row r="3623" spans="8:18" x14ac:dyDescent="0.35"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</row>
    <row r="3624" spans="8:18" x14ac:dyDescent="0.35"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</row>
    <row r="3625" spans="8:18" x14ac:dyDescent="0.35"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</row>
    <row r="3626" spans="8:18" x14ac:dyDescent="0.35"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</row>
    <row r="3627" spans="8:18" x14ac:dyDescent="0.35"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</row>
    <row r="3628" spans="8:18" x14ac:dyDescent="0.35"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</row>
    <row r="3629" spans="8:18" x14ac:dyDescent="0.35"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</row>
    <row r="3630" spans="8:18" x14ac:dyDescent="0.35"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</row>
    <row r="3631" spans="8:18" x14ac:dyDescent="0.35"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</row>
    <row r="3632" spans="8:18" x14ac:dyDescent="0.35"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</row>
    <row r="3633" spans="8:18" x14ac:dyDescent="0.35"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</row>
    <row r="3634" spans="8:18" x14ac:dyDescent="0.35"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</row>
    <row r="3635" spans="8:18" x14ac:dyDescent="0.35"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</row>
    <row r="3636" spans="8:18" x14ac:dyDescent="0.35"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</row>
    <row r="3637" spans="8:18" x14ac:dyDescent="0.35"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</row>
    <row r="3638" spans="8:18" x14ac:dyDescent="0.35"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</row>
    <row r="3639" spans="8:18" x14ac:dyDescent="0.35"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</row>
    <row r="3640" spans="8:18" x14ac:dyDescent="0.35"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</row>
    <row r="3641" spans="8:18" x14ac:dyDescent="0.35"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</row>
    <row r="3642" spans="8:18" x14ac:dyDescent="0.35"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</row>
    <row r="3643" spans="8:18" x14ac:dyDescent="0.35"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</row>
    <row r="3644" spans="8:18" x14ac:dyDescent="0.35"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</row>
    <row r="3645" spans="8:18" x14ac:dyDescent="0.35"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</row>
    <row r="3646" spans="8:18" x14ac:dyDescent="0.35"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</row>
    <row r="3647" spans="8:18" x14ac:dyDescent="0.35"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</row>
    <row r="3648" spans="8:18" x14ac:dyDescent="0.35"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</row>
    <row r="3649" spans="8:18" x14ac:dyDescent="0.35"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</row>
    <row r="3650" spans="8:18" x14ac:dyDescent="0.35"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</row>
    <row r="3651" spans="8:18" x14ac:dyDescent="0.35"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</row>
    <row r="3652" spans="8:18" x14ac:dyDescent="0.35"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</row>
    <row r="3653" spans="8:18" x14ac:dyDescent="0.35"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</row>
    <row r="3654" spans="8:18" x14ac:dyDescent="0.35"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</row>
    <row r="3655" spans="8:18" x14ac:dyDescent="0.35"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</row>
    <row r="3656" spans="8:18" x14ac:dyDescent="0.35"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</row>
    <row r="3657" spans="8:18" x14ac:dyDescent="0.35"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</row>
    <row r="3658" spans="8:18" x14ac:dyDescent="0.35"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</row>
    <row r="3659" spans="8:18" x14ac:dyDescent="0.35"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</row>
    <row r="3660" spans="8:18" x14ac:dyDescent="0.35"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</row>
    <row r="3661" spans="8:18" x14ac:dyDescent="0.35"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</row>
    <row r="3662" spans="8:18" x14ac:dyDescent="0.35"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</row>
    <row r="3663" spans="8:18" x14ac:dyDescent="0.35"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</row>
    <row r="3664" spans="8:18" x14ac:dyDescent="0.35"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</row>
    <row r="3665" spans="8:18" x14ac:dyDescent="0.35"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</row>
    <row r="3666" spans="8:18" x14ac:dyDescent="0.35"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</row>
    <row r="3667" spans="8:18" x14ac:dyDescent="0.35"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</row>
    <row r="3668" spans="8:18" x14ac:dyDescent="0.35"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</row>
    <row r="3669" spans="8:18" x14ac:dyDescent="0.35"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</row>
    <row r="3670" spans="8:18" x14ac:dyDescent="0.35"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</row>
    <row r="3671" spans="8:18" x14ac:dyDescent="0.35"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</row>
    <row r="3672" spans="8:18" x14ac:dyDescent="0.35"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</row>
    <row r="3673" spans="8:18" x14ac:dyDescent="0.35"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</row>
    <row r="3674" spans="8:18" x14ac:dyDescent="0.35"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</row>
    <row r="3675" spans="8:18" x14ac:dyDescent="0.35"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</row>
    <row r="3676" spans="8:18" x14ac:dyDescent="0.35"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</row>
    <row r="3677" spans="8:18" x14ac:dyDescent="0.35"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</row>
    <row r="3678" spans="8:18" x14ac:dyDescent="0.35"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</row>
    <row r="3679" spans="8:18" x14ac:dyDescent="0.35"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</row>
    <row r="3680" spans="8:18" x14ac:dyDescent="0.35"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</row>
    <row r="3681" spans="8:18" x14ac:dyDescent="0.35"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</row>
    <row r="3682" spans="8:18" x14ac:dyDescent="0.35"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</row>
    <row r="3683" spans="8:18" x14ac:dyDescent="0.35"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</row>
    <row r="3684" spans="8:18" x14ac:dyDescent="0.35"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</row>
    <row r="3685" spans="8:18" x14ac:dyDescent="0.35"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</row>
    <row r="3686" spans="8:18" x14ac:dyDescent="0.35"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</row>
    <row r="3687" spans="8:18" x14ac:dyDescent="0.35"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</row>
    <row r="3688" spans="8:18" x14ac:dyDescent="0.35"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</row>
    <row r="3689" spans="8:18" x14ac:dyDescent="0.35"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</row>
    <row r="3690" spans="8:18" x14ac:dyDescent="0.35"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</row>
    <row r="3691" spans="8:18" x14ac:dyDescent="0.35"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</row>
    <row r="3692" spans="8:18" x14ac:dyDescent="0.35"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</row>
    <row r="3693" spans="8:18" x14ac:dyDescent="0.35"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</row>
    <row r="3694" spans="8:18" x14ac:dyDescent="0.35"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</row>
    <row r="3695" spans="8:18" x14ac:dyDescent="0.35"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</row>
    <row r="3696" spans="8:18" x14ac:dyDescent="0.35"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</row>
    <row r="3697" spans="8:18" x14ac:dyDescent="0.35"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</row>
    <row r="3698" spans="8:18" x14ac:dyDescent="0.35"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</row>
    <row r="3699" spans="8:18" x14ac:dyDescent="0.35"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</row>
    <row r="3700" spans="8:18" x14ac:dyDescent="0.35"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</row>
    <row r="3701" spans="8:18" x14ac:dyDescent="0.35"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</row>
    <row r="3702" spans="8:18" x14ac:dyDescent="0.35"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</row>
    <row r="3703" spans="8:18" x14ac:dyDescent="0.35"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</row>
    <row r="3704" spans="8:18" x14ac:dyDescent="0.35"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</row>
    <row r="3705" spans="8:18" x14ac:dyDescent="0.35"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</row>
    <row r="3706" spans="8:18" x14ac:dyDescent="0.35"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</row>
    <row r="3707" spans="8:18" x14ac:dyDescent="0.35"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</row>
    <row r="3708" spans="8:18" x14ac:dyDescent="0.35"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</row>
    <row r="3709" spans="8:18" x14ac:dyDescent="0.35"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</row>
    <row r="3710" spans="8:18" x14ac:dyDescent="0.35"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</row>
    <row r="3711" spans="8:18" x14ac:dyDescent="0.35"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</row>
    <row r="3712" spans="8:18" x14ac:dyDescent="0.35"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</row>
    <row r="3713" spans="8:18" x14ac:dyDescent="0.35"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</row>
    <row r="3714" spans="8:18" x14ac:dyDescent="0.35"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</row>
    <row r="3715" spans="8:18" x14ac:dyDescent="0.35"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</row>
    <row r="3716" spans="8:18" x14ac:dyDescent="0.35"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</row>
    <row r="3717" spans="8:18" x14ac:dyDescent="0.35"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</row>
    <row r="3718" spans="8:18" x14ac:dyDescent="0.35"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</row>
    <row r="3719" spans="8:18" x14ac:dyDescent="0.35"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</row>
    <row r="3720" spans="8:18" x14ac:dyDescent="0.35"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</row>
    <row r="3721" spans="8:18" x14ac:dyDescent="0.35"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</row>
    <row r="3722" spans="8:18" x14ac:dyDescent="0.35"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</row>
    <row r="3723" spans="8:18" x14ac:dyDescent="0.35"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</row>
    <row r="3724" spans="8:18" x14ac:dyDescent="0.35"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</row>
    <row r="3725" spans="8:18" x14ac:dyDescent="0.35"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</row>
    <row r="3726" spans="8:18" x14ac:dyDescent="0.35"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</row>
    <row r="3727" spans="8:18" x14ac:dyDescent="0.35"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</row>
    <row r="3728" spans="8:18" x14ac:dyDescent="0.35"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</row>
    <row r="3729" spans="8:18" x14ac:dyDescent="0.35"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</row>
    <row r="3730" spans="8:18" x14ac:dyDescent="0.35"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</row>
    <row r="3731" spans="8:18" x14ac:dyDescent="0.35"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</row>
    <row r="3732" spans="8:18" x14ac:dyDescent="0.35"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</row>
    <row r="3733" spans="8:18" x14ac:dyDescent="0.35"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</row>
    <row r="3734" spans="8:18" x14ac:dyDescent="0.35"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</row>
    <row r="3735" spans="8:18" x14ac:dyDescent="0.35"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</row>
    <row r="3736" spans="8:18" x14ac:dyDescent="0.35"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</row>
    <row r="3737" spans="8:18" x14ac:dyDescent="0.35"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</row>
    <row r="3738" spans="8:18" x14ac:dyDescent="0.35"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</row>
    <row r="3739" spans="8:18" x14ac:dyDescent="0.35"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</row>
    <row r="3740" spans="8:18" x14ac:dyDescent="0.35"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</row>
    <row r="3741" spans="8:18" x14ac:dyDescent="0.35"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</row>
    <row r="3742" spans="8:18" x14ac:dyDescent="0.35"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</row>
    <row r="3743" spans="8:18" x14ac:dyDescent="0.35"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</row>
    <row r="3744" spans="8:18" x14ac:dyDescent="0.35"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</row>
    <row r="3745" spans="8:18" x14ac:dyDescent="0.35"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</row>
    <row r="3746" spans="8:18" x14ac:dyDescent="0.35"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</row>
    <row r="3747" spans="8:18" x14ac:dyDescent="0.35"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</row>
    <row r="3748" spans="8:18" x14ac:dyDescent="0.35"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</row>
    <row r="3749" spans="8:18" x14ac:dyDescent="0.35"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</row>
    <row r="3750" spans="8:18" x14ac:dyDescent="0.35"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</row>
    <row r="3751" spans="8:18" x14ac:dyDescent="0.35"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</row>
    <row r="3752" spans="8:18" x14ac:dyDescent="0.35"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</row>
    <row r="3753" spans="8:18" x14ac:dyDescent="0.35"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</row>
    <row r="3754" spans="8:18" x14ac:dyDescent="0.35"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</row>
    <row r="3755" spans="8:18" x14ac:dyDescent="0.35"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</row>
    <row r="3756" spans="8:18" x14ac:dyDescent="0.35"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</row>
    <row r="3757" spans="8:18" x14ac:dyDescent="0.35"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</row>
    <row r="3758" spans="8:18" x14ac:dyDescent="0.35"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</row>
    <row r="3759" spans="8:18" x14ac:dyDescent="0.35"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</row>
    <row r="3760" spans="8:18" x14ac:dyDescent="0.35"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</row>
    <row r="3761" spans="8:18" x14ac:dyDescent="0.35"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</row>
    <row r="3762" spans="8:18" x14ac:dyDescent="0.35"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</row>
    <row r="3763" spans="8:18" x14ac:dyDescent="0.35"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</row>
    <row r="3764" spans="8:18" x14ac:dyDescent="0.35"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</row>
    <row r="3765" spans="8:18" x14ac:dyDescent="0.35"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</row>
    <row r="3766" spans="8:18" x14ac:dyDescent="0.35"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</row>
    <row r="3767" spans="8:18" x14ac:dyDescent="0.35"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</row>
    <row r="3768" spans="8:18" x14ac:dyDescent="0.35"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</row>
    <row r="3769" spans="8:18" x14ac:dyDescent="0.35"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</row>
    <row r="3770" spans="8:18" x14ac:dyDescent="0.35"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</row>
    <row r="3771" spans="8:18" x14ac:dyDescent="0.35"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</row>
    <row r="3772" spans="8:18" x14ac:dyDescent="0.35"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</row>
    <row r="3773" spans="8:18" x14ac:dyDescent="0.35"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</row>
    <row r="3774" spans="8:18" x14ac:dyDescent="0.35"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</row>
    <row r="3775" spans="8:18" x14ac:dyDescent="0.35"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</row>
    <row r="3776" spans="8:18" x14ac:dyDescent="0.35"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</row>
    <row r="3777" spans="8:18" x14ac:dyDescent="0.35"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</row>
    <row r="3778" spans="8:18" x14ac:dyDescent="0.35"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</row>
    <row r="3779" spans="8:18" x14ac:dyDescent="0.35"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</row>
    <row r="3780" spans="8:18" x14ac:dyDescent="0.35"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</row>
    <row r="3781" spans="8:18" x14ac:dyDescent="0.35"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</row>
    <row r="3782" spans="8:18" x14ac:dyDescent="0.35"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</row>
    <row r="3783" spans="8:18" x14ac:dyDescent="0.35"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</row>
    <row r="3784" spans="8:18" x14ac:dyDescent="0.35"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</row>
    <row r="3785" spans="8:18" x14ac:dyDescent="0.35"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</row>
    <row r="3786" spans="8:18" x14ac:dyDescent="0.35"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</row>
    <row r="3787" spans="8:18" x14ac:dyDescent="0.35"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</row>
    <row r="3788" spans="8:18" x14ac:dyDescent="0.35"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</row>
    <row r="3789" spans="8:18" x14ac:dyDescent="0.35"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</row>
    <row r="3790" spans="8:18" x14ac:dyDescent="0.35"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</row>
    <row r="3791" spans="8:18" x14ac:dyDescent="0.35"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</row>
    <row r="3792" spans="8:18" x14ac:dyDescent="0.35"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</row>
    <row r="3793" spans="8:18" x14ac:dyDescent="0.35"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</row>
    <row r="3794" spans="8:18" x14ac:dyDescent="0.35"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</row>
    <row r="3795" spans="8:18" x14ac:dyDescent="0.35"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</row>
    <row r="3796" spans="8:18" x14ac:dyDescent="0.35"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</row>
    <row r="3797" spans="8:18" x14ac:dyDescent="0.35"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</row>
    <row r="3798" spans="8:18" x14ac:dyDescent="0.35"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</row>
    <row r="3799" spans="8:18" x14ac:dyDescent="0.35"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</row>
    <row r="3800" spans="8:18" x14ac:dyDescent="0.35"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</row>
    <row r="3801" spans="8:18" x14ac:dyDescent="0.35"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</row>
    <row r="3802" spans="8:18" x14ac:dyDescent="0.35"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</row>
    <row r="3803" spans="8:18" x14ac:dyDescent="0.35"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</row>
    <row r="3804" spans="8:18" x14ac:dyDescent="0.35"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</row>
    <row r="3805" spans="8:18" x14ac:dyDescent="0.35"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</row>
    <row r="3806" spans="8:18" x14ac:dyDescent="0.35"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</row>
    <row r="3807" spans="8:18" x14ac:dyDescent="0.35"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</row>
    <row r="3808" spans="8:18" x14ac:dyDescent="0.35"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</row>
    <row r="3809" spans="8:18" x14ac:dyDescent="0.35"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</row>
    <row r="3810" spans="8:18" x14ac:dyDescent="0.35"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</row>
    <row r="3811" spans="8:18" x14ac:dyDescent="0.35"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</row>
    <row r="3812" spans="8:18" x14ac:dyDescent="0.35"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</row>
    <row r="3813" spans="8:18" x14ac:dyDescent="0.35"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</row>
    <row r="3814" spans="8:18" x14ac:dyDescent="0.35"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</row>
    <row r="3815" spans="8:18" x14ac:dyDescent="0.35"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</row>
    <row r="3816" spans="8:18" x14ac:dyDescent="0.35"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</row>
    <row r="3817" spans="8:18" x14ac:dyDescent="0.35"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</row>
    <row r="3818" spans="8:18" x14ac:dyDescent="0.35"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</row>
    <row r="3819" spans="8:18" x14ac:dyDescent="0.35"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</row>
    <row r="3820" spans="8:18" x14ac:dyDescent="0.35"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</row>
    <row r="3821" spans="8:18" x14ac:dyDescent="0.35"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</row>
    <row r="3822" spans="8:18" x14ac:dyDescent="0.35"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</row>
    <row r="3823" spans="8:18" x14ac:dyDescent="0.35"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</row>
    <row r="3824" spans="8:18" x14ac:dyDescent="0.35"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</row>
    <row r="3825" spans="8:18" x14ac:dyDescent="0.35"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</row>
    <row r="3826" spans="8:18" x14ac:dyDescent="0.35"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</row>
    <row r="3827" spans="8:18" x14ac:dyDescent="0.35"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</row>
    <row r="3828" spans="8:18" x14ac:dyDescent="0.35"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</row>
    <row r="3829" spans="8:18" x14ac:dyDescent="0.35"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</row>
    <row r="3830" spans="8:18" x14ac:dyDescent="0.35"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</row>
    <row r="3831" spans="8:18" x14ac:dyDescent="0.35"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</row>
    <row r="3832" spans="8:18" x14ac:dyDescent="0.35"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</row>
    <row r="3833" spans="8:18" x14ac:dyDescent="0.35"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</row>
    <row r="3834" spans="8:18" x14ac:dyDescent="0.35"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</row>
    <row r="3835" spans="8:18" x14ac:dyDescent="0.35"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</row>
    <row r="3836" spans="8:18" x14ac:dyDescent="0.35"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</row>
    <row r="3837" spans="8:18" x14ac:dyDescent="0.35"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</row>
    <row r="3838" spans="8:18" x14ac:dyDescent="0.35"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</row>
    <row r="3839" spans="8:18" x14ac:dyDescent="0.35"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</row>
    <row r="3840" spans="8:18" x14ac:dyDescent="0.35"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</row>
    <row r="3841" spans="8:18" x14ac:dyDescent="0.35"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</row>
    <row r="3842" spans="8:18" x14ac:dyDescent="0.35"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</row>
    <row r="3843" spans="8:18" x14ac:dyDescent="0.35"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</row>
    <row r="3844" spans="8:18" x14ac:dyDescent="0.35"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</row>
    <row r="3845" spans="8:18" x14ac:dyDescent="0.35"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</row>
    <row r="3846" spans="8:18" x14ac:dyDescent="0.35"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</row>
    <row r="3847" spans="8:18" x14ac:dyDescent="0.35"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</row>
    <row r="3848" spans="8:18" x14ac:dyDescent="0.35"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</row>
    <row r="3849" spans="8:18" x14ac:dyDescent="0.35"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</row>
    <row r="3850" spans="8:18" x14ac:dyDescent="0.35"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</row>
    <row r="3851" spans="8:18" x14ac:dyDescent="0.35"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</row>
    <row r="3852" spans="8:18" x14ac:dyDescent="0.35"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</row>
    <row r="3853" spans="8:18" x14ac:dyDescent="0.35"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</row>
    <row r="3854" spans="8:18" x14ac:dyDescent="0.35"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</row>
    <row r="3855" spans="8:18" x14ac:dyDescent="0.35"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</row>
    <row r="3856" spans="8:18" x14ac:dyDescent="0.35"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</row>
    <row r="3857" spans="8:18" x14ac:dyDescent="0.35"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</row>
    <row r="3858" spans="8:18" x14ac:dyDescent="0.35"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</row>
    <row r="3859" spans="8:18" x14ac:dyDescent="0.35"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</row>
    <row r="3860" spans="8:18" x14ac:dyDescent="0.35"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</row>
    <row r="3861" spans="8:18" x14ac:dyDescent="0.35"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</row>
    <row r="3862" spans="8:18" x14ac:dyDescent="0.35"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</row>
    <row r="3863" spans="8:18" x14ac:dyDescent="0.35"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</row>
    <row r="3864" spans="8:18" x14ac:dyDescent="0.35"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</row>
    <row r="3865" spans="8:18" x14ac:dyDescent="0.35"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</row>
    <row r="3866" spans="8:18" x14ac:dyDescent="0.35"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</row>
    <row r="3867" spans="8:18" x14ac:dyDescent="0.35"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</row>
    <row r="3868" spans="8:18" x14ac:dyDescent="0.35"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</row>
    <row r="3869" spans="8:18" x14ac:dyDescent="0.35"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</row>
    <row r="3870" spans="8:18" x14ac:dyDescent="0.35"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</row>
    <row r="3871" spans="8:18" x14ac:dyDescent="0.35"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</row>
    <row r="3872" spans="8:18" x14ac:dyDescent="0.35"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</row>
    <row r="3873" spans="8:18" x14ac:dyDescent="0.35"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</row>
    <row r="3874" spans="8:18" x14ac:dyDescent="0.35"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</row>
    <row r="3875" spans="8:18" x14ac:dyDescent="0.35"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</row>
    <row r="3876" spans="8:18" x14ac:dyDescent="0.35"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</row>
    <row r="3877" spans="8:18" x14ac:dyDescent="0.35"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</row>
    <row r="3878" spans="8:18" x14ac:dyDescent="0.35"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</row>
    <row r="3879" spans="8:18" x14ac:dyDescent="0.35"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</row>
    <row r="3880" spans="8:18" x14ac:dyDescent="0.35"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</row>
    <row r="3881" spans="8:18" x14ac:dyDescent="0.35"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</row>
    <row r="3882" spans="8:18" x14ac:dyDescent="0.35"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</row>
    <row r="3883" spans="8:18" x14ac:dyDescent="0.35"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</row>
    <row r="3884" spans="8:18" x14ac:dyDescent="0.35"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</row>
    <row r="3885" spans="8:18" x14ac:dyDescent="0.35"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</row>
    <row r="3886" spans="8:18" x14ac:dyDescent="0.35"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</row>
    <row r="3887" spans="8:18" x14ac:dyDescent="0.35"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</row>
    <row r="3888" spans="8:18" x14ac:dyDescent="0.35"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</row>
    <row r="3889" spans="8:18" x14ac:dyDescent="0.35"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</row>
    <row r="3890" spans="8:18" x14ac:dyDescent="0.35"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</row>
    <row r="3891" spans="8:18" x14ac:dyDescent="0.35"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</row>
    <row r="3892" spans="8:18" x14ac:dyDescent="0.35"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</row>
    <row r="3893" spans="8:18" x14ac:dyDescent="0.35"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</row>
    <row r="3894" spans="8:18" x14ac:dyDescent="0.35"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</row>
    <row r="3895" spans="8:18" x14ac:dyDescent="0.35"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</row>
    <row r="3896" spans="8:18" x14ac:dyDescent="0.35"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</row>
    <row r="3897" spans="8:18" x14ac:dyDescent="0.35"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</row>
    <row r="3898" spans="8:18" x14ac:dyDescent="0.35"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</row>
    <row r="3899" spans="8:18" x14ac:dyDescent="0.35"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</row>
    <row r="3900" spans="8:18" x14ac:dyDescent="0.35"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</row>
    <row r="3901" spans="8:18" x14ac:dyDescent="0.35"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</row>
    <row r="3902" spans="8:18" x14ac:dyDescent="0.35"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</row>
    <row r="3903" spans="8:18" x14ac:dyDescent="0.35"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</row>
    <row r="3904" spans="8:18" x14ac:dyDescent="0.35"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</row>
    <row r="3905" spans="8:18" x14ac:dyDescent="0.35"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</row>
    <row r="3906" spans="8:18" x14ac:dyDescent="0.35"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</row>
    <row r="3907" spans="8:18" x14ac:dyDescent="0.35"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</row>
    <row r="3908" spans="8:18" x14ac:dyDescent="0.35"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</row>
    <row r="3909" spans="8:18" x14ac:dyDescent="0.35"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</row>
    <row r="3910" spans="8:18" x14ac:dyDescent="0.35"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</row>
    <row r="3911" spans="8:18" x14ac:dyDescent="0.35"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</row>
    <row r="3912" spans="8:18" x14ac:dyDescent="0.35"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</row>
    <row r="3913" spans="8:18" x14ac:dyDescent="0.35"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</row>
    <row r="3914" spans="8:18" x14ac:dyDescent="0.35"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</row>
    <row r="3915" spans="8:18" x14ac:dyDescent="0.35"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</row>
    <row r="3916" spans="8:18" x14ac:dyDescent="0.35"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</row>
    <row r="3917" spans="8:18" x14ac:dyDescent="0.35"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</row>
    <row r="3918" spans="8:18" x14ac:dyDescent="0.35"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</row>
    <row r="3919" spans="8:18" x14ac:dyDescent="0.35"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</row>
    <row r="3920" spans="8:18" x14ac:dyDescent="0.35"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</row>
    <row r="3921" spans="8:18" x14ac:dyDescent="0.35"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</row>
    <row r="3922" spans="8:18" x14ac:dyDescent="0.35"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</row>
    <row r="3923" spans="8:18" x14ac:dyDescent="0.35"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</row>
    <row r="3924" spans="8:18" x14ac:dyDescent="0.35"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</row>
    <row r="3925" spans="8:18" x14ac:dyDescent="0.35"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</row>
    <row r="3926" spans="8:18" x14ac:dyDescent="0.35"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</row>
    <row r="3927" spans="8:18" x14ac:dyDescent="0.35"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</row>
    <row r="3928" spans="8:18" x14ac:dyDescent="0.35"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</row>
    <row r="3929" spans="8:18" x14ac:dyDescent="0.35"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</row>
    <row r="3930" spans="8:18" x14ac:dyDescent="0.35"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</row>
    <row r="3931" spans="8:18" x14ac:dyDescent="0.35"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</row>
    <row r="3932" spans="8:18" x14ac:dyDescent="0.35"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</row>
    <row r="3933" spans="8:18" x14ac:dyDescent="0.35"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</row>
    <row r="3934" spans="8:18" x14ac:dyDescent="0.35"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</row>
    <row r="3935" spans="8:18" x14ac:dyDescent="0.35"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</row>
    <row r="3936" spans="8:18" x14ac:dyDescent="0.35"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</row>
    <row r="3937" spans="8:18" x14ac:dyDescent="0.35"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</row>
    <row r="3938" spans="8:18" x14ac:dyDescent="0.35"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</row>
    <row r="3939" spans="8:18" x14ac:dyDescent="0.35"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</row>
    <row r="3940" spans="8:18" x14ac:dyDescent="0.35"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</row>
    <row r="3941" spans="8:18" x14ac:dyDescent="0.35"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</row>
    <row r="3942" spans="8:18" x14ac:dyDescent="0.35"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</row>
    <row r="3943" spans="8:18" x14ac:dyDescent="0.35"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</row>
    <row r="3944" spans="8:18" x14ac:dyDescent="0.35"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</row>
    <row r="3945" spans="8:18" x14ac:dyDescent="0.35"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</row>
    <row r="3946" spans="8:18" x14ac:dyDescent="0.35"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</row>
    <row r="3947" spans="8:18" x14ac:dyDescent="0.35"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</row>
    <row r="3948" spans="8:18" x14ac:dyDescent="0.35"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</row>
    <row r="3949" spans="8:18" x14ac:dyDescent="0.35"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</row>
    <row r="3950" spans="8:18" x14ac:dyDescent="0.35"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</row>
    <row r="3951" spans="8:18" x14ac:dyDescent="0.35"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</row>
    <row r="3952" spans="8:18" x14ac:dyDescent="0.35"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</row>
    <row r="3953" spans="8:18" x14ac:dyDescent="0.35"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</row>
    <row r="3954" spans="8:18" x14ac:dyDescent="0.35"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</row>
    <row r="3955" spans="8:18" x14ac:dyDescent="0.35"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</row>
    <row r="3956" spans="8:18" x14ac:dyDescent="0.35"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</row>
    <row r="3957" spans="8:18" x14ac:dyDescent="0.35"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</row>
    <row r="3958" spans="8:18" x14ac:dyDescent="0.35"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</row>
    <row r="3959" spans="8:18" x14ac:dyDescent="0.35"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</row>
    <row r="3960" spans="8:18" x14ac:dyDescent="0.35"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</row>
    <row r="3961" spans="8:18" x14ac:dyDescent="0.35"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</row>
    <row r="3962" spans="8:18" x14ac:dyDescent="0.35"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</row>
    <row r="3963" spans="8:18" x14ac:dyDescent="0.35"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</row>
    <row r="3964" spans="8:18" x14ac:dyDescent="0.35"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</row>
    <row r="3965" spans="8:18" x14ac:dyDescent="0.35"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</row>
    <row r="3966" spans="8:18" x14ac:dyDescent="0.35"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</row>
    <row r="3967" spans="8:18" x14ac:dyDescent="0.35"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</row>
    <row r="3968" spans="8:18" x14ac:dyDescent="0.35"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</row>
    <row r="3969" spans="8:18" x14ac:dyDescent="0.35"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</row>
    <row r="3970" spans="8:18" x14ac:dyDescent="0.35"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</row>
    <row r="3971" spans="8:18" x14ac:dyDescent="0.35"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</row>
    <row r="3972" spans="8:18" x14ac:dyDescent="0.35"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</row>
    <row r="3973" spans="8:18" x14ac:dyDescent="0.35"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</row>
    <row r="3974" spans="8:18" x14ac:dyDescent="0.35"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</row>
    <row r="3975" spans="8:18" x14ac:dyDescent="0.35"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</row>
    <row r="3976" spans="8:18" x14ac:dyDescent="0.35"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</row>
    <row r="3977" spans="8:18" x14ac:dyDescent="0.35"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</row>
    <row r="3978" spans="8:18" x14ac:dyDescent="0.35"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</row>
    <row r="3979" spans="8:18" x14ac:dyDescent="0.35"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</row>
    <row r="3980" spans="8:18" x14ac:dyDescent="0.35"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</row>
    <row r="3981" spans="8:18" x14ac:dyDescent="0.35"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</row>
    <row r="3982" spans="8:18" x14ac:dyDescent="0.35"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</row>
    <row r="3983" spans="8:18" x14ac:dyDescent="0.35"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</row>
    <row r="3984" spans="8:18" x14ac:dyDescent="0.35"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</row>
    <row r="3985" spans="8:18" x14ac:dyDescent="0.35"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</row>
    <row r="3986" spans="8:18" x14ac:dyDescent="0.35"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</row>
    <row r="3987" spans="8:18" x14ac:dyDescent="0.35"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</row>
    <row r="3988" spans="8:18" x14ac:dyDescent="0.35"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</row>
    <row r="3989" spans="8:18" x14ac:dyDescent="0.35"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</row>
    <row r="3990" spans="8:18" x14ac:dyDescent="0.35"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</row>
    <row r="3991" spans="8:18" x14ac:dyDescent="0.35"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</row>
    <row r="3992" spans="8:18" x14ac:dyDescent="0.35"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</row>
    <row r="3993" spans="8:18" x14ac:dyDescent="0.35"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</row>
    <row r="3994" spans="8:18" x14ac:dyDescent="0.35"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</row>
    <row r="3995" spans="8:18" x14ac:dyDescent="0.35"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</row>
    <row r="3996" spans="8:18" x14ac:dyDescent="0.35"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</row>
    <row r="3997" spans="8:18" x14ac:dyDescent="0.35"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</row>
    <row r="3998" spans="8:18" x14ac:dyDescent="0.35"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</row>
    <row r="3999" spans="8:18" x14ac:dyDescent="0.35"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</row>
    <row r="4000" spans="8:18" x14ac:dyDescent="0.35"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</row>
    <row r="4001" spans="8:18" x14ac:dyDescent="0.35"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</row>
    <row r="4002" spans="8:18" x14ac:dyDescent="0.35"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</row>
    <row r="4003" spans="8:18" x14ac:dyDescent="0.35"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</row>
    <row r="4004" spans="8:18" x14ac:dyDescent="0.35"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</row>
    <row r="4005" spans="8:18" x14ac:dyDescent="0.35"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</row>
    <row r="4006" spans="8:18" x14ac:dyDescent="0.35"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</row>
    <row r="4007" spans="8:18" x14ac:dyDescent="0.35"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</row>
    <row r="4008" spans="8:18" x14ac:dyDescent="0.35"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</row>
    <row r="4009" spans="8:18" x14ac:dyDescent="0.35"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</row>
    <row r="4010" spans="8:18" x14ac:dyDescent="0.35"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</row>
    <row r="4011" spans="8:18" x14ac:dyDescent="0.35"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</row>
    <row r="4012" spans="8:18" x14ac:dyDescent="0.35"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</row>
    <row r="4013" spans="8:18" x14ac:dyDescent="0.35"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</row>
    <row r="4014" spans="8:18" x14ac:dyDescent="0.35"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</row>
    <row r="4015" spans="8:18" x14ac:dyDescent="0.35"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</row>
    <row r="4016" spans="8:18" x14ac:dyDescent="0.35"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</row>
    <row r="4017" spans="8:18" x14ac:dyDescent="0.35"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</row>
    <row r="4018" spans="8:18" x14ac:dyDescent="0.35"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</row>
    <row r="4019" spans="8:18" x14ac:dyDescent="0.35"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</row>
    <row r="4020" spans="8:18" x14ac:dyDescent="0.35"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</row>
    <row r="4021" spans="8:18" x14ac:dyDescent="0.35"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</row>
    <row r="4022" spans="8:18" x14ac:dyDescent="0.35"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</row>
    <row r="4023" spans="8:18" x14ac:dyDescent="0.35"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</row>
    <row r="4024" spans="8:18" x14ac:dyDescent="0.35"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</row>
    <row r="4025" spans="8:18" x14ac:dyDescent="0.35"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</row>
    <row r="4026" spans="8:18" x14ac:dyDescent="0.35"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</row>
    <row r="4027" spans="8:18" x14ac:dyDescent="0.35"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</row>
    <row r="4028" spans="8:18" x14ac:dyDescent="0.35"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</row>
    <row r="4029" spans="8:18" x14ac:dyDescent="0.35"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</row>
    <row r="4030" spans="8:18" x14ac:dyDescent="0.35"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</row>
    <row r="4031" spans="8:18" x14ac:dyDescent="0.35"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</row>
    <row r="4032" spans="8:18" x14ac:dyDescent="0.35"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</row>
    <row r="4033" spans="8:18" x14ac:dyDescent="0.35"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</row>
    <row r="4034" spans="8:18" x14ac:dyDescent="0.35"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</row>
    <row r="4035" spans="8:18" x14ac:dyDescent="0.35"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</row>
    <row r="4036" spans="8:18" x14ac:dyDescent="0.35"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</row>
    <row r="4037" spans="8:18" x14ac:dyDescent="0.35"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</row>
    <row r="4038" spans="8:18" x14ac:dyDescent="0.35"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</row>
    <row r="4039" spans="8:18" x14ac:dyDescent="0.35"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</row>
    <row r="4040" spans="8:18" x14ac:dyDescent="0.35"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</row>
    <row r="4041" spans="8:18" x14ac:dyDescent="0.35"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</row>
    <row r="4042" spans="8:18" x14ac:dyDescent="0.35"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</row>
    <row r="4043" spans="8:18" x14ac:dyDescent="0.35"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</row>
    <row r="4044" spans="8:18" x14ac:dyDescent="0.35"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</row>
    <row r="4045" spans="8:18" x14ac:dyDescent="0.35"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</row>
    <row r="4046" spans="8:18" x14ac:dyDescent="0.35"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</row>
    <row r="4047" spans="8:18" x14ac:dyDescent="0.35"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</row>
    <row r="4048" spans="8:18" x14ac:dyDescent="0.35"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</row>
    <row r="4049" spans="8:18" x14ac:dyDescent="0.35"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</row>
    <row r="4050" spans="8:18" x14ac:dyDescent="0.35"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</row>
    <row r="4051" spans="8:18" x14ac:dyDescent="0.35"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</row>
    <row r="4052" spans="8:18" x14ac:dyDescent="0.35"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</row>
    <row r="4053" spans="8:18" x14ac:dyDescent="0.35"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</row>
    <row r="4054" spans="8:18" x14ac:dyDescent="0.35"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</row>
    <row r="4055" spans="8:18" x14ac:dyDescent="0.35"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</row>
    <row r="4056" spans="8:18" x14ac:dyDescent="0.35"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</row>
    <row r="4057" spans="8:18" x14ac:dyDescent="0.35"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</row>
    <row r="4058" spans="8:18" x14ac:dyDescent="0.35"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</row>
    <row r="4059" spans="8:18" x14ac:dyDescent="0.35"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</row>
    <row r="4060" spans="8:18" x14ac:dyDescent="0.35"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</row>
    <row r="4061" spans="8:18" x14ac:dyDescent="0.35"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</row>
    <row r="4062" spans="8:18" x14ac:dyDescent="0.35"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</row>
    <row r="4063" spans="8:18" x14ac:dyDescent="0.35"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</row>
    <row r="4064" spans="8:18" x14ac:dyDescent="0.35"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</row>
    <row r="4065" spans="8:18" x14ac:dyDescent="0.35"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</row>
    <row r="4066" spans="8:18" x14ac:dyDescent="0.35"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</row>
    <row r="4067" spans="8:18" x14ac:dyDescent="0.35"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</row>
    <row r="4068" spans="8:18" x14ac:dyDescent="0.35"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</row>
    <row r="4069" spans="8:18" x14ac:dyDescent="0.35"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</row>
    <row r="4070" spans="8:18" x14ac:dyDescent="0.35"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</row>
    <row r="4071" spans="8:18" x14ac:dyDescent="0.35"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</row>
    <row r="4072" spans="8:18" x14ac:dyDescent="0.35"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</row>
    <row r="4073" spans="8:18" x14ac:dyDescent="0.35"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</row>
    <row r="4074" spans="8:18" x14ac:dyDescent="0.35"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</row>
    <row r="4075" spans="8:18" x14ac:dyDescent="0.35"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</row>
    <row r="4076" spans="8:18" x14ac:dyDescent="0.35"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</row>
    <row r="4077" spans="8:18" x14ac:dyDescent="0.35"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</row>
    <row r="4078" spans="8:18" x14ac:dyDescent="0.35"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</row>
    <row r="4079" spans="8:18" x14ac:dyDescent="0.35"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</row>
    <row r="4080" spans="8:18" x14ac:dyDescent="0.35"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</row>
    <row r="4081" spans="8:18" x14ac:dyDescent="0.35"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</row>
    <row r="4082" spans="8:18" x14ac:dyDescent="0.35"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</row>
    <row r="4083" spans="8:18" x14ac:dyDescent="0.35"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</row>
    <row r="4084" spans="8:18" x14ac:dyDescent="0.35"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</row>
    <row r="4085" spans="8:18" x14ac:dyDescent="0.35"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</row>
    <row r="4086" spans="8:18" x14ac:dyDescent="0.35"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</row>
    <row r="4087" spans="8:18" x14ac:dyDescent="0.35"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</row>
    <row r="4088" spans="8:18" x14ac:dyDescent="0.35"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</row>
    <row r="4089" spans="8:18" x14ac:dyDescent="0.35"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</row>
    <row r="4090" spans="8:18" x14ac:dyDescent="0.35"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</row>
    <row r="4091" spans="8:18" x14ac:dyDescent="0.35"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</row>
    <row r="4092" spans="8:18" x14ac:dyDescent="0.35"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</row>
    <row r="4093" spans="8:18" x14ac:dyDescent="0.35"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</row>
    <row r="4094" spans="8:18" x14ac:dyDescent="0.35"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</row>
    <row r="4095" spans="8:18" x14ac:dyDescent="0.35"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</row>
    <row r="4096" spans="8:18" x14ac:dyDescent="0.35"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</row>
    <row r="4097" spans="8:18" x14ac:dyDescent="0.35"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</row>
    <row r="4098" spans="8:18" x14ac:dyDescent="0.35"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</row>
    <row r="4099" spans="8:18" x14ac:dyDescent="0.35"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</row>
    <row r="4100" spans="8:18" x14ac:dyDescent="0.35"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</row>
    <row r="4101" spans="8:18" x14ac:dyDescent="0.35"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</row>
    <row r="4102" spans="8:18" x14ac:dyDescent="0.35"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</row>
    <row r="4103" spans="8:18" x14ac:dyDescent="0.35"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</row>
    <row r="4104" spans="8:18" x14ac:dyDescent="0.35"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</row>
    <row r="4105" spans="8:18" x14ac:dyDescent="0.35"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</row>
    <row r="4106" spans="8:18" x14ac:dyDescent="0.35"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</row>
    <row r="4107" spans="8:18" x14ac:dyDescent="0.35"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</row>
    <row r="4108" spans="8:18" x14ac:dyDescent="0.35"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</row>
    <row r="4109" spans="8:18" x14ac:dyDescent="0.35"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</row>
    <row r="4110" spans="8:18" x14ac:dyDescent="0.35"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</row>
    <row r="4111" spans="8:18" x14ac:dyDescent="0.35"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</row>
    <row r="4112" spans="8:18" x14ac:dyDescent="0.35"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</row>
    <row r="4113" spans="8:18" x14ac:dyDescent="0.35"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</row>
    <row r="4114" spans="8:18" x14ac:dyDescent="0.35"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</row>
    <row r="4115" spans="8:18" x14ac:dyDescent="0.35"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</row>
    <row r="4116" spans="8:18" x14ac:dyDescent="0.35"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</row>
    <row r="4117" spans="8:18" x14ac:dyDescent="0.35"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</row>
    <row r="4118" spans="8:18" x14ac:dyDescent="0.35"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</row>
    <row r="4119" spans="8:18" x14ac:dyDescent="0.35"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</row>
    <row r="4120" spans="8:18" x14ac:dyDescent="0.35"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</row>
    <row r="4121" spans="8:18" x14ac:dyDescent="0.35"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</row>
    <row r="4122" spans="8:18" x14ac:dyDescent="0.35"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</row>
    <row r="4123" spans="8:18" x14ac:dyDescent="0.35"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</row>
    <row r="4124" spans="8:18" x14ac:dyDescent="0.35"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</row>
    <row r="4125" spans="8:18" x14ac:dyDescent="0.35"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</row>
    <row r="4126" spans="8:18" x14ac:dyDescent="0.35"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</row>
    <row r="4127" spans="8:18" x14ac:dyDescent="0.35"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</row>
    <row r="4128" spans="8:18" x14ac:dyDescent="0.35"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</row>
    <row r="4129" spans="8:18" x14ac:dyDescent="0.35"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</row>
    <row r="4130" spans="8:18" x14ac:dyDescent="0.35"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</row>
    <row r="4131" spans="8:18" x14ac:dyDescent="0.35"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</row>
    <row r="4132" spans="8:18" x14ac:dyDescent="0.35"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</row>
    <row r="4133" spans="8:18" x14ac:dyDescent="0.35"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</row>
    <row r="4134" spans="8:18" x14ac:dyDescent="0.35"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</row>
    <row r="4135" spans="8:18" x14ac:dyDescent="0.35"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</row>
    <row r="4136" spans="8:18" x14ac:dyDescent="0.35"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</row>
    <row r="4137" spans="8:18" x14ac:dyDescent="0.35"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</row>
    <row r="4138" spans="8:18" x14ac:dyDescent="0.35"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</row>
    <row r="4139" spans="8:18" x14ac:dyDescent="0.35"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</row>
    <row r="4140" spans="8:18" x14ac:dyDescent="0.35"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</row>
    <row r="4141" spans="8:18" x14ac:dyDescent="0.35"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</row>
    <row r="4142" spans="8:18" x14ac:dyDescent="0.35"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</row>
    <row r="4143" spans="8:18" x14ac:dyDescent="0.35"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</row>
    <row r="4144" spans="8:18" x14ac:dyDescent="0.35"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</row>
    <row r="4145" spans="8:18" x14ac:dyDescent="0.35"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</row>
    <row r="4146" spans="8:18" x14ac:dyDescent="0.35"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</row>
    <row r="4147" spans="8:18" x14ac:dyDescent="0.35"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</row>
    <row r="4148" spans="8:18" x14ac:dyDescent="0.35"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</row>
    <row r="4149" spans="8:18" x14ac:dyDescent="0.35"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</row>
    <row r="4150" spans="8:18" x14ac:dyDescent="0.35"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</row>
    <row r="4151" spans="8:18" x14ac:dyDescent="0.35"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</row>
    <row r="4152" spans="8:18" x14ac:dyDescent="0.35"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</row>
    <row r="4153" spans="8:18" x14ac:dyDescent="0.35"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</row>
    <row r="4154" spans="8:18" x14ac:dyDescent="0.35"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</row>
    <row r="4155" spans="8:18" x14ac:dyDescent="0.35"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</row>
    <row r="4156" spans="8:18" x14ac:dyDescent="0.35"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</row>
    <row r="4157" spans="8:18" x14ac:dyDescent="0.35"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</row>
    <row r="4158" spans="8:18" x14ac:dyDescent="0.35"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</row>
    <row r="4159" spans="8:18" x14ac:dyDescent="0.35"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</row>
    <row r="4160" spans="8:18" x14ac:dyDescent="0.35"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</row>
    <row r="4161" spans="8:18" x14ac:dyDescent="0.35"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</row>
    <row r="4162" spans="8:18" x14ac:dyDescent="0.35"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</row>
    <row r="4163" spans="8:18" x14ac:dyDescent="0.35"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</row>
    <row r="4164" spans="8:18" x14ac:dyDescent="0.35"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</row>
    <row r="4165" spans="8:18" x14ac:dyDescent="0.35"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</row>
    <row r="4166" spans="8:18" x14ac:dyDescent="0.35"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</row>
    <row r="4167" spans="8:18" x14ac:dyDescent="0.35"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</row>
    <row r="4168" spans="8:18" x14ac:dyDescent="0.35"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</row>
    <row r="4169" spans="8:18" x14ac:dyDescent="0.35"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</row>
    <row r="4170" spans="8:18" x14ac:dyDescent="0.35"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</row>
    <row r="4171" spans="8:18" x14ac:dyDescent="0.35"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</row>
    <row r="4172" spans="8:18" x14ac:dyDescent="0.35"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</row>
    <row r="4173" spans="8:18" x14ac:dyDescent="0.35"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</row>
    <row r="4174" spans="8:18" x14ac:dyDescent="0.35"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</row>
    <row r="4175" spans="8:18" x14ac:dyDescent="0.35"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</row>
    <row r="4176" spans="8:18" x14ac:dyDescent="0.35"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</row>
    <row r="4177" spans="8:18" x14ac:dyDescent="0.35"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</row>
    <row r="4178" spans="8:18" x14ac:dyDescent="0.35"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</row>
    <row r="4179" spans="8:18" x14ac:dyDescent="0.35"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</row>
    <row r="4180" spans="8:18" x14ac:dyDescent="0.35"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</row>
    <row r="4181" spans="8:18" x14ac:dyDescent="0.35"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</row>
    <row r="4182" spans="8:18" x14ac:dyDescent="0.35"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</row>
    <row r="4183" spans="8:18" x14ac:dyDescent="0.35"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</row>
    <row r="4184" spans="8:18" x14ac:dyDescent="0.35"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</row>
    <row r="4185" spans="8:18" x14ac:dyDescent="0.35"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</row>
    <row r="4186" spans="8:18" x14ac:dyDescent="0.35"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</row>
    <row r="4187" spans="8:18" x14ac:dyDescent="0.35"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</row>
    <row r="4188" spans="8:18" x14ac:dyDescent="0.35"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</row>
    <row r="4189" spans="8:18" x14ac:dyDescent="0.35"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</row>
    <row r="4190" spans="8:18" x14ac:dyDescent="0.35"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</row>
    <row r="4191" spans="8:18" x14ac:dyDescent="0.35"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</row>
    <row r="4192" spans="8:18" x14ac:dyDescent="0.35"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</row>
    <row r="4193" spans="8:18" x14ac:dyDescent="0.35"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</row>
    <row r="4194" spans="8:18" x14ac:dyDescent="0.35"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</row>
    <row r="4195" spans="8:18" x14ac:dyDescent="0.35"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</row>
    <row r="4196" spans="8:18" x14ac:dyDescent="0.35"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</row>
    <row r="4197" spans="8:18" x14ac:dyDescent="0.35"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</row>
    <row r="4198" spans="8:18" x14ac:dyDescent="0.35"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</row>
    <row r="4199" spans="8:18" x14ac:dyDescent="0.35"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</row>
    <row r="4200" spans="8:18" x14ac:dyDescent="0.35"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</row>
    <row r="4201" spans="8:18" x14ac:dyDescent="0.35"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</row>
    <row r="4202" spans="8:18" x14ac:dyDescent="0.35"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</row>
    <row r="4203" spans="8:18" x14ac:dyDescent="0.35"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</row>
    <row r="4204" spans="8:18" x14ac:dyDescent="0.35"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</row>
    <row r="4205" spans="8:18" x14ac:dyDescent="0.35"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</row>
    <row r="4206" spans="8:18" x14ac:dyDescent="0.35"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</row>
    <row r="4207" spans="8:18" x14ac:dyDescent="0.35"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</row>
    <row r="4208" spans="8:18" x14ac:dyDescent="0.35"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</row>
    <row r="4209" spans="8:18" x14ac:dyDescent="0.35"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</row>
    <row r="4210" spans="8:18" x14ac:dyDescent="0.35"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</row>
    <row r="4211" spans="8:18" x14ac:dyDescent="0.35"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</row>
    <row r="4212" spans="8:18" x14ac:dyDescent="0.35"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</row>
    <row r="4213" spans="8:18" x14ac:dyDescent="0.35"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</row>
    <row r="4214" spans="8:18" x14ac:dyDescent="0.35"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</row>
    <row r="4215" spans="8:18" x14ac:dyDescent="0.35"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</row>
    <row r="4216" spans="8:18" x14ac:dyDescent="0.35"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</row>
    <row r="4217" spans="8:18" x14ac:dyDescent="0.35"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</row>
    <row r="4218" spans="8:18" x14ac:dyDescent="0.35"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</row>
    <row r="4219" spans="8:18" x14ac:dyDescent="0.35"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</row>
    <row r="4220" spans="8:18" x14ac:dyDescent="0.35"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</row>
    <row r="4221" spans="8:18" x14ac:dyDescent="0.35"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</row>
    <row r="4222" spans="8:18" x14ac:dyDescent="0.35"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</row>
    <row r="4223" spans="8:18" x14ac:dyDescent="0.35"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</row>
    <row r="4224" spans="8:18" x14ac:dyDescent="0.35"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</row>
    <row r="4225" spans="8:18" x14ac:dyDescent="0.35"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</row>
    <row r="4226" spans="8:18" x14ac:dyDescent="0.35"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</row>
    <row r="4227" spans="8:18" x14ac:dyDescent="0.35"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</row>
    <row r="4228" spans="8:18" x14ac:dyDescent="0.35"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</row>
    <row r="4229" spans="8:18" x14ac:dyDescent="0.35"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</row>
    <row r="4230" spans="8:18" x14ac:dyDescent="0.35"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</row>
    <row r="4231" spans="8:18" x14ac:dyDescent="0.35"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</row>
    <row r="4232" spans="8:18" x14ac:dyDescent="0.35"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</row>
    <row r="4233" spans="8:18" x14ac:dyDescent="0.35"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</row>
    <row r="4234" spans="8:18" x14ac:dyDescent="0.35"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</row>
    <row r="4235" spans="8:18" x14ac:dyDescent="0.35"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</row>
    <row r="4236" spans="8:18" x14ac:dyDescent="0.35"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</row>
    <row r="4237" spans="8:18" x14ac:dyDescent="0.35"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</row>
    <row r="4238" spans="8:18" x14ac:dyDescent="0.35"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</row>
    <row r="4239" spans="8:18" x14ac:dyDescent="0.35"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</row>
    <row r="4240" spans="8:18" x14ac:dyDescent="0.35"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</row>
    <row r="4241" spans="8:18" x14ac:dyDescent="0.35"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</row>
    <row r="4242" spans="8:18" x14ac:dyDescent="0.35"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</row>
    <row r="4243" spans="8:18" x14ac:dyDescent="0.35"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</row>
    <row r="4244" spans="8:18" x14ac:dyDescent="0.35"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</row>
    <row r="4245" spans="8:18" x14ac:dyDescent="0.35"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</row>
    <row r="4246" spans="8:18" x14ac:dyDescent="0.35"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</row>
    <row r="4247" spans="8:18" x14ac:dyDescent="0.35"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</row>
    <row r="4248" spans="8:18" x14ac:dyDescent="0.35"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</row>
    <row r="4249" spans="8:18" x14ac:dyDescent="0.35"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</row>
    <row r="4250" spans="8:18" x14ac:dyDescent="0.35"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</row>
    <row r="4251" spans="8:18" x14ac:dyDescent="0.35"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</row>
    <row r="4252" spans="8:18" x14ac:dyDescent="0.35"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</row>
    <row r="4253" spans="8:18" x14ac:dyDescent="0.35"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</row>
    <row r="4254" spans="8:18" x14ac:dyDescent="0.35"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</row>
    <row r="4255" spans="8:18" x14ac:dyDescent="0.35"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</row>
    <row r="4256" spans="8:18" x14ac:dyDescent="0.35"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</row>
    <row r="4257" spans="8:18" x14ac:dyDescent="0.35"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</row>
    <row r="4258" spans="8:18" x14ac:dyDescent="0.35"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</row>
    <row r="4259" spans="8:18" x14ac:dyDescent="0.35"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</row>
    <row r="4260" spans="8:18" x14ac:dyDescent="0.35"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</row>
    <row r="4261" spans="8:18" x14ac:dyDescent="0.35"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</row>
    <row r="4262" spans="8:18" x14ac:dyDescent="0.35"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</row>
    <row r="4263" spans="8:18" x14ac:dyDescent="0.35"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</row>
    <row r="4264" spans="8:18" x14ac:dyDescent="0.35"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</row>
    <row r="4265" spans="8:18" x14ac:dyDescent="0.35"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</row>
    <row r="4266" spans="8:18" x14ac:dyDescent="0.35"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</row>
    <row r="4267" spans="8:18" x14ac:dyDescent="0.35"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</row>
    <row r="4268" spans="8:18" x14ac:dyDescent="0.35"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</row>
    <row r="4269" spans="8:18" x14ac:dyDescent="0.35"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</row>
    <row r="4270" spans="8:18" x14ac:dyDescent="0.35"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</row>
    <row r="4271" spans="8:18" x14ac:dyDescent="0.35"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</row>
    <row r="4272" spans="8:18" x14ac:dyDescent="0.35"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</row>
    <row r="4273" spans="8:18" x14ac:dyDescent="0.35"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</row>
    <row r="4274" spans="8:18" x14ac:dyDescent="0.35"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</row>
    <row r="4275" spans="8:18" x14ac:dyDescent="0.35"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</row>
    <row r="4276" spans="8:18" x14ac:dyDescent="0.35"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</row>
    <row r="4277" spans="8:18" x14ac:dyDescent="0.35"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</row>
    <row r="4278" spans="8:18" x14ac:dyDescent="0.35"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</row>
    <row r="4279" spans="8:18" x14ac:dyDescent="0.35"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</row>
    <row r="4280" spans="8:18" x14ac:dyDescent="0.35"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</row>
    <row r="4281" spans="8:18" x14ac:dyDescent="0.35"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</row>
    <row r="4282" spans="8:18" x14ac:dyDescent="0.35"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</row>
    <row r="4283" spans="8:18" x14ac:dyDescent="0.35"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</row>
    <row r="4284" spans="8:18" x14ac:dyDescent="0.35"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</row>
    <row r="4285" spans="8:18" x14ac:dyDescent="0.35"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</row>
    <row r="4286" spans="8:18" x14ac:dyDescent="0.35"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</row>
    <row r="4287" spans="8:18" x14ac:dyDescent="0.35"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</row>
    <row r="4288" spans="8:18" x14ac:dyDescent="0.35"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</row>
    <row r="4289" spans="8:18" x14ac:dyDescent="0.35"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</row>
    <row r="4290" spans="8:18" x14ac:dyDescent="0.35"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</row>
    <row r="4291" spans="8:18" x14ac:dyDescent="0.35"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</row>
    <row r="4292" spans="8:18" x14ac:dyDescent="0.35"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</row>
    <row r="4293" spans="8:18" x14ac:dyDescent="0.35"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</row>
    <row r="4294" spans="8:18" x14ac:dyDescent="0.35"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</row>
    <row r="4295" spans="8:18" x14ac:dyDescent="0.35"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</row>
    <row r="4296" spans="8:18" x14ac:dyDescent="0.35"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</row>
    <row r="4297" spans="8:18" x14ac:dyDescent="0.35"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</row>
    <row r="4298" spans="8:18" x14ac:dyDescent="0.35"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</row>
    <row r="4299" spans="8:18" x14ac:dyDescent="0.35"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</row>
    <row r="4300" spans="8:18" x14ac:dyDescent="0.35"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</row>
    <row r="4301" spans="8:18" x14ac:dyDescent="0.35"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</row>
    <row r="4302" spans="8:18" x14ac:dyDescent="0.35"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</row>
    <row r="4303" spans="8:18" x14ac:dyDescent="0.35"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</row>
    <row r="4304" spans="8:18" x14ac:dyDescent="0.35"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</row>
    <row r="4305" spans="8:18" x14ac:dyDescent="0.35"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</row>
    <row r="4306" spans="8:18" x14ac:dyDescent="0.35"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</row>
    <row r="4307" spans="8:18" x14ac:dyDescent="0.35"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</row>
    <row r="4308" spans="8:18" x14ac:dyDescent="0.35"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</row>
    <row r="4309" spans="8:18" x14ac:dyDescent="0.35"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</row>
    <row r="4310" spans="8:18" x14ac:dyDescent="0.35"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</row>
    <row r="4311" spans="8:18" x14ac:dyDescent="0.35"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</row>
    <row r="4312" spans="8:18" x14ac:dyDescent="0.35"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</row>
    <row r="4313" spans="8:18" x14ac:dyDescent="0.35"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</row>
    <row r="4314" spans="8:18" x14ac:dyDescent="0.35"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</row>
    <row r="4315" spans="8:18" x14ac:dyDescent="0.35"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</row>
    <row r="4316" spans="8:18" x14ac:dyDescent="0.35"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</row>
    <row r="4317" spans="8:18" x14ac:dyDescent="0.35"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</row>
    <row r="4318" spans="8:18" x14ac:dyDescent="0.35"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</row>
    <row r="4319" spans="8:18" x14ac:dyDescent="0.35"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</row>
    <row r="4320" spans="8:18" x14ac:dyDescent="0.35"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</row>
    <row r="4321" spans="8:18" x14ac:dyDescent="0.35"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</row>
    <row r="4322" spans="8:18" x14ac:dyDescent="0.35"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</row>
    <row r="4323" spans="8:18" x14ac:dyDescent="0.35"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</row>
    <row r="4324" spans="8:18" x14ac:dyDescent="0.35"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</row>
    <row r="4325" spans="8:18" x14ac:dyDescent="0.35"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</row>
    <row r="4326" spans="8:18" x14ac:dyDescent="0.35"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</row>
    <row r="4327" spans="8:18" x14ac:dyDescent="0.35"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</row>
    <row r="4328" spans="8:18" x14ac:dyDescent="0.35"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</row>
    <row r="4329" spans="8:18" x14ac:dyDescent="0.35"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</row>
    <row r="4330" spans="8:18" x14ac:dyDescent="0.35"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</row>
    <row r="4331" spans="8:18" x14ac:dyDescent="0.35"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</row>
    <row r="4332" spans="8:18" x14ac:dyDescent="0.35"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</row>
    <row r="4333" spans="8:18" x14ac:dyDescent="0.35"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</row>
    <row r="4334" spans="8:18" x14ac:dyDescent="0.35"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</row>
    <row r="4335" spans="8:18" x14ac:dyDescent="0.35"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</row>
    <row r="4336" spans="8:18" x14ac:dyDescent="0.35"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</row>
    <row r="4337" spans="8:18" x14ac:dyDescent="0.35"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</row>
    <row r="4338" spans="8:18" x14ac:dyDescent="0.35"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</row>
    <row r="4339" spans="8:18" x14ac:dyDescent="0.35"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</row>
    <row r="4340" spans="8:18" x14ac:dyDescent="0.35"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</row>
    <row r="4341" spans="8:18" x14ac:dyDescent="0.35"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</row>
    <row r="4342" spans="8:18" x14ac:dyDescent="0.35"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</row>
    <row r="4343" spans="8:18" x14ac:dyDescent="0.35"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</row>
    <row r="4344" spans="8:18" x14ac:dyDescent="0.35"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</row>
    <row r="4345" spans="8:18" x14ac:dyDescent="0.35"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</row>
    <row r="4346" spans="8:18" x14ac:dyDescent="0.35"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</row>
    <row r="4347" spans="8:18" x14ac:dyDescent="0.35"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</row>
    <row r="4348" spans="8:18" x14ac:dyDescent="0.35"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</row>
    <row r="4349" spans="8:18" x14ac:dyDescent="0.35"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</row>
    <row r="4350" spans="8:18" x14ac:dyDescent="0.35"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</row>
    <row r="4351" spans="8:18" x14ac:dyDescent="0.35"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</row>
    <row r="4352" spans="8:18" x14ac:dyDescent="0.35"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</row>
    <row r="4353" spans="8:18" x14ac:dyDescent="0.35"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</row>
    <row r="4354" spans="8:18" x14ac:dyDescent="0.35"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</row>
    <row r="4355" spans="8:18" x14ac:dyDescent="0.35"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</row>
    <row r="4356" spans="8:18" x14ac:dyDescent="0.35"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</row>
    <row r="4357" spans="8:18" x14ac:dyDescent="0.35"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</row>
    <row r="4358" spans="8:18" x14ac:dyDescent="0.35"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</row>
    <row r="4359" spans="8:18" x14ac:dyDescent="0.35"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</row>
    <row r="4360" spans="8:18" x14ac:dyDescent="0.35"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</row>
    <row r="4361" spans="8:18" x14ac:dyDescent="0.35"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</row>
    <row r="4362" spans="8:18" x14ac:dyDescent="0.35"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</row>
    <row r="4363" spans="8:18" x14ac:dyDescent="0.35"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</row>
    <row r="4364" spans="8:18" x14ac:dyDescent="0.35"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</row>
    <row r="4365" spans="8:18" x14ac:dyDescent="0.35"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</row>
    <row r="4366" spans="8:18" x14ac:dyDescent="0.35"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</row>
    <row r="4367" spans="8:18" x14ac:dyDescent="0.35"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</row>
    <row r="4368" spans="8:18" x14ac:dyDescent="0.35"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</row>
    <row r="4369" spans="8:18" x14ac:dyDescent="0.35"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</row>
    <row r="4370" spans="8:18" x14ac:dyDescent="0.35"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</row>
    <row r="4371" spans="8:18" x14ac:dyDescent="0.35"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</row>
    <row r="4372" spans="8:18" x14ac:dyDescent="0.35"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</row>
    <row r="4373" spans="8:18" x14ac:dyDescent="0.35"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</row>
    <row r="4374" spans="8:18" x14ac:dyDescent="0.35"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</row>
    <row r="4375" spans="8:18" x14ac:dyDescent="0.35"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</row>
    <row r="4376" spans="8:18" x14ac:dyDescent="0.35"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</row>
    <row r="4377" spans="8:18" x14ac:dyDescent="0.35"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</row>
    <row r="4378" spans="8:18" x14ac:dyDescent="0.35"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</row>
    <row r="4379" spans="8:18" x14ac:dyDescent="0.35"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</row>
    <row r="4380" spans="8:18" x14ac:dyDescent="0.35"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</row>
    <row r="4381" spans="8:18" x14ac:dyDescent="0.35"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</row>
    <row r="4382" spans="8:18" x14ac:dyDescent="0.35"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</row>
    <row r="4383" spans="8:18" x14ac:dyDescent="0.35"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</row>
    <row r="4384" spans="8:18" x14ac:dyDescent="0.35"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</row>
    <row r="4385" spans="8:18" x14ac:dyDescent="0.35"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</row>
    <row r="4386" spans="8:18" x14ac:dyDescent="0.35"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</row>
    <row r="4387" spans="8:18" x14ac:dyDescent="0.35"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</row>
    <row r="4388" spans="8:18" x14ac:dyDescent="0.35"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</row>
    <row r="4389" spans="8:18" x14ac:dyDescent="0.35"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</row>
    <row r="4390" spans="8:18" x14ac:dyDescent="0.35"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</row>
    <row r="4391" spans="8:18" x14ac:dyDescent="0.35"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</row>
    <row r="4392" spans="8:18" x14ac:dyDescent="0.35"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</row>
    <row r="4393" spans="8:18" x14ac:dyDescent="0.35"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</row>
    <row r="4394" spans="8:18" x14ac:dyDescent="0.35"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</row>
    <row r="4395" spans="8:18" x14ac:dyDescent="0.35"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</row>
    <row r="4396" spans="8:18" x14ac:dyDescent="0.35"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</row>
    <row r="4397" spans="8:18" x14ac:dyDescent="0.35"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</row>
    <row r="4398" spans="8:18" x14ac:dyDescent="0.35"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</row>
    <row r="4399" spans="8:18" x14ac:dyDescent="0.35"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</row>
    <row r="4400" spans="8:18" x14ac:dyDescent="0.35"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</row>
    <row r="4401" spans="8:18" x14ac:dyDescent="0.35"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</row>
    <row r="4402" spans="8:18" x14ac:dyDescent="0.35"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</row>
    <row r="4403" spans="8:18" x14ac:dyDescent="0.35"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</row>
    <row r="4404" spans="8:18" x14ac:dyDescent="0.35"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</row>
    <row r="4405" spans="8:18" x14ac:dyDescent="0.35"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</row>
    <row r="4406" spans="8:18" x14ac:dyDescent="0.35"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</row>
    <row r="4407" spans="8:18" x14ac:dyDescent="0.35"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</row>
    <row r="4408" spans="8:18" x14ac:dyDescent="0.35"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</row>
    <row r="4409" spans="8:18" x14ac:dyDescent="0.35"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</row>
    <row r="4410" spans="8:18" x14ac:dyDescent="0.35"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</row>
    <row r="4411" spans="8:18" x14ac:dyDescent="0.35"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</row>
    <row r="4412" spans="8:18" x14ac:dyDescent="0.35"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</row>
    <row r="4413" spans="8:18" x14ac:dyDescent="0.35"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</row>
    <row r="4414" spans="8:18" x14ac:dyDescent="0.35"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</row>
    <row r="4415" spans="8:18" x14ac:dyDescent="0.35"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</row>
    <row r="4416" spans="8:18" x14ac:dyDescent="0.35"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</row>
    <row r="4417" spans="8:18" x14ac:dyDescent="0.35"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</row>
    <row r="4418" spans="8:18" x14ac:dyDescent="0.35"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</row>
    <row r="4419" spans="8:18" x14ac:dyDescent="0.35"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</row>
    <row r="4420" spans="8:18" x14ac:dyDescent="0.35"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</row>
    <row r="4421" spans="8:18" x14ac:dyDescent="0.35"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</row>
    <row r="4422" spans="8:18" x14ac:dyDescent="0.35"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</row>
    <row r="4423" spans="8:18" x14ac:dyDescent="0.35"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</row>
    <row r="4424" spans="8:18" x14ac:dyDescent="0.35"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</row>
    <row r="4425" spans="8:18" x14ac:dyDescent="0.35"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</row>
    <row r="4426" spans="8:18" x14ac:dyDescent="0.35"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</row>
    <row r="4427" spans="8:18" x14ac:dyDescent="0.35"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</row>
    <row r="4428" spans="8:18" x14ac:dyDescent="0.35"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</row>
    <row r="4429" spans="8:18" x14ac:dyDescent="0.35"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</row>
    <row r="4430" spans="8:18" x14ac:dyDescent="0.35"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</row>
    <row r="4431" spans="8:18" x14ac:dyDescent="0.35"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</row>
    <row r="4432" spans="8:18" x14ac:dyDescent="0.35"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</row>
    <row r="4433" spans="8:18" x14ac:dyDescent="0.35"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</row>
    <row r="4434" spans="8:18" x14ac:dyDescent="0.35"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</row>
    <row r="4435" spans="8:18" x14ac:dyDescent="0.35"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</row>
    <row r="4436" spans="8:18" x14ac:dyDescent="0.35"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</row>
    <row r="4437" spans="8:18" x14ac:dyDescent="0.35"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</row>
    <row r="4438" spans="8:18" x14ac:dyDescent="0.35"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</row>
    <row r="4439" spans="8:18" x14ac:dyDescent="0.35"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</row>
    <row r="4440" spans="8:18" x14ac:dyDescent="0.35"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</row>
    <row r="4441" spans="8:18" x14ac:dyDescent="0.35"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</row>
    <row r="4442" spans="8:18" x14ac:dyDescent="0.35"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</row>
    <row r="4443" spans="8:18" x14ac:dyDescent="0.35"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</row>
    <row r="4444" spans="8:18" x14ac:dyDescent="0.35"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</row>
    <row r="4445" spans="8:18" x14ac:dyDescent="0.35"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</row>
    <row r="4446" spans="8:18" x14ac:dyDescent="0.35"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</row>
    <row r="4447" spans="8:18" x14ac:dyDescent="0.35"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</row>
    <row r="4448" spans="8:18" x14ac:dyDescent="0.35"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</row>
    <row r="4449" spans="8:18" x14ac:dyDescent="0.35"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</row>
    <row r="4450" spans="8:18" x14ac:dyDescent="0.35"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</row>
    <row r="4451" spans="8:18" x14ac:dyDescent="0.35"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</row>
    <row r="4452" spans="8:18" x14ac:dyDescent="0.35"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</row>
    <row r="4453" spans="8:18" x14ac:dyDescent="0.35"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</row>
    <row r="4454" spans="8:18" x14ac:dyDescent="0.35"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</row>
    <row r="4455" spans="8:18" x14ac:dyDescent="0.35"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</row>
    <row r="4456" spans="8:18" x14ac:dyDescent="0.35"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</row>
    <row r="4457" spans="8:18" x14ac:dyDescent="0.35"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</row>
    <row r="4458" spans="8:18" x14ac:dyDescent="0.35"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</row>
    <row r="4459" spans="8:18" x14ac:dyDescent="0.35"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</row>
    <row r="4460" spans="8:18" x14ac:dyDescent="0.35"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</row>
    <row r="4461" spans="8:18" x14ac:dyDescent="0.35"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</row>
    <row r="4462" spans="8:18" x14ac:dyDescent="0.35"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</row>
    <row r="4463" spans="8:18" x14ac:dyDescent="0.35"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</row>
    <row r="4464" spans="8:18" x14ac:dyDescent="0.35"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</row>
    <row r="4465" spans="8:18" x14ac:dyDescent="0.35"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</row>
    <row r="4466" spans="8:18" x14ac:dyDescent="0.35"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</row>
    <row r="4467" spans="8:18" x14ac:dyDescent="0.35"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</row>
    <row r="4468" spans="8:18" x14ac:dyDescent="0.35"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</row>
    <row r="4469" spans="8:18" x14ac:dyDescent="0.35"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</row>
    <row r="4470" spans="8:18" x14ac:dyDescent="0.35"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</row>
    <row r="4471" spans="8:18" x14ac:dyDescent="0.35"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</row>
    <row r="4472" spans="8:18" x14ac:dyDescent="0.35"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</row>
    <row r="4473" spans="8:18" x14ac:dyDescent="0.35"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</row>
    <row r="4474" spans="8:18" x14ac:dyDescent="0.35"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</row>
    <row r="4475" spans="8:18" x14ac:dyDescent="0.35"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</row>
    <row r="4476" spans="8:18" x14ac:dyDescent="0.35"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</row>
    <row r="4477" spans="8:18" x14ac:dyDescent="0.35"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</row>
    <row r="4478" spans="8:18" x14ac:dyDescent="0.35"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</row>
    <row r="4479" spans="8:18" x14ac:dyDescent="0.35"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</row>
    <row r="4480" spans="8:18" x14ac:dyDescent="0.35"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</row>
    <row r="4481" spans="8:18" x14ac:dyDescent="0.35"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</row>
    <row r="4482" spans="8:18" x14ac:dyDescent="0.35"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</row>
    <row r="4483" spans="8:18" x14ac:dyDescent="0.35"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</row>
    <row r="4484" spans="8:18" x14ac:dyDescent="0.35"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</row>
    <row r="4485" spans="8:18" x14ac:dyDescent="0.35"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</row>
    <row r="4486" spans="8:18" x14ac:dyDescent="0.35"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</row>
    <row r="4487" spans="8:18" x14ac:dyDescent="0.35"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</row>
    <row r="4488" spans="8:18" x14ac:dyDescent="0.35"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</row>
    <row r="4489" spans="8:18" x14ac:dyDescent="0.35"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</row>
    <row r="4490" spans="8:18" x14ac:dyDescent="0.35"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</row>
    <row r="4491" spans="8:18" x14ac:dyDescent="0.35"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</row>
    <row r="4492" spans="8:18" x14ac:dyDescent="0.35"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</row>
    <row r="4493" spans="8:18" x14ac:dyDescent="0.35"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</row>
    <row r="4494" spans="8:18" x14ac:dyDescent="0.35"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</row>
    <row r="4495" spans="8:18" x14ac:dyDescent="0.35"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</row>
    <row r="4496" spans="8:18" x14ac:dyDescent="0.35"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</row>
    <row r="4497" spans="8:18" x14ac:dyDescent="0.35"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</row>
    <row r="4498" spans="8:18" x14ac:dyDescent="0.35"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</row>
    <row r="4499" spans="8:18" x14ac:dyDescent="0.35"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</row>
    <row r="4500" spans="8:18" x14ac:dyDescent="0.35"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</row>
    <row r="4501" spans="8:18" x14ac:dyDescent="0.35"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</row>
    <row r="4502" spans="8:18" x14ac:dyDescent="0.35"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</row>
    <row r="4503" spans="8:18" x14ac:dyDescent="0.35"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</row>
    <row r="4504" spans="8:18" x14ac:dyDescent="0.35"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</row>
    <row r="4505" spans="8:18" x14ac:dyDescent="0.35"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</row>
    <row r="4506" spans="8:18" x14ac:dyDescent="0.35"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</row>
    <row r="4507" spans="8:18" x14ac:dyDescent="0.35"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</row>
    <row r="4508" spans="8:18" x14ac:dyDescent="0.35"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</row>
    <row r="4509" spans="8:18" x14ac:dyDescent="0.35"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</row>
    <row r="4510" spans="8:18" x14ac:dyDescent="0.35"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</row>
    <row r="4511" spans="8:18" x14ac:dyDescent="0.35"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</row>
    <row r="4512" spans="8:18" x14ac:dyDescent="0.35"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</row>
    <row r="4513" spans="8:18" x14ac:dyDescent="0.35"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</row>
    <row r="4514" spans="8:18" x14ac:dyDescent="0.35"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</row>
    <row r="4515" spans="8:18" x14ac:dyDescent="0.35"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</row>
    <row r="4516" spans="8:18" x14ac:dyDescent="0.35"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</row>
    <row r="4517" spans="8:18" x14ac:dyDescent="0.35"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</row>
    <row r="4518" spans="8:18" x14ac:dyDescent="0.35"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</row>
    <row r="4519" spans="8:18" x14ac:dyDescent="0.35"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</row>
    <row r="4520" spans="8:18" x14ac:dyDescent="0.35"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</row>
    <row r="4521" spans="8:18" x14ac:dyDescent="0.35"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</row>
    <row r="4522" spans="8:18" x14ac:dyDescent="0.35"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</row>
    <row r="4523" spans="8:18" x14ac:dyDescent="0.35"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</row>
    <row r="4524" spans="8:18" x14ac:dyDescent="0.35"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</row>
    <row r="4525" spans="8:18" x14ac:dyDescent="0.35"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</row>
    <row r="4526" spans="8:18" x14ac:dyDescent="0.35"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</row>
    <row r="4527" spans="8:18" x14ac:dyDescent="0.35"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</row>
    <row r="4528" spans="8:18" x14ac:dyDescent="0.35"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</row>
    <row r="4529" spans="8:18" x14ac:dyDescent="0.35"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</row>
    <row r="4530" spans="8:18" x14ac:dyDescent="0.35"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</row>
    <row r="4531" spans="8:18" x14ac:dyDescent="0.35"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</row>
    <row r="4532" spans="8:18" x14ac:dyDescent="0.35"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</row>
    <row r="4533" spans="8:18" x14ac:dyDescent="0.35"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</row>
    <row r="4534" spans="8:18" x14ac:dyDescent="0.35"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</row>
    <row r="4535" spans="8:18" x14ac:dyDescent="0.35"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</row>
    <row r="4536" spans="8:18" x14ac:dyDescent="0.35"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</row>
    <row r="4537" spans="8:18" x14ac:dyDescent="0.35"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</row>
    <row r="4538" spans="8:18" x14ac:dyDescent="0.35"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</row>
    <row r="4539" spans="8:18" x14ac:dyDescent="0.35"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</row>
    <row r="4540" spans="8:18" x14ac:dyDescent="0.35"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</row>
    <row r="4541" spans="8:18" x14ac:dyDescent="0.35"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</row>
    <row r="4542" spans="8:18" x14ac:dyDescent="0.35"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</row>
    <row r="4543" spans="8:18" x14ac:dyDescent="0.35"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</row>
    <row r="4544" spans="8:18" x14ac:dyDescent="0.35"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</row>
    <row r="4545" spans="8:18" x14ac:dyDescent="0.35"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</row>
    <row r="4546" spans="8:18" x14ac:dyDescent="0.35"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</row>
    <row r="4547" spans="8:18" x14ac:dyDescent="0.35"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</row>
    <row r="4548" spans="8:18" x14ac:dyDescent="0.35"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</row>
    <row r="4549" spans="8:18" x14ac:dyDescent="0.35"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</row>
    <row r="4550" spans="8:18" x14ac:dyDescent="0.35"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</row>
    <row r="4551" spans="8:18" x14ac:dyDescent="0.35"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</row>
    <row r="4552" spans="8:18" x14ac:dyDescent="0.35"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</row>
    <row r="4553" spans="8:18" x14ac:dyDescent="0.35"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</row>
    <row r="4554" spans="8:18" x14ac:dyDescent="0.35"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</row>
    <row r="4555" spans="8:18" x14ac:dyDescent="0.35"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</row>
    <row r="4556" spans="8:18" x14ac:dyDescent="0.35"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</row>
    <row r="4557" spans="8:18" x14ac:dyDescent="0.35"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</row>
    <row r="4558" spans="8:18" x14ac:dyDescent="0.35"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</row>
    <row r="4559" spans="8:18" x14ac:dyDescent="0.35"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</row>
    <row r="4560" spans="8:18" x14ac:dyDescent="0.35"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</row>
    <row r="4561" spans="8:18" x14ac:dyDescent="0.35"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</row>
    <row r="4562" spans="8:18" x14ac:dyDescent="0.35"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</row>
    <row r="4563" spans="8:18" x14ac:dyDescent="0.35"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</row>
    <row r="4564" spans="8:18" x14ac:dyDescent="0.35"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</row>
    <row r="4565" spans="8:18" x14ac:dyDescent="0.35"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</row>
    <row r="4566" spans="8:18" x14ac:dyDescent="0.35"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</row>
    <row r="4567" spans="8:18" x14ac:dyDescent="0.35"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</row>
    <row r="4568" spans="8:18" x14ac:dyDescent="0.35"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</row>
    <row r="4569" spans="8:18" x14ac:dyDescent="0.35"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</row>
    <row r="4570" spans="8:18" x14ac:dyDescent="0.35"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</row>
    <row r="4571" spans="8:18" x14ac:dyDescent="0.35"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</row>
    <row r="4572" spans="8:18" x14ac:dyDescent="0.35"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</row>
    <row r="4573" spans="8:18" x14ac:dyDescent="0.35"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</row>
    <row r="4574" spans="8:18" x14ac:dyDescent="0.35"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</row>
    <row r="4575" spans="8:18" x14ac:dyDescent="0.35"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</row>
    <row r="4576" spans="8:18" x14ac:dyDescent="0.35"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</row>
    <row r="4577" spans="8:18" x14ac:dyDescent="0.35"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</row>
    <row r="4578" spans="8:18" x14ac:dyDescent="0.35"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</row>
    <row r="4579" spans="8:18" x14ac:dyDescent="0.35"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</row>
    <row r="4580" spans="8:18" x14ac:dyDescent="0.35"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</row>
    <row r="4581" spans="8:18" x14ac:dyDescent="0.35"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</row>
    <row r="4582" spans="8:18" x14ac:dyDescent="0.35"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</row>
    <row r="4583" spans="8:18" x14ac:dyDescent="0.35"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</row>
    <row r="4584" spans="8:18" x14ac:dyDescent="0.35"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</row>
    <row r="4585" spans="8:18" x14ac:dyDescent="0.35"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</row>
    <row r="4586" spans="8:18" x14ac:dyDescent="0.35"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</row>
    <row r="4587" spans="8:18" x14ac:dyDescent="0.35"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</row>
    <row r="4588" spans="8:18" x14ac:dyDescent="0.35"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</row>
    <row r="4589" spans="8:18" x14ac:dyDescent="0.35"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</row>
    <row r="4590" spans="8:18" x14ac:dyDescent="0.35"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</row>
    <row r="4591" spans="8:18" x14ac:dyDescent="0.35"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</row>
    <row r="4592" spans="8:18" x14ac:dyDescent="0.35"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</row>
    <row r="4593" spans="8:18" x14ac:dyDescent="0.35"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</row>
    <row r="4594" spans="8:18" x14ac:dyDescent="0.35"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</row>
    <row r="4595" spans="8:18" x14ac:dyDescent="0.35"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</row>
    <row r="4596" spans="8:18" x14ac:dyDescent="0.35"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</row>
    <row r="4597" spans="8:18" x14ac:dyDescent="0.35"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</row>
    <row r="4598" spans="8:18" x14ac:dyDescent="0.35"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</row>
    <row r="4599" spans="8:18" x14ac:dyDescent="0.35"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</row>
    <row r="4600" spans="8:18" x14ac:dyDescent="0.35"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</row>
    <row r="4601" spans="8:18" x14ac:dyDescent="0.35"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</row>
    <row r="4602" spans="8:18" x14ac:dyDescent="0.35"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</row>
    <row r="4603" spans="8:18" x14ac:dyDescent="0.35"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</row>
    <row r="4604" spans="8:18" x14ac:dyDescent="0.35"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</row>
    <row r="4605" spans="8:18" x14ac:dyDescent="0.35"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</row>
    <row r="4606" spans="8:18" x14ac:dyDescent="0.35"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</row>
    <row r="4607" spans="8:18" x14ac:dyDescent="0.35"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</row>
    <row r="4608" spans="8:18" x14ac:dyDescent="0.35"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</row>
    <row r="4609" spans="8:18" x14ac:dyDescent="0.35"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</row>
    <row r="4610" spans="8:18" x14ac:dyDescent="0.35"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</row>
    <row r="4611" spans="8:18" x14ac:dyDescent="0.35"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</row>
    <row r="4612" spans="8:18" x14ac:dyDescent="0.35"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</row>
    <row r="4613" spans="8:18" x14ac:dyDescent="0.35"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</row>
    <row r="4614" spans="8:18" x14ac:dyDescent="0.35"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</row>
    <row r="4615" spans="8:18" x14ac:dyDescent="0.35"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</row>
    <row r="4616" spans="8:18" x14ac:dyDescent="0.35"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</row>
    <row r="4617" spans="8:18" x14ac:dyDescent="0.35"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</row>
    <row r="4618" spans="8:18" x14ac:dyDescent="0.35"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</row>
    <row r="4619" spans="8:18" x14ac:dyDescent="0.35"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</row>
    <row r="4620" spans="8:18" x14ac:dyDescent="0.35"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</row>
    <row r="4621" spans="8:18" x14ac:dyDescent="0.35"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</row>
    <row r="4622" spans="8:18" x14ac:dyDescent="0.35"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</row>
    <row r="4623" spans="8:18" x14ac:dyDescent="0.35"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</row>
    <row r="4624" spans="8:18" x14ac:dyDescent="0.35"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</row>
    <row r="4625" spans="8:18" x14ac:dyDescent="0.35"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</row>
    <row r="4626" spans="8:18" x14ac:dyDescent="0.35"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</row>
    <row r="4627" spans="8:18" x14ac:dyDescent="0.35"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</row>
    <row r="4628" spans="8:18" x14ac:dyDescent="0.35"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</row>
    <row r="4629" spans="8:18" x14ac:dyDescent="0.35"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</row>
    <row r="4630" spans="8:18" x14ac:dyDescent="0.35"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</row>
    <row r="4631" spans="8:18" x14ac:dyDescent="0.35"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</row>
    <row r="4632" spans="8:18" x14ac:dyDescent="0.35"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</row>
    <row r="4633" spans="8:18" x14ac:dyDescent="0.35"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</row>
    <row r="4634" spans="8:18" x14ac:dyDescent="0.35"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</row>
    <row r="4635" spans="8:18" x14ac:dyDescent="0.35"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</row>
    <row r="4636" spans="8:18" x14ac:dyDescent="0.35"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</row>
    <row r="4637" spans="8:18" x14ac:dyDescent="0.35"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</row>
    <row r="4638" spans="8:18" x14ac:dyDescent="0.35"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</row>
    <row r="4639" spans="8:18" x14ac:dyDescent="0.35"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</row>
    <row r="4640" spans="8:18" x14ac:dyDescent="0.35"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</row>
    <row r="4641" spans="8:18" x14ac:dyDescent="0.35"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</row>
    <row r="4642" spans="8:18" x14ac:dyDescent="0.35"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</row>
    <row r="4643" spans="8:18" x14ac:dyDescent="0.35"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</row>
    <row r="4644" spans="8:18" x14ac:dyDescent="0.35"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</row>
    <row r="4645" spans="8:18" x14ac:dyDescent="0.35"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</row>
    <row r="4646" spans="8:18" x14ac:dyDescent="0.35"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</row>
    <row r="4647" spans="8:18" x14ac:dyDescent="0.35"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</row>
    <row r="4648" spans="8:18" x14ac:dyDescent="0.35"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</row>
    <row r="4649" spans="8:18" x14ac:dyDescent="0.35"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</row>
    <row r="4650" spans="8:18" x14ac:dyDescent="0.35"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</row>
    <row r="4651" spans="8:18" x14ac:dyDescent="0.35"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</row>
    <row r="4652" spans="8:18" x14ac:dyDescent="0.35"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</row>
    <row r="4653" spans="8:18" x14ac:dyDescent="0.35"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</row>
    <row r="4654" spans="8:18" x14ac:dyDescent="0.35"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</row>
    <row r="4655" spans="8:18" x14ac:dyDescent="0.35"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</row>
    <row r="4656" spans="8:18" x14ac:dyDescent="0.35"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</row>
    <row r="4657" spans="8:18" x14ac:dyDescent="0.35"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</row>
    <row r="4658" spans="8:18" x14ac:dyDescent="0.35"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</row>
    <row r="4659" spans="8:18" x14ac:dyDescent="0.35"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</row>
    <row r="4660" spans="8:18" x14ac:dyDescent="0.35"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</row>
    <row r="4661" spans="8:18" x14ac:dyDescent="0.35"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</row>
    <row r="4662" spans="8:18" x14ac:dyDescent="0.35"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</row>
    <row r="4663" spans="8:18" x14ac:dyDescent="0.35"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</row>
    <row r="4664" spans="8:18" x14ac:dyDescent="0.35"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</row>
    <row r="4665" spans="8:18" x14ac:dyDescent="0.35"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</row>
    <row r="4666" spans="8:18" x14ac:dyDescent="0.35"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</row>
    <row r="4667" spans="8:18" x14ac:dyDescent="0.35"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</row>
    <row r="4668" spans="8:18" x14ac:dyDescent="0.35"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</row>
    <row r="4669" spans="8:18" x14ac:dyDescent="0.35"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</row>
    <row r="4670" spans="8:18" x14ac:dyDescent="0.35"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</row>
    <row r="4671" spans="8:18" x14ac:dyDescent="0.35"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</row>
    <row r="4672" spans="8:18" x14ac:dyDescent="0.35"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</row>
    <row r="4673" spans="8:18" x14ac:dyDescent="0.35"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</row>
    <row r="4674" spans="8:18" x14ac:dyDescent="0.35"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</row>
    <row r="4675" spans="8:18" x14ac:dyDescent="0.35"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</row>
    <row r="4676" spans="8:18" x14ac:dyDescent="0.35"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</row>
    <row r="4677" spans="8:18" x14ac:dyDescent="0.35"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</row>
    <row r="4678" spans="8:18" x14ac:dyDescent="0.35"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</row>
    <row r="4679" spans="8:18" x14ac:dyDescent="0.35"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</row>
    <row r="4680" spans="8:18" x14ac:dyDescent="0.35"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</row>
    <row r="4681" spans="8:18" x14ac:dyDescent="0.35"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</row>
    <row r="4682" spans="8:18" x14ac:dyDescent="0.35"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</row>
    <row r="4683" spans="8:18" x14ac:dyDescent="0.35"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</row>
    <row r="4684" spans="8:18" x14ac:dyDescent="0.35"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</row>
    <row r="4685" spans="8:18" x14ac:dyDescent="0.35"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</row>
    <row r="4686" spans="8:18" x14ac:dyDescent="0.35"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</row>
    <row r="4687" spans="8:18" x14ac:dyDescent="0.35"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</row>
    <row r="4688" spans="8:18" x14ac:dyDescent="0.35"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</row>
    <row r="4689" spans="8:18" x14ac:dyDescent="0.35"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</row>
    <row r="4690" spans="8:18" x14ac:dyDescent="0.35"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</row>
    <row r="4691" spans="8:18" x14ac:dyDescent="0.35"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</row>
    <row r="4692" spans="8:18" x14ac:dyDescent="0.35"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</row>
    <row r="4693" spans="8:18" x14ac:dyDescent="0.35"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</row>
    <row r="4694" spans="8:18" x14ac:dyDescent="0.35"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</row>
    <row r="4695" spans="8:18" x14ac:dyDescent="0.35"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</row>
    <row r="4696" spans="8:18" x14ac:dyDescent="0.35"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</row>
    <row r="4697" spans="8:18" x14ac:dyDescent="0.35"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</row>
    <row r="4698" spans="8:18" x14ac:dyDescent="0.35"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</row>
    <row r="4699" spans="8:18" x14ac:dyDescent="0.35"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</row>
    <row r="4700" spans="8:18" x14ac:dyDescent="0.35"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</row>
    <row r="4701" spans="8:18" x14ac:dyDescent="0.35"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</row>
    <row r="4702" spans="8:18" x14ac:dyDescent="0.35"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</row>
    <row r="4703" spans="8:18" x14ac:dyDescent="0.35"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</row>
    <row r="4704" spans="8:18" x14ac:dyDescent="0.35"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</row>
    <row r="4705" spans="8:18" x14ac:dyDescent="0.35"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</row>
    <row r="4706" spans="8:18" x14ac:dyDescent="0.35"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</row>
    <row r="4707" spans="8:18" x14ac:dyDescent="0.35"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</row>
    <row r="4708" spans="8:18" x14ac:dyDescent="0.35"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</row>
    <row r="4709" spans="8:18" x14ac:dyDescent="0.35"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</row>
    <row r="4710" spans="8:18" x14ac:dyDescent="0.35"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</row>
    <row r="4711" spans="8:18" x14ac:dyDescent="0.35"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</row>
    <row r="4712" spans="8:18" x14ac:dyDescent="0.35"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</row>
    <row r="4713" spans="8:18" x14ac:dyDescent="0.35"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</row>
    <row r="4714" spans="8:18" x14ac:dyDescent="0.35"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</row>
    <row r="4715" spans="8:18" x14ac:dyDescent="0.35"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</row>
    <row r="4716" spans="8:18" x14ac:dyDescent="0.35"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</row>
    <row r="4717" spans="8:18" x14ac:dyDescent="0.35"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</row>
    <row r="4718" spans="8:18" x14ac:dyDescent="0.35"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</row>
    <row r="4719" spans="8:18" x14ac:dyDescent="0.35"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</row>
    <row r="4720" spans="8:18" x14ac:dyDescent="0.35"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</row>
    <row r="4721" spans="8:18" x14ac:dyDescent="0.35"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</row>
    <row r="4722" spans="8:18" x14ac:dyDescent="0.35"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</row>
    <row r="4723" spans="8:18" x14ac:dyDescent="0.35"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</row>
    <row r="4724" spans="8:18" x14ac:dyDescent="0.35"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</row>
    <row r="4725" spans="8:18" x14ac:dyDescent="0.35"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</row>
    <row r="4726" spans="8:18" x14ac:dyDescent="0.35"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</row>
    <row r="4727" spans="8:18" x14ac:dyDescent="0.35"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</row>
    <row r="4728" spans="8:18" x14ac:dyDescent="0.35"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</row>
    <row r="4729" spans="8:18" x14ac:dyDescent="0.35"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</row>
    <row r="4730" spans="8:18" x14ac:dyDescent="0.35"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</row>
    <row r="4731" spans="8:18" x14ac:dyDescent="0.35"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</row>
    <row r="4732" spans="8:18" x14ac:dyDescent="0.35"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</row>
    <row r="4733" spans="8:18" x14ac:dyDescent="0.35"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</row>
    <row r="4734" spans="8:18" x14ac:dyDescent="0.35"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</row>
    <row r="4735" spans="8:18" x14ac:dyDescent="0.35"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</row>
    <row r="4736" spans="8:18" x14ac:dyDescent="0.35"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</row>
    <row r="4737" spans="8:18" x14ac:dyDescent="0.35"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</row>
    <row r="4738" spans="8:18" x14ac:dyDescent="0.35"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</row>
    <row r="4739" spans="8:18" x14ac:dyDescent="0.35"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</row>
    <row r="4740" spans="8:18" x14ac:dyDescent="0.35"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</row>
    <row r="4741" spans="8:18" x14ac:dyDescent="0.35"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</row>
    <row r="4742" spans="8:18" x14ac:dyDescent="0.35"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</row>
    <row r="4743" spans="8:18" x14ac:dyDescent="0.35"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</row>
    <row r="4744" spans="8:18" x14ac:dyDescent="0.35"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</row>
    <row r="4745" spans="8:18" x14ac:dyDescent="0.35"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</row>
    <row r="4746" spans="8:18" x14ac:dyDescent="0.35"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</row>
    <row r="4747" spans="8:18" x14ac:dyDescent="0.35"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</row>
    <row r="4748" spans="8:18" x14ac:dyDescent="0.35"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</row>
    <row r="4749" spans="8:18" x14ac:dyDescent="0.35"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</row>
    <row r="4750" spans="8:18" x14ac:dyDescent="0.35"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</row>
    <row r="4751" spans="8:18" x14ac:dyDescent="0.35"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</row>
    <row r="4752" spans="8:18" x14ac:dyDescent="0.35"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</row>
    <row r="4753" spans="8:18" x14ac:dyDescent="0.35"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</row>
    <row r="4754" spans="8:18" x14ac:dyDescent="0.35"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</row>
    <row r="4755" spans="8:18" x14ac:dyDescent="0.35"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</row>
    <row r="4756" spans="8:18" x14ac:dyDescent="0.35"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</row>
    <row r="4757" spans="8:18" x14ac:dyDescent="0.35"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</row>
    <row r="4758" spans="8:18" x14ac:dyDescent="0.35"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</row>
    <row r="4759" spans="8:18" x14ac:dyDescent="0.35"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</row>
    <row r="4760" spans="8:18" x14ac:dyDescent="0.35"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</row>
    <row r="4761" spans="8:18" x14ac:dyDescent="0.35"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</row>
    <row r="4762" spans="8:18" x14ac:dyDescent="0.35"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</row>
    <row r="4763" spans="8:18" x14ac:dyDescent="0.35"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</row>
    <row r="4764" spans="8:18" x14ac:dyDescent="0.35"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</row>
    <row r="4765" spans="8:18" x14ac:dyDescent="0.35"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</row>
    <row r="4766" spans="8:18" x14ac:dyDescent="0.35"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</row>
    <row r="4767" spans="8:18" x14ac:dyDescent="0.35"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</row>
    <row r="4768" spans="8:18" x14ac:dyDescent="0.35"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</row>
    <row r="4769" spans="8:18" x14ac:dyDescent="0.35"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</row>
    <row r="4770" spans="8:18" x14ac:dyDescent="0.35"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</row>
    <row r="4771" spans="8:18" x14ac:dyDescent="0.35"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</row>
    <row r="4772" spans="8:18" x14ac:dyDescent="0.35"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</row>
    <row r="4773" spans="8:18" x14ac:dyDescent="0.35"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</row>
    <row r="4774" spans="8:18" x14ac:dyDescent="0.35"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</row>
    <row r="4775" spans="8:18" x14ac:dyDescent="0.35"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</row>
    <row r="4776" spans="8:18" x14ac:dyDescent="0.35"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</row>
    <row r="4777" spans="8:18" x14ac:dyDescent="0.35"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</row>
    <row r="4778" spans="8:18" x14ac:dyDescent="0.35"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</row>
    <row r="4779" spans="8:18" x14ac:dyDescent="0.35"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</row>
    <row r="4780" spans="8:18" x14ac:dyDescent="0.35"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</row>
    <row r="4781" spans="8:18" x14ac:dyDescent="0.35"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</row>
    <row r="4782" spans="8:18" x14ac:dyDescent="0.35"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</row>
    <row r="4783" spans="8:18" x14ac:dyDescent="0.35"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</row>
    <row r="4784" spans="8:18" x14ac:dyDescent="0.35"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</row>
    <row r="4785" spans="8:18" x14ac:dyDescent="0.35"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</row>
    <row r="4786" spans="8:18" x14ac:dyDescent="0.35"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</row>
    <row r="4787" spans="8:18" x14ac:dyDescent="0.35"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</row>
    <row r="4788" spans="8:18" x14ac:dyDescent="0.35"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</row>
    <row r="4789" spans="8:18" x14ac:dyDescent="0.35"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</row>
    <row r="4790" spans="8:18" x14ac:dyDescent="0.35"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</row>
    <row r="4791" spans="8:18" x14ac:dyDescent="0.35"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</row>
    <row r="4792" spans="8:18" x14ac:dyDescent="0.35"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</row>
    <row r="4793" spans="8:18" x14ac:dyDescent="0.35"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</row>
    <row r="4794" spans="8:18" x14ac:dyDescent="0.35"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</row>
    <row r="4795" spans="8:18" x14ac:dyDescent="0.35"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</row>
    <row r="4796" spans="8:18" x14ac:dyDescent="0.35"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</row>
    <row r="4797" spans="8:18" x14ac:dyDescent="0.35"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</row>
    <row r="4798" spans="8:18" x14ac:dyDescent="0.35"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</row>
    <row r="4799" spans="8:18" x14ac:dyDescent="0.35"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</row>
    <row r="4800" spans="8:18" x14ac:dyDescent="0.35"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</row>
    <row r="4801" spans="8:18" x14ac:dyDescent="0.35"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</row>
    <row r="4802" spans="8:18" x14ac:dyDescent="0.35"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</row>
    <row r="4803" spans="8:18" x14ac:dyDescent="0.35"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</row>
    <row r="4804" spans="8:18" x14ac:dyDescent="0.35"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</row>
    <row r="4805" spans="8:18" x14ac:dyDescent="0.35"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</row>
    <row r="4806" spans="8:18" x14ac:dyDescent="0.35"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</row>
    <row r="4807" spans="8:18" x14ac:dyDescent="0.35"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</row>
    <row r="4808" spans="8:18" x14ac:dyDescent="0.35"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</row>
    <row r="4809" spans="8:18" x14ac:dyDescent="0.35"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</row>
    <row r="4810" spans="8:18" x14ac:dyDescent="0.35"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</row>
    <row r="4811" spans="8:18" x14ac:dyDescent="0.35"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</row>
    <row r="4812" spans="8:18" x14ac:dyDescent="0.35"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</row>
    <row r="4813" spans="8:18" x14ac:dyDescent="0.35"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</row>
    <row r="4814" spans="8:18" x14ac:dyDescent="0.35"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</row>
    <row r="4815" spans="8:18" x14ac:dyDescent="0.35"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</row>
    <row r="4816" spans="8:18" x14ac:dyDescent="0.35"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</row>
    <row r="4817" spans="8:18" x14ac:dyDescent="0.35"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</row>
    <row r="4818" spans="8:18" x14ac:dyDescent="0.35"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</row>
    <row r="4819" spans="8:18" x14ac:dyDescent="0.35"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</row>
    <row r="4820" spans="8:18" x14ac:dyDescent="0.35"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</row>
    <row r="4821" spans="8:18" x14ac:dyDescent="0.35"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</row>
    <row r="4822" spans="8:18" x14ac:dyDescent="0.35"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</row>
    <row r="4823" spans="8:18" x14ac:dyDescent="0.35"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</row>
    <row r="4824" spans="8:18" x14ac:dyDescent="0.35"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</row>
    <row r="4825" spans="8:18" x14ac:dyDescent="0.35"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</row>
    <row r="4826" spans="8:18" x14ac:dyDescent="0.35"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</row>
    <row r="4827" spans="8:18" x14ac:dyDescent="0.35"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</row>
    <row r="4828" spans="8:18" x14ac:dyDescent="0.35"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</row>
    <row r="4829" spans="8:18" x14ac:dyDescent="0.35"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</row>
    <row r="4830" spans="8:18" x14ac:dyDescent="0.35"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</row>
    <row r="4831" spans="8:18" x14ac:dyDescent="0.35"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</row>
    <row r="4832" spans="8:18" x14ac:dyDescent="0.35"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</row>
    <row r="4833" spans="8:18" x14ac:dyDescent="0.35"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</row>
    <row r="4834" spans="8:18" x14ac:dyDescent="0.35"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</row>
    <row r="4835" spans="8:18" x14ac:dyDescent="0.35"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</row>
    <row r="4836" spans="8:18" x14ac:dyDescent="0.35"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</row>
    <row r="4837" spans="8:18" x14ac:dyDescent="0.35"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</row>
    <row r="4838" spans="8:18" x14ac:dyDescent="0.35"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</row>
    <row r="4839" spans="8:18" x14ac:dyDescent="0.35"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</row>
    <row r="4840" spans="8:18" x14ac:dyDescent="0.35"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</row>
    <row r="4841" spans="8:18" x14ac:dyDescent="0.35"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</row>
    <row r="4842" spans="8:18" x14ac:dyDescent="0.35"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</row>
    <row r="4843" spans="8:18" x14ac:dyDescent="0.35"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</row>
    <row r="4844" spans="8:18" x14ac:dyDescent="0.35"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</row>
    <row r="4845" spans="8:18" x14ac:dyDescent="0.35"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</row>
    <row r="4846" spans="8:18" x14ac:dyDescent="0.35"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</row>
    <row r="4847" spans="8:18" x14ac:dyDescent="0.35"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</row>
    <row r="4848" spans="8:18" x14ac:dyDescent="0.35"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</row>
    <row r="4849" spans="8:18" x14ac:dyDescent="0.35"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</row>
    <row r="4850" spans="8:18" x14ac:dyDescent="0.35"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</row>
    <row r="4851" spans="8:18" x14ac:dyDescent="0.35"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</row>
    <row r="4852" spans="8:18" x14ac:dyDescent="0.35"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</row>
    <row r="4853" spans="8:18" x14ac:dyDescent="0.35"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</row>
    <row r="4854" spans="8:18" x14ac:dyDescent="0.35"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</row>
    <row r="4855" spans="8:18" x14ac:dyDescent="0.35"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</row>
    <row r="4856" spans="8:18" x14ac:dyDescent="0.35"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</row>
    <row r="4857" spans="8:18" x14ac:dyDescent="0.35"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</row>
    <row r="4858" spans="8:18" x14ac:dyDescent="0.35"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</row>
    <row r="4859" spans="8:18" x14ac:dyDescent="0.35"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</row>
    <row r="4860" spans="8:18" x14ac:dyDescent="0.35"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</row>
    <row r="4861" spans="8:18" x14ac:dyDescent="0.35"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</row>
    <row r="4862" spans="8:18" x14ac:dyDescent="0.35"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</row>
    <row r="4863" spans="8:18" x14ac:dyDescent="0.35"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</row>
    <row r="4864" spans="8:18" x14ac:dyDescent="0.35"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</row>
    <row r="4865" spans="8:18" x14ac:dyDescent="0.35"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</row>
    <row r="4866" spans="8:18" x14ac:dyDescent="0.35"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</row>
    <row r="4867" spans="8:18" x14ac:dyDescent="0.35"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</row>
    <row r="4868" spans="8:18" x14ac:dyDescent="0.35"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</row>
    <row r="4869" spans="8:18" x14ac:dyDescent="0.35"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</row>
    <row r="4870" spans="8:18" x14ac:dyDescent="0.35"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</row>
    <row r="4871" spans="8:18" x14ac:dyDescent="0.35"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</row>
    <row r="4872" spans="8:18" x14ac:dyDescent="0.35"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</row>
    <row r="4873" spans="8:18" x14ac:dyDescent="0.35"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</row>
    <row r="4874" spans="8:18" x14ac:dyDescent="0.35"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</row>
    <row r="4875" spans="8:18" x14ac:dyDescent="0.35"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</row>
    <row r="4876" spans="8:18" x14ac:dyDescent="0.35"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</row>
    <row r="4877" spans="8:18" x14ac:dyDescent="0.35"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</row>
    <row r="4878" spans="8:18" x14ac:dyDescent="0.35"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</row>
    <row r="4879" spans="8:18" x14ac:dyDescent="0.35"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</row>
    <row r="4880" spans="8:18" x14ac:dyDescent="0.35"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</row>
    <row r="4881" spans="8:18" x14ac:dyDescent="0.35"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</row>
    <row r="4882" spans="8:18" x14ac:dyDescent="0.35"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</row>
    <row r="4883" spans="8:18" x14ac:dyDescent="0.35"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</row>
    <row r="4884" spans="8:18" x14ac:dyDescent="0.35"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</row>
    <row r="4885" spans="8:18" x14ac:dyDescent="0.35"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</row>
    <row r="4886" spans="8:18" x14ac:dyDescent="0.35"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</row>
    <row r="4887" spans="8:18" x14ac:dyDescent="0.35"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</row>
    <row r="4888" spans="8:18" x14ac:dyDescent="0.35"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</row>
    <row r="4889" spans="8:18" x14ac:dyDescent="0.35"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</row>
    <row r="4890" spans="8:18" x14ac:dyDescent="0.35"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</row>
    <row r="4891" spans="8:18" x14ac:dyDescent="0.35"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</row>
    <row r="4892" spans="8:18" x14ac:dyDescent="0.35"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</row>
    <row r="4893" spans="8:18" x14ac:dyDescent="0.35"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</row>
    <row r="4894" spans="8:18" x14ac:dyDescent="0.35"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</row>
    <row r="4895" spans="8:18" x14ac:dyDescent="0.35"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</row>
    <row r="4896" spans="8:18" x14ac:dyDescent="0.35"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</row>
    <row r="4897" spans="8:18" x14ac:dyDescent="0.35"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</row>
    <row r="4898" spans="8:18" x14ac:dyDescent="0.35"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</row>
    <row r="4899" spans="8:18" x14ac:dyDescent="0.35"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</row>
    <row r="4900" spans="8:18" x14ac:dyDescent="0.35"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</row>
    <row r="4901" spans="8:18" x14ac:dyDescent="0.35"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</row>
    <row r="4902" spans="8:18" x14ac:dyDescent="0.35"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</row>
    <row r="4903" spans="8:18" x14ac:dyDescent="0.35"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</row>
    <row r="4904" spans="8:18" x14ac:dyDescent="0.35"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</row>
    <row r="4905" spans="8:18" x14ac:dyDescent="0.35"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</row>
    <row r="4906" spans="8:18" x14ac:dyDescent="0.35"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</row>
    <row r="4907" spans="8:18" x14ac:dyDescent="0.35"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</row>
    <row r="4908" spans="8:18" x14ac:dyDescent="0.35"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</row>
    <row r="4909" spans="8:18" x14ac:dyDescent="0.35"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</row>
    <row r="4910" spans="8:18" x14ac:dyDescent="0.35"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</row>
    <row r="4911" spans="8:18" x14ac:dyDescent="0.35"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</row>
    <row r="4912" spans="8:18" x14ac:dyDescent="0.35"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</row>
    <row r="4913" spans="8:18" x14ac:dyDescent="0.35"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</row>
    <row r="4914" spans="8:18" x14ac:dyDescent="0.35"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</row>
    <row r="4915" spans="8:18" x14ac:dyDescent="0.35"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</row>
    <row r="4916" spans="8:18" x14ac:dyDescent="0.35"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</row>
    <row r="4917" spans="8:18" x14ac:dyDescent="0.35"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</row>
    <row r="4918" spans="8:18" x14ac:dyDescent="0.35"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</row>
    <row r="4919" spans="8:18" x14ac:dyDescent="0.35"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</row>
    <row r="4920" spans="8:18" x14ac:dyDescent="0.35"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</row>
    <row r="4921" spans="8:18" x14ac:dyDescent="0.35"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</row>
    <row r="4922" spans="8:18" x14ac:dyDescent="0.35"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</row>
    <row r="4923" spans="8:18" x14ac:dyDescent="0.35"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</row>
    <row r="4924" spans="8:18" x14ac:dyDescent="0.35"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</row>
    <row r="4925" spans="8:18" x14ac:dyDescent="0.35"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</row>
    <row r="4926" spans="8:18" x14ac:dyDescent="0.35"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</row>
    <row r="4927" spans="8:18" x14ac:dyDescent="0.35"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</row>
    <row r="4928" spans="8:18" x14ac:dyDescent="0.35"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</row>
    <row r="4929" spans="8:18" x14ac:dyDescent="0.35"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</row>
    <row r="4930" spans="8:18" x14ac:dyDescent="0.35"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</row>
    <row r="4931" spans="8:18" x14ac:dyDescent="0.35"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</row>
    <row r="4932" spans="8:18" x14ac:dyDescent="0.35"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</row>
    <row r="4933" spans="8:18" x14ac:dyDescent="0.35"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</row>
    <row r="4934" spans="8:18" x14ac:dyDescent="0.35"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</row>
    <row r="4935" spans="8:18" x14ac:dyDescent="0.35"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</row>
    <row r="4936" spans="8:18" x14ac:dyDescent="0.35"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</row>
    <row r="4937" spans="8:18" x14ac:dyDescent="0.35"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</row>
    <row r="4938" spans="8:18" x14ac:dyDescent="0.35"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</row>
    <row r="4939" spans="8:18" x14ac:dyDescent="0.35"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</row>
    <row r="4940" spans="8:18" x14ac:dyDescent="0.35"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</row>
    <row r="4941" spans="8:18" x14ac:dyDescent="0.35"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</row>
    <row r="4942" spans="8:18" x14ac:dyDescent="0.35"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</row>
    <row r="4943" spans="8:18" x14ac:dyDescent="0.35"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</row>
    <row r="4944" spans="8:18" x14ac:dyDescent="0.35"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</row>
    <row r="4945" spans="8:18" x14ac:dyDescent="0.35"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</row>
    <row r="4946" spans="8:18" x14ac:dyDescent="0.35"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</row>
    <row r="4947" spans="8:18" x14ac:dyDescent="0.35"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</row>
    <row r="4948" spans="8:18" x14ac:dyDescent="0.35"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</row>
    <row r="4949" spans="8:18" x14ac:dyDescent="0.35"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</row>
    <row r="4950" spans="8:18" x14ac:dyDescent="0.35"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</row>
    <row r="4951" spans="8:18" x14ac:dyDescent="0.35"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</row>
    <row r="4952" spans="8:18" x14ac:dyDescent="0.35"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</row>
    <row r="4953" spans="8:18" x14ac:dyDescent="0.35"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</row>
    <row r="4954" spans="8:18" x14ac:dyDescent="0.35"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</row>
    <row r="4955" spans="8:18" x14ac:dyDescent="0.35"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</row>
    <row r="4956" spans="8:18" x14ac:dyDescent="0.35"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</row>
    <row r="4957" spans="8:18" x14ac:dyDescent="0.35"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</row>
    <row r="4958" spans="8:18" x14ac:dyDescent="0.35"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</row>
    <row r="4959" spans="8:18" x14ac:dyDescent="0.35"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</row>
    <row r="4960" spans="8:18" x14ac:dyDescent="0.35"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</row>
    <row r="4961" spans="8:18" x14ac:dyDescent="0.35"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</row>
    <row r="4962" spans="8:18" x14ac:dyDescent="0.35"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</row>
    <row r="4963" spans="8:18" x14ac:dyDescent="0.35"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</row>
    <row r="4964" spans="8:18" x14ac:dyDescent="0.35"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</row>
    <row r="4965" spans="8:18" x14ac:dyDescent="0.35"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</row>
    <row r="4966" spans="8:18" x14ac:dyDescent="0.35"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</row>
    <row r="4967" spans="8:18" x14ac:dyDescent="0.35"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</row>
    <row r="4968" spans="8:18" x14ac:dyDescent="0.35"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</row>
    <row r="4969" spans="8:18" x14ac:dyDescent="0.35"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</row>
    <row r="4970" spans="8:18" x14ac:dyDescent="0.35"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</row>
    <row r="4971" spans="8:18" x14ac:dyDescent="0.35"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</row>
    <row r="4972" spans="8:18" x14ac:dyDescent="0.35"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</row>
    <row r="4973" spans="8:18" x14ac:dyDescent="0.35"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</row>
    <row r="4974" spans="8:18" x14ac:dyDescent="0.35"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</row>
    <row r="4975" spans="8:18" x14ac:dyDescent="0.35"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</row>
    <row r="4976" spans="8:18" x14ac:dyDescent="0.35"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</row>
    <row r="4977" spans="8:18" x14ac:dyDescent="0.35"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</row>
    <row r="4978" spans="8:18" x14ac:dyDescent="0.35"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</row>
    <row r="4979" spans="8:18" x14ac:dyDescent="0.35"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</row>
    <row r="4980" spans="8:18" x14ac:dyDescent="0.35"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</row>
    <row r="4981" spans="8:18" x14ac:dyDescent="0.35"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</row>
    <row r="4982" spans="8:18" x14ac:dyDescent="0.35"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</row>
    <row r="4983" spans="8:18" x14ac:dyDescent="0.35"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</row>
    <row r="4984" spans="8:18" x14ac:dyDescent="0.35"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</row>
    <row r="4985" spans="8:18" x14ac:dyDescent="0.35"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</row>
    <row r="4986" spans="8:18" x14ac:dyDescent="0.35"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</row>
    <row r="4987" spans="8:18" x14ac:dyDescent="0.35"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</row>
    <row r="4988" spans="8:18" x14ac:dyDescent="0.35"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</row>
    <row r="4989" spans="8:18" x14ac:dyDescent="0.35"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</row>
    <row r="4990" spans="8:18" x14ac:dyDescent="0.35"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</row>
    <row r="4991" spans="8:18" x14ac:dyDescent="0.35"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</row>
    <row r="4992" spans="8:18" x14ac:dyDescent="0.35"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</row>
    <row r="4993" spans="8:18" x14ac:dyDescent="0.35"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</row>
    <row r="4994" spans="8:18" x14ac:dyDescent="0.35"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</row>
    <row r="4995" spans="8:18" x14ac:dyDescent="0.35"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</row>
    <row r="4996" spans="8:18" x14ac:dyDescent="0.35"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</row>
    <row r="4997" spans="8:18" x14ac:dyDescent="0.35"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</row>
    <row r="4998" spans="8:18" x14ac:dyDescent="0.35"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</row>
    <row r="4999" spans="8:18" x14ac:dyDescent="0.35"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</row>
    <row r="5000" spans="8:18" x14ac:dyDescent="0.35"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</row>
    <row r="5001" spans="8:18" x14ac:dyDescent="0.35"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3"/>
    </row>
    <row r="5002" spans="8:18" x14ac:dyDescent="0.35"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3"/>
    </row>
    <row r="5003" spans="8:18" x14ac:dyDescent="0.35"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</row>
    <row r="5004" spans="8:18" x14ac:dyDescent="0.35"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</row>
    <row r="5005" spans="8:18" x14ac:dyDescent="0.35"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3"/>
    </row>
    <row r="5006" spans="8:18" x14ac:dyDescent="0.35"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3"/>
    </row>
    <row r="5007" spans="8:18" x14ac:dyDescent="0.35"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</row>
    <row r="5008" spans="8:18" x14ac:dyDescent="0.35"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</row>
    <row r="5009" spans="8:18" x14ac:dyDescent="0.35"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</row>
    <row r="5010" spans="8:18" x14ac:dyDescent="0.35"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3"/>
    </row>
    <row r="5011" spans="8:18" x14ac:dyDescent="0.35"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</row>
    <row r="5012" spans="8:18" x14ac:dyDescent="0.35"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</row>
    <row r="5013" spans="8:18" x14ac:dyDescent="0.35"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3"/>
    </row>
    <row r="5014" spans="8:18" x14ac:dyDescent="0.35"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3"/>
    </row>
    <row r="5015" spans="8:18" x14ac:dyDescent="0.35"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</row>
    <row r="5016" spans="8:18" x14ac:dyDescent="0.35"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</row>
    <row r="5017" spans="8:18" x14ac:dyDescent="0.35"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3"/>
    </row>
    <row r="5018" spans="8:18" x14ac:dyDescent="0.35"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3"/>
    </row>
    <row r="5019" spans="8:18" x14ac:dyDescent="0.35"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</row>
    <row r="5020" spans="8:18" x14ac:dyDescent="0.35"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</row>
    <row r="5021" spans="8:18" x14ac:dyDescent="0.35"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</row>
    <row r="5022" spans="8:18" x14ac:dyDescent="0.35"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3"/>
    </row>
    <row r="5023" spans="8:18" x14ac:dyDescent="0.35"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</row>
    <row r="5024" spans="8:18" x14ac:dyDescent="0.35"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</row>
    <row r="5025" spans="8:18" x14ac:dyDescent="0.35"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</row>
    <row r="5026" spans="8:18" x14ac:dyDescent="0.35"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</row>
    <row r="5027" spans="8:18" x14ac:dyDescent="0.35"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</row>
    <row r="5028" spans="8:18" x14ac:dyDescent="0.35"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</row>
    <row r="5029" spans="8:18" x14ac:dyDescent="0.35"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3"/>
    </row>
    <row r="5030" spans="8:18" x14ac:dyDescent="0.35"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3"/>
    </row>
    <row r="5031" spans="8:18" x14ac:dyDescent="0.35"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</row>
    <row r="5032" spans="8:18" x14ac:dyDescent="0.35"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</row>
    <row r="5033" spans="8:18" x14ac:dyDescent="0.35"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3"/>
    </row>
    <row r="5034" spans="8:18" x14ac:dyDescent="0.35"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3"/>
    </row>
    <row r="5035" spans="8:18" x14ac:dyDescent="0.35"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</row>
    <row r="5036" spans="8:18" x14ac:dyDescent="0.35"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</row>
    <row r="5037" spans="8:18" x14ac:dyDescent="0.35"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3"/>
    </row>
    <row r="5038" spans="8:18" x14ac:dyDescent="0.35"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3"/>
    </row>
    <row r="5039" spans="8:18" x14ac:dyDescent="0.35"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</row>
    <row r="5040" spans="8:18" x14ac:dyDescent="0.35"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</row>
    <row r="5041" spans="8:18" x14ac:dyDescent="0.35"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3"/>
    </row>
    <row r="5042" spans="8:18" x14ac:dyDescent="0.35"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3"/>
    </row>
    <row r="5043" spans="8:18" x14ac:dyDescent="0.35"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</row>
    <row r="5044" spans="8:18" x14ac:dyDescent="0.35"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</row>
    <row r="5045" spans="8:18" x14ac:dyDescent="0.35"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3"/>
    </row>
    <row r="5046" spans="8:18" x14ac:dyDescent="0.35"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3"/>
    </row>
    <row r="5047" spans="8:18" x14ac:dyDescent="0.35"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</row>
    <row r="5048" spans="8:18" x14ac:dyDescent="0.35"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</row>
    <row r="5049" spans="8:18" x14ac:dyDescent="0.35"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3"/>
    </row>
    <row r="5050" spans="8:18" x14ac:dyDescent="0.35"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3"/>
    </row>
    <row r="5051" spans="8:18" x14ac:dyDescent="0.35"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</row>
    <row r="5052" spans="8:18" x14ac:dyDescent="0.35"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</row>
    <row r="5053" spans="8:18" x14ac:dyDescent="0.35"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</row>
    <row r="5054" spans="8:18" x14ac:dyDescent="0.35"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3"/>
    </row>
    <row r="5055" spans="8:18" x14ac:dyDescent="0.35"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</row>
    <row r="5056" spans="8:18" x14ac:dyDescent="0.35"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</row>
    <row r="5057" spans="8:18" x14ac:dyDescent="0.35"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3"/>
    </row>
    <row r="5058" spans="8:18" x14ac:dyDescent="0.35"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3"/>
    </row>
    <row r="5059" spans="8:18" x14ac:dyDescent="0.35"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</row>
    <row r="5060" spans="8:18" x14ac:dyDescent="0.35"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</row>
    <row r="5061" spans="8:18" x14ac:dyDescent="0.35"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3"/>
    </row>
    <row r="5062" spans="8:18" x14ac:dyDescent="0.35"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3"/>
    </row>
    <row r="5063" spans="8:18" x14ac:dyDescent="0.35"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</row>
    <row r="5064" spans="8:18" x14ac:dyDescent="0.35"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</row>
    <row r="5065" spans="8:18" x14ac:dyDescent="0.35"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3"/>
    </row>
    <row r="5066" spans="8:18" x14ac:dyDescent="0.35"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3"/>
    </row>
    <row r="5067" spans="8:18" x14ac:dyDescent="0.35"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</row>
    <row r="5068" spans="8:18" x14ac:dyDescent="0.35"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</row>
    <row r="5069" spans="8:18" x14ac:dyDescent="0.35"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</row>
    <row r="5070" spans="8:18" x14ac:dyDescent="0.35"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</row>
    <row r="5071" spans="8:18" x14ac:dyDescent="0.35"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</row>
    <row r="5072" spans="8:18" x14ac:dyDescent="0.35"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</row>
    <row r="5073" spans="8:18" x14ac:dyDescent="0.35"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</row>
    <row r="5074" spans="8:18" x14ac:dyDescent="0.35"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</row>
    <row r="5075" spans="8:18" x14ac:dyDescent="0.35"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</row>
    <row r="5076" spans="8:18" x14ac:dyDescent="0.35"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</row>
    <row r="5077" spans="8:18" x14ac:dyDescent="0.35"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</row>
    <row r="5078" spans="8:18" x14ac:dyDescent="0.35"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</row>
    <row r="5079" spans="8:18" x14ac:dyDescent="0.35"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</row>
    <row r="5080" spans="8:18" x14ac:dyDescent="0.35"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</row>
    <row r="5081" spans="8:18" x14ac:dyDescent="0.35"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</row>
    <row r="5082" spans="8:18" x14ac:dyDescent="0.35"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</row>
    <row r="5083" spans="8:18" x14ac:dyDescent="0.35"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</row>
    <row r="5084" spans="8:18" x14ac:dyDescent="0.35"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</row>
    <row r="5085" spans="8:18" x14ac:dyDescent="0.35"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</row>
    <row r="5086" spans="8:18" x14ac:dyDescent="0.35"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</row>
    <row r="5087" spans="8:18" x14ac:dyDescent="0.35"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</row>
    <row r="5088" spans="8:18" x14ac:dyDescent="0.35"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</row>
    <row r="5089" spans="8:18" x14ac:dyDescent="0.35"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</row>
    <row r="5090" spans="8:18" x14ac:dyDescent="0.35"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</row>
    <row r="5091" spans="8:18" x14ac:dyDescent="0.35"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</row>
    <row r="5092" spans="8:18" x14ac:dyDescent="0.35"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</row>
    <row r="5093" spans="8:18" x14ac:dyDescent="0.35"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</row>
    <row r="5094" spans="8:18" x14ac:dyDescent="0.35"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</row>
    <row r="5095" spans="8:18" x14ac:dyDescent="0.35"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</row>
    <row r="5096" spans="8:18" x14ac:dyDescent="0.35"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</row>
    <row r="5097" spans="8:18" x14ac:dyDescent="0.35"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</row>
    <row r="5098" spans="8:18" x14ac:dyDescent="0.35"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</row>
    <row r="5099" spans="8:18" x14ac:dyDescent="0.35"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</row>
    <row r="5100" spans="8:18" x14ac:dyDescent="0.35"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</row>
    <row r="5101" spans="8:18" x14ac:dyDescent="0.35"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</row>
    <row r="5102" spans="8:18" x14ac:dyDescent="0.35"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</row>
    <row r="5103" spans="8:18" x14ac:dyDescent="0.35"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</row>
    <row r="5104" spans="8:18" x14ac:dyDescent="0.35"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</row>
    <row r="5105" spans="8:18" x14ac:dyDescent="0.35"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</row>
    <row r="5106" spans="8:18" x14ac:dyDescent="0.35"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</row>
    <row r="5107" spans="8:18" x14ac:dyDescent="0.35"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</row>
    <row r="5108" spans="8:18" x14ac:dyDescent="0.35"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</row>
    <row r="5109" spans="8:18" x14ac:dyDescent="0.35"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</row>
    <row r="5110" spans="8:18" x14ac:dyDescent="0.35"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3"/>
    </row>
    <row r="5111" spans="8:18" x14ac:dyDescent="0.35"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</row>
    <row r="5112" spans="8:18" x14ac:dyDescent="0.35"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</row>
    <row r="5113" spans="8:18" x14ac:dyDescent="0.35"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3"/>
    </row>
    <row r="5114" spans="8:18" x14ac:dyDescent="0.35"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</row>
    <row r="5115" spans="8:18" x14ac:dyDescent="0.35"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</row>
    <row r="5116" spans="8:18" x14ac:dyDescent="0.35"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</row>
    <row r="5117" spans="8:18" x14ac:dyDescent="0.35">
      <c r="H5117" s="13"/>
      <c r="I5117" s="13"/>
      <c r="J5117" s="13"/>
      <c r="K5117" s="13"/>
      <c r="L5117" s="13"/>
      <c r="M5117" s="13"/>
      <c r="N5117" s="13"/>
      <c r="O5117" s="13"/>
      <c r="P5117" s="13"/>
      <c r="Q5117" s="13"/>
      <c r="R5117" s="13"/>
    </row>
    <row r="5118" spans="8:18" x14ac:dyDescent="0.35"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</row>
    <row r="5119" spans="8:18" x14ac:dyDescent="0.35"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</row>
    <row r="5120" spans="8:18" x14ac:dyDescent="0.35"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</row>
    <row r="5121" spans="8:18" x14ac:dyDescent="0.35"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</row>
    <row r="5122" spans="8:18" x14ac:dyDescent="0.35"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</row>
    <row r="5123" spans="8:18" x14ac:dyDescent="0.35"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</row>
    <row r="5124" spans="8:18" x14ac:dyDescent="0.35"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</row>
    <row r="5125" spans="8:18" x14ac:dyDescent="0.35"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</row>
    <row r="5126" spans="8:18" x14ac:dyDescent="0.35"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</row>
    <row r="5127" spans="8:18" x14ac:dyDescent="0.35"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</row>
    <row r="5128" spans="8:18" x14ac:dyDescent="0.35"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</row>
    <row r="5129" spans="8:18" x14ac:dyDescent="0.35"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</row>
    <row r="5130" spans="8:18" x14ac:dyDescent="0.35"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</row>
    <row r="5131" spans="8:18" x14ac:dyDescent="0.35"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</row>
    <row r="5132" spans="8:18" x14ac:dyDescent="0.35"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</row>
    <row r="5133" spans="8:18" x14ac:dyDescent="0.35"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</row>
    <row r="5134" spans="8:18" x14ac:dyDescent="0.35"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</row>
    <row r="5135" spans="8:18" x14ac:dyDescent="0.35"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</row>
    <row r="5136" spans="8:18" x14ac:dyDescent="0.35"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</row>
    <row r="5137" spans="8:18" x14ac:dyDescent="0.35"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</row>
    <row r="5138" spans="8:18" x14ac:dyDescent="0.35"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</row>
    <row r="5139" spans="8:18" x14ac:dyDescent="0.35"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</row>
    <row r="5140" spans="8:18" x14ac:dyDescent="0.35"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</row>
    <row r="5141" spans="8:18" x14ac:dyDescent="0.35"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</row>
    <row r="5142" spans="8:18" x14ac:dyDescent="0.35"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3"/>
    </row>
    <row r="5143" spans="8:18" x14ac:dyDescent="0.35"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</row>
    <row r="5144" spans="8:18" x14ac:dyDescent="0.35"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</row>
    <row r="5145" spans="8:18" x14ac:dyDescent="0.35"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</row>
    <row r="5146" spans="8:18" x14ac:dyDescent="0.35"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</row>
    <row r="5147" spans="8:18" x14ac:dyDescent="0.35"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</row>
    <row r="5148" spans="8:18" x14ac:dyDescent="0.35"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</row>
    <row r="5149" spans="8:18" x14ac:dyDescent="0.35"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</row>
    <row r="5150" spans="8:18" x14ac:dyDescent="0.35"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</row>
    <row r="5151" spans="8:18" x14ac:dyDescent="0.35"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</row>
    <row r="5152" spans="8:18" x14ac:dyDescent="0.35"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</row>
    <row r="5153" spans="8:18" x14ac:dyDescent="0.35"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</row>
    <row r="5154" spans="8:18" x14ac:dyDescent="0.35"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</row>
    <row r="5155" spans="8:18" x14ac:dyDescent="0.35"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</row>
    <row r="5156" spans="8:18" x14ac:dyDescent="0.35"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</row>
    <row r="5157" spans="8:18" x14ac:dyDescent="0.35"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</row>
    <row r="5158" spans="8:18" x14ac:dyDescent="0.35"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</row>
    <row r="5159" spans="8:18" x14ac:dyDescent="0.35"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</row>
    <row r="5160" spans="8:18" x14ac:dyDescent="0.35"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</row>
    <row r="5161" spans="8:18" x14ac:dyDescent="0.35"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</row>
    <row r="5162" spans="8:18" x14ac:dyDescent="0.35"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</row>
    <row r="5163" spans="8:18" x14ac:dyDescent="0.35"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</row>
    <row r="5164" spans="8:18" x14ac:dyDescent="0.35"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</row>
    <row r="5165" spans="8:18" x14ac:dyDescent="0.35"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</row>
    <row r="5166" spans="8:18" x14ac:dyDescent="0.35"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</row>
    <row r="5167" spans="8:18" x14ac:dyDescent="0.35"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</row>
    <row r="5168" spans="8:18" x14ac:dyDescent="0.35"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</row>
    <row r="5169" spans="8:18" x14ac:dyDescent="0.35"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</row>
    <row r="5170" spans="8:18" x14ac:dyDescent="0.35"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</row>
    <row r="5171" spans="8:18" x14ac:dyDescent="0.35"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</row>
    <row r="5172" spans="8:18" x14ac:dyDescent="0.35"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</row>
    <row r="5173" spans="8:18" x14ac:dyDescent="0.35"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</row>
    <row r="5174" spans="8:18" x14ac:dyDescent="0.35"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</row>
    <row r="5175" spans="8:18" x14ac:dyDescent="0.35"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</row>
    <row r="5176" spans="8:18" x14ac:dyDescent="0.35"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</row>
    <row r="5177" spans="8:18" x14ac:dyDescent="0.35"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3"/>
    </row>
    <row r="5178" spans="8:18" x14ac:dyDescent="0.35">
      <c r="H5178" s="13"/>
      <c r="I5178" s="13"/>
      <c r="J5178" s="13"/>
      <c r="K5178" s="13"/>
      <c r="L5178" s="13"/>
      <c r="M5178" s="13"/>
      <c r="N5178" s="13"/>
      <c r="O5178" s="13"/>
      <c r="P5178" s="13"/>
      <c r="Q5178" s="13"/>
      <c r="R5178" s="13"/>
    </row>
    <row r="5179" spans="8:18" x14ac:dyDescent="0.35"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</row>
    <row r="5180" spans="8:18" x14ac:dyDescent="0.35"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</row>
    <row r="5181" spans="8:18" x14ac:dyDescent="0.35"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3"/>
    </row>
    <row r="5182" spans="8:18" x14ac:dyDescent="0.35"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3"/>
    </row>
    <row r="5183" spans="8:18" x14ac:dyDescent="0.35"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</row>
    <row r="5184" spans="8:18" x14ac:dyDescent="0.35"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</row>
    <row r="5185" spans="8:18" x14ac:dyDescent="0.35"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3"/>
    </row>
    <row r="5186" spans="8:18" x14ac:dyDescent="0.35"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3"/>
    </row>
    <row r="5187" spans="8:18" x14ac:dyDescent="0.35"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</row>
    <row r="5188" spans="8:18" x14ac:dyDescent="0.35"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</row>
    <row r="5189" spans="8:18" x14ac:dyDescent="0.35"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</row>
    <row r="5190" spans="8:18" x14ac:dyDescent="0.35"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</row>
    <row r="5191" spans="8:18" x14ac:dyDescent="0.35"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</row>
    <row r="5192" spans="8:18" x14ac:dyDescent="0.35"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</row>
    <row r="5193" spans="8:18" x14ac:dyDescent="0.35"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</row>
    <row r="5194" spans="8:18" x14ac:dyDescent="0.35"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</row>
    <row r="5195" spans="8:18" x14ac:dyDescent="0.35"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</row>
    <row r="5196" spans="8:18" x14ac:dyDescent="0.35"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</row>
    <row r="5197" spans="8:18" x14ac:dyDescent="0.35"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</row>
    <row r="5198" spans="8:18" x14ac:dyDescent="0.35"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</row>
    <row r="5199" spans="8:18" x14ac:dyDescent="0.35"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</row>
    <row r="5200" spans="8:18" x14ac:dyDescent="0.35"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</row>
    <row r="5201" spans="8:18" x14ac:dyDescent="0.35"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</row>
    <row r="5202" spans="8:18" x14ac:dyDescent="0.35"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</row>
    <row r="5203" spans="8:18" x14ac:dyDescent="0.35"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</row>
    <row r="5204" spans="8:18" x14ac:dyDescent="0.35"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</row>
    <row r="5205" spans="8:18" x14ac:dyDescent="0.35"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</row>
    <row r="5206" spans="8:18" x14ac:dyDescent="0.35"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3"/>
    </row>
    <row r="5207" spans="8:18" x14ac:dyDescent="0.35"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</row>
    <row r="5208" spans="8:18" x14ac:dyDescent="0.35"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</row>
    <row r="5209" spans="8:18" x14ac:dyDescent="0.35"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3"/>
    </row>
    <row r="5210" spans="8:18" x14ac:dyDescent="0.35"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3"/>
    </row>
    <row r="5211" spans="8:18" x14ac:dyDescent="0.35"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</row>
    <row r="5212" spans="8:18" x14ac:dyDescent="0.35"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</row>
    <row r="5213" spans="8:18" x14ac:dyDescent="0.35"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3"/>
    </row>
    <row r="5214" spans="8:18" x14ac:dyDescent="0.35"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3"/>
    </row>
    <row r="5215" spans="8:18" x14ac:dyDescent="0.35"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</row>
    <row r="5216" spans="8:18" x14ac:dyDescent="0.35"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</row>
    <row r="5217" spans="8:18" x14ac:dyDescent="0.35"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3"/>
    </row>
    <row r="5218" spans="8:18" x14ac:dyDescent="0.35"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3"/>
    </row>
    <row r="5219" spans="8:18" x14ac:dyDescent="0.35"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</row>
    <row r="5220" spans="8:18" x14ac:dyDescent="0.35"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</row>
    <row r="5221" spans="8:18" x14ac:dyDescent="0.35"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3"/>
    </row>
    <row r="5222" spans="8:18" x14ac:dyDescent="0.35"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3"/>
    </row>
    <row r="5223" spans="8:18" x14ac:dyDescent="0.35"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</row>
    <row r="5224" spans="8:18" x14ac:dyDescent="0.35"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</row>
    <row r="5225" spans="8:18" x14ac:dyDescent="0.35"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3"/>
    </row>
    <row r="5226" spans="8:18" x14ac:dyDescent="0.35"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3"/>
    </row>
    <row r="5227" spans="8:18" x14ac:dyDescent="0.35"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</row>
    <row r="5228" spans="8:18" x14ac:dyDescent="0.35"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</row>
    <row r="5229" spans="8:18" x14ac:dyDescent="0.35"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3"/>
    </row>
    <row r="5230" spans="8:18" x14ac:dyDescent="0.35"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</row>
    <row r="5231" spans="8:18" x14ac:dyDescent="0.35"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</row>
    <row r="5232" spans="8:18" x14ac:dyDescent="0.35"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</row>
    <row r="5233" spans="8:18" x14ac:dyDescent="0.35"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</row>
    <row r="5234" spans="8:18" x14ac:dyDescent="0.35"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</row>
    <row r="5235" spans="8:18" x14ac:dyDescent="0.35"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</row>
    <row r="5236" spans="8:18" x14ac:dyDescent="0.35"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</row>
    <row r="5237" spans="8:18" x14ac:dyDescent="0.35"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3"/>
    </row>
    <row r="5238" spans="8:18" x14ac:dyDescent="0.35"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3"/>
    </row>
    <row r="5239" spans="8:18" x14ac:dyDescent="0.35"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</row>
    <row r="5240" spans="8:18" x14ac:dyDescent="0.35"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</row>
    <row r="5241" spans="8:18" x14ac:dyDescent="0.35"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3"/>
    </row>
    <row r="5242" spans="8:18" x14ac:dyDescent="0.35"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3"/>
    </row>
    <row r="5243" spans="8:18" x14ac:dyDescent="0.35"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</row>
    <row r="5244" spans="8:18" x14ac:dyDescent="0.35"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</row>
    <row r="5245" spans="8:18" x14ac:dyDescent="0.35"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3"/>
    </row>
    <row r="5246" spans="8:18" x14ac:dyDescent="0.35"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3"/>
    </row>
    <row r="5247" spans="8:18" x14ac:dyDescent="0.35"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</row>
    <row r="5248" spans="8:18" x14ac:dyDescent="0.35"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</row>
    <row r="5249" spans="8:18" x14ac:dyDescent="0.35"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3"/>
    </row>
    <row r="5250" spans="8:18" x14ac:dyDescent="0.35"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3"/>
    </row>
    <row r="5251" spans="8:18" x14ac:dyDescent="0.35"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</row>
    <row r="5252" spans="8:18" x14ac:dyDescent="0.35"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</row>
    <row r="5253" spans="8:18" x14ac:dyDescent="0.35"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</row>
    <row r="5254" spans="8:18" x14ac:dyDescent="0.35"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</row>
    <row r="5255" spans="8:18" x14ac:dyDescent="0.35"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</row>
    <row r="5256" spans="8:18" x14ac:dyDescent="0.35"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</row>
    <row r="5257" spans="8:18" x14ac:dyDescent="0.35"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</row>
    <row r="5258" spans="8:18" x14ac:dyDescent="0.35"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</row>
    <row r="5259" spans="8:18" x14ac:dyDescent="0.35"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</row>
    <row r="5260" spans="8:18" x14ac:dyDescent="0.35"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</row>
    <row r="5261" spans="8:18" x14ac:dyDescent="0.35"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</row>
    <row r="5262" spans="8:18" x14ac:dyDescent="0.35"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</row>
    <row r="5263" spans="8:18" x14ac:dyDescent="0.35"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</row>
    <row r="5264" spans="8:18" x14ac:dyDescent="0.35"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</row>
    <row r="5265" spans="8:18" x14ac:dyDescent="0.35"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3"/>
    </row>
    <row r="5266" spans="8:18" x14ac:dyDescent="0.35"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</row>
    <row r="5267" spans="8:18" x14ac:dyDescent="0.35"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</row>
    <row r="5268" spans="8:18" x14ac:dyDescent="0.35"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</row>
    <row r="5269" spans="8:18" x14ac:dyDescent="0.35"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</row>
    <row r="5270" spans="8:18" x14ac:dyDescent="0.35"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3"/>
    </row>
    <row r="5271" spans="8:18" x14ac:dyDescent="0.35"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</row>
    <row r="5272" spans="8:18" x14ac:dyDescent="0.35"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</row>
    <row r="5273" spans="8:18" x14ac:dyDescent="0.35"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</row>
    <row r="5274" spans="8:18" x14ac:dyDescent="0.35"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</row>
    <row r="5275" spans="8:18" x14ac:dyDescent="0.35"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</row>
    <row r="5276" spans="8:18" x14ac:dyDescent="0.35"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</row>
    <row r="5277" spans="8:18" x14ac:dyDescent="0.35"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</row>
    <row r="5278" spans="8:18" x14ac:dyDescent="0.35"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</row>
    <row r="5279" spans="8:18" x14ac:dyDescent="0.35"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</row>
    <row r="5280" spans="8:18" x14ac:dyDescent="0.35"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</row>
    <row r="5281" spans="8:18" x14ac:dyDescent="0.35"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</row>
    <row r="5282" spans="8:18" x14ac:dyDescent="0.35"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</row>
    <row r="5283" spans="8:18" x14ac:dyDescent="0.35"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</row>
    <row r="5284" spans="8:18" x14ac:dyDescent="0.35"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</row>
    <row r="5285" spans="8:18" x14ac:dyDescent="0.35"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</row>
    <row r="5286" spans="8:18" x14ac:dyDescent="0.35"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</row>
    <row r="5287" spans="8:18" x14ac:dyDescent="0.35"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</row>
    <row r="5288" spans="8:18" x14ac:dyDescent="0.35"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</row>
    <row r="5289" spans="8:18" x14ac:dyDescent="0.35"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</row>
    <row r="5290" spans="8:18" x14ac:dyDescent="0.35"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</row>
    <row r="5291" spans="8:18" x14ac:dyDescent="0.35"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</row>
    <row r="5292" spans="8:18" x14ac:dyDescent="0.35"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</row>
    <row r="5293" spans="8:18" x14ac:dyDescent="0.35"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</row>
    <row r="5294" spans="8:18" x14ac:dyDescent="0.35"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</row>
    <row r="5295" spans="8:18" x14ac:dyDescent="0.35"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</row>
    <row r="5296" spans="8:18" x14ac:dyDescent="0.35"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</row>
    <row r="5297" spans="8:18" x14ac:dyDescent="0.35"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</row>
    <row r="5298" spans="8:18" x14ac:dyDescent="0.35"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</row>
    <row r="5299" spans="8:18" x14ac:dyDescent="0.35"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</row>
    <row r="5300" spans="8:18" x14ac:dyDescent="0.35"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</row>
    <row r="5301" spans="8:18" x14ac:dyDescent="0.35"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</row>
    <row r="5302" spans="8:18" x14ac:dyDescent="0.35"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3"/>
    </row>
    <row r="5303" spans="8:18" x14ac:dyDescent="0.35"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</row>
    <row r="5304" spans="8:18" x14ac:dyDescent="0.35"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</row>
    <row r="5305" spans="8:18" x14ac:dyDescent="0.35"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3"/>
    </row>
    <row r="5306" spans="8:18" x14ac:dyDescent="0.35"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3"/>
    </row>
    <row r="5307" spans="8:18" x14ac:dyDescent="0.35"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</row>
    <row r="5308" spans="8:18" x14ac:dyDescent="0.35"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</row>
    <row r="5309" spans="8:18" x14ac:dyDescent="0.35"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3"/>
    </row>
    <row r="5310" spans="8:18" x14ac:dyDescent="0.35"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3"/>
    </row>
    <row r="5311" spans="8:18" x14ac:dyDescent="0.35"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</row>
    <row r="5312" spans="8:18" x14ac:dyDescent="0.35"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</row>
    <row r="5313" spans="8:18" x14ac:dyDescent="0.35"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3"/>
    </row>
    <row r="5314" spans="8:18" x14ac:dyDescent="0.35"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3"/>
    </row>
    <row r="5315" spans="8:18" x14ac:dyDescent="0.35"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</row>
    <row r="5316" spans="8:18" x14ac:dyDescent="0.35"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</row>
    <row r="5317" spans="8:18" x14ac:dyDescent="0.35"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3"/>
    </row>
    <row r="5318" spans="8:18" x14ac:dyDescent="0.35"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3"/>
    </row>
    <row r="5319" spans="8:18" x14ac:dyDescent="0.35"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</row>
    <row r="5320" spans="8:18" x14ac:dyDescent="0.35"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</row>
    <row r="5321" spans="8:18" x14ac:dyDescent="0.35"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</row>
    <row r="5322" spans="8:18" x14ac:dyDescent="0.35"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</row>
    <row r="5323" spans="8:18" x14ac:dyDescent="0.35"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</row>
    <row r="5324" spans="8:18" x14ac:dyDescent="0.35"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</row>
    <row r="5325" spans="8:18" x14ac:dyDescent="0.35"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</row>
    <row r="5326" spans="8:18" x14ac:dyDescent="0.35"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</row>
    <row r="5327" spans="8:18" x14ac:dyDescent="0.35"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</row>
    <row r="5328" spans="8:18" x14ac:dyDescent="0.35"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</row>
    <row r="5329" spans="8:18" x14ac:dyDescent="0.35"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</row>
    <row r="5330" spans="8:18" x14ac:dyDescent="0.35"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3"/>
    </row>
    <row r="5331" spans="8:18" x14ac:dyDescent="0.35"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</row>
    <row r="5332" spans="8:18" x14ac:dyDescent="0.35"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</row>
    <row r="5333" spans="8:18" x14ac:dyDescent="0.35"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</row>
    <row r="5334" spans="8:18" x14ac:dyDescent="0.35"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3"/>
    </row>
    <row r="5335" spans="8:18" x14ac:dyDescent="0.35"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</row>
    <row r="5336" spans="8:18" x14ac:dyDescent="0.35"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</row>
    <row r="5337" spans="8:18" x14ac:dyDescent="0.35"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</row>
    <row r="5338" spans="8:18" x14ac:dyDescent="0.35"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</row>
    <row r="5339" spans="8:18" x14ac:dyDescent="0.35"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</row>
    <row r="5340" spans="8:18" x14ac:dyDescent="0.35"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</row>
    <row r="5341" spans="8:18" x14ac:dyDescent="0.35"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</row>
    <row r="5342" spans="8:18" x14ac:dyDescent="0.35"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</row>
    <row r="5343" spans="8:18" x14ac:dyDescent="0.35"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</row>
    <row r="5344" spans="8:18" x14ac:dyDescent="0.35"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</row>
    <row r="5345" spans="8:18" x14ac:dyDescent="0.35"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</row>
    <row r="5346" spans="8:18" x14ac:dyDescent="0.35"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</row>
    <row r="5347" spans="8:18" x14ac:dyDescent="0.35"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</row>
    <row r="5348" spans="8:18" x14ac:dyDescent="0.35"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</row>
    <row r="5349" spans="8:18" x14ac:dyDescent="0.35"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</row>
    <row r="5350" spans="8:18" x14ac:dyDescent="0.35"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</row>
    <row r="5351" spans="8:18" x14ac:dyDescent="0.35"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</row>
    <row r="5352" spans="8:18" x14ac:dyDescent="0.35"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</row>
    <row r="5353" spans="8:18" x14ac:dyDescent="0.35"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</row>
    <row r="5354" spans="8:18" x14ac:dyDescent="0.35"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</row>
    <row r="5355" spans="8:18" x14ac:dyDescent="0.35"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</row>
    <row r="5356" spans="8:18" x14ac:dyDescent="0.35"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</row>
    <row r="5357" spans="8:18" x14ac:dyDescent="0.35"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</row>
    <row r="5358" spans="8:18" x14ac:dyDescent="0.35"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</row>
    <row r="5359" spans="8:18" x14ac:dyDescent="0.35"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</row>
    <row r="5360" spans="8:18" x14ac:dyDescent="0.35"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</row>
    <row r="5361" spans="8:18" x14ac:dyDescent="0.35"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</row>
    <row r="5362" spans="8:18" x14ac:dyDescent="0.35"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</row>
    <row r="5363" spans="8:18" x14ac:dyDescent="0.35"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</row>
    <row r="5364" spans="8:18" x14ac:dyDescent="0.35"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</row>
    <row r="5365" spans="8:18" x14ac:dyDescent="0.35"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</row>
    <row r="5366" spans="8:18" x14ac:dyDescent="0.35"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</row>
    <row r="5367" spans="8:18" x14ac:dyDescent="0.35"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</row>
    <row r="5368" spans="8:18" x14ac:dyDescent="0.35"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</row>
    <row r="5369" spans="8:18" x14ac:dyDescent="0.35"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</row>
    <row r="5370" spans="8:18" x14ac:dyDescent="0.35"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</row>
    <row r="5371" spans="8:18" x14ac:dyDescent="0.35"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</row>
    <row r="5372" spans="8:18" x14ac:dyDescent="0.35"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</row>
    <row r="5373" spans="8:18" x14ac:dyDescent="0.35"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</row>
    <row r="5374" spans="8:18" x14ac:dyDescent="0.35"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</row>
    <row r="5375" spans="8:18" x14ac:dyDescent="0.35"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</row>
    <row r="5376" spans="8:18" x14ac:dyDescent="0.35"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</row>
    <row r="5377" spans="8:18" x14ac:dyDescent="0.35"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</row>
    <row r="5378" spans="8:18" x14ac:dyDescent="0.35"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</row>
    <row r="5379" spans="8:18" x14ac:dyDescent="0.35"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</row>
    <row r="5380" spans="8:18" x14ac:dyDescent="0.35"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</row>
    <row r="5381" spans="8:18" x14ac:dyDescent="0.35"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</row>
    <row r="5382" spans="8:18" x14ac:dyDescent="0.35"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</row>
    <row r="5383" spans="8:18" x14ac:dyDescent="0.35"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</row>
    <row r="5384" spans="8:18" x14ac:dyDescent="0.35"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</row>
    <row r="5385" spans="8:18" x14ac:dyDescent="0.35"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</row>
    <row r="5386" spans="8:18" x14ac:dyDescent="0.35"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</row>
    <row r="5387" spans="8:18" x14ac:dyDescent="0.35"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</row>
    <row r="5388" spans="8:18" x14ac:dyDescent="0.35"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</row>
    <row r="5389" spans="8:18" x14ac:dyDescent="0.35"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</row>
    <row r="5390" spans="8:18" x14ac:dyDescent="0.35"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</row>
    <row r="5391" spans="8:18" x14ac:dyDescent="0.35"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</row>
    <row r="5392" spans="8:18" x14ac:dyDescent="0.35"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</row>
    <row r="5393" spans="8:18" x14ac:dyDescent="0.35"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3"/>
    </row>
    <row r="5394" spans="8:18" x14ac:dyDescent="0.35"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</row>
    <row r="5395" spans="8:18" x14ac:dyDescent="0.35"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</row>
    <row r="5396" spans="8:18" x14ac:dyDescent="0.35"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</row>
    <row r="5397" spans="8:18" x14ac:dyDescent="0.35"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</row>
    <row r="5398" spans="8:18" x14ac:dyDescent="0.35"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</row>
    <row r="5399" spans="8:18" x14ac:dyDescent="0.35"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</row>
    <row r="5400" spans="8:18" x14ac:dyDescent="0.35"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</row>
    <row r="5401" spans="8:18" x14ac:dyDescent="0.35"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</row>
    <row r="5402" spans="8:18" x14ac:dyDescent="0.35"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</row>
    <row r="5403" spans="8:18" x14ac:dyDescent="0.35"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</row>
    <row r="5404" spans="8:18" x14ac:dyDescent="0.35"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</row>
    <row r="5405" spans="8:18" x14ac:dyDescent="0.35"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</row>
    <row r="5406" spans="8:18" x14ac:dyDescent="0.35"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</row>
    <row r="5407" spans="8:18" x14ac:dyDescent="0.35"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</row>
    <row r="5408" spans="8:18" x14ac:dyDescent="0.35"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</row>
    <row r="5409" spans="8:18" x14ac:dyDescent="0.35"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</row>
    <row r="5410" spans="8:18" x14ac:dyDescent="0.35"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</row>
    <row r="5411" spans="8:18" x14ac:dyDescent="0.35"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</row>
    <row r="5412" spans="8:18" x14ac:dyDescent="0.35"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</row>
    <row r="5413" spans="8:18" x14ac:dyDescent="0.35"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</row>
    <row r="5414" spans="8:18" x14ac:dyDescent="0.35"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</row>
    <row r="5415" spans="8:18" x14ac:dyDescent="0.35"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</row>
    <row r="5416" spans="8:18" x14ac:dyDescent="0.35"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</row>
    <row r="5417" spans="8:18" x14ac:dyDescent="0.35"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</row>
    <row r="5418" spans="8:18" x14ac:dyDescent="0.35"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</row>
    <row r="5419" spans="8:18" x14ac:dyDescent="0.35"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</row>
    <row r="5420" spans="8:18" x14ac:dyDescent="0.35"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</row>
    <row r="5421" spans="8:18" x14ac:dyDescent="0.35"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</row>
    <row r="5422" spans="8:18" x14ac:dyDescent="0.35"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</row>
    <row r="5423" spans="8:18" x14ac:dyDescent="0.35"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</row>
    <row r="5424" spans="8:18" x14ac:dyDescent="0.35"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</row>
    <row r="5425" spans="8:18" x14ac:dyDescent="0.35"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</row>
    <row r="5426" spans="8:18" x14ac:dyDescent="0.35"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</row>
    <row r="5427" spans="8:18" x14ac:dyDescent="0.35"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</row>
    <row r="5428" spans="8:18" x14ac:dyDescent="0.35"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</row>
    <row r="5429" spans="8:18" x14ac:dyDescent="0.35"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</row>
    <row r="5430" spans="8:18" x14ac:dyDescent="0.35"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</row>
    <row r="5431" spans="8:18" x14ac:dyDescent="0.35"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</row>
    <row r="5432" spans="8:18" x14ac:dyDescent="0.35"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</row>
    <row r="5433" spans="8:18" x14ac:dyDescent="0.35"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</row>
    <row r="5434" spans="8:18" x14ac:dyDescent="0.35"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</row>
    <row r="5435" spans="8:18" x14ac:dyDescent="0.35"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</row>
    <row r="5436" spans="8:18" x14ac:dyDescent="0.35"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</row>
    <row r="5437" spans="8:18" x14ac:dyDescent="0.35"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</row>
    <row r="5438" spans="8:18" x14ac:dyDescent="0.35"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</row>
    <row r="5439" spans="8:18" x14ac:dyDescent="0.35"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</row>
    <row r="5440" spans="8:18" x14ac:dyDescent="0.35"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</row>
    <row r="5441" spans="8:18" x14ac:dyDescent="0.35"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</row>
    <row r="5442" spans="8:18" x14ac:dyDescent="0.35"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</row>
    <row r="5443" spans="8:18" x14ac:dyDescent="0.35"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</row>
    <row r="5444" spans="8:18" x14ac:dyDescent="0.35"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</row>
    <row r="5445" spans="8:18" x14ac:dyDescent="0.35"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</row>
    <row r="5446" spans="8:18" x14ac:dyDescent="0.35"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</row>
    <row r="5447" spans="8:18" x14ac:dyDescent="0.35"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</row>
    <row r="5448" spans="8:18" x14ac:dyDescent="0.35"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</row>
    <row r="5449" spans="8:18" x14ac:dyDescent="0.35"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</row>
    <row r="5450" spans="8:18" x14ac:dyDescent="0.35"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</row>
    <row r="5451" spans="8:18" x14ac:dyDescent="0.35"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</row>
    <row r="5452" spans="8:18" x14ac:dyDescent="0.35"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</row>
    <row r="5453" spans="8:18" x14ac:dyDescent="0.35"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3"/>
    </row>
    <row r="5454" spans="8:18" x14ac:dyDescent="0.35"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3"/>
    </row>
    <row r="5455" spans="8:18" x14ac:dyDescent="0.35"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</row>
    <row r="5456" spans="8:18" x14ac:dyDescent="0.35"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</row>
    <row r="5457" spans="8:18" x14ac:dyDescent="0.35"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3"/>
    </row>
    <row r="5458" spans="8:18" x14ac:dyDescent="0.35"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</row>
    <row r="5459" spans="8:18" x14ac:dyDescent="0.35"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</row>
    <row r="5460" spans="8:18" x14ac:dyDescent="0.35"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</row>
    <row r="5461" spans="8:18" x14ac:dyDescent="0.35"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3"/>
    </row>
    <row r="5462" spans="8:18" x14ac:dyDescent="0.35"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3"/>
    </row>
    <row r="5463" spans="8:18" x14ac:dyDescent="0.35"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</row>
    <row r="5464" spans="8:18" x14ac:dyDescent="0.35"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</row>
    <row r="5465" spans="8:18" x14ac:dyDescent="0.35"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</row>
    <row r="5466" spans="8:18" x14ac:dyDescent="0.35"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</row>
    <row r="5467" spans="8:18" x14ac:dyDescent="0.35"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</row>
    <row r="5468" spans="8:18" x14ac:dyDescent="0.35"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</row>
    <row r="5469" spans="8:18" x14ac:dyDescent="0.35"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</row>
    <row r="5470" spans="8:18" x14ac:dyDescent="0.35"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</row>
    <row r="5471" spans="8:18" x14ac:dyDescent="0.35"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</row>
    <row r="5472" spans="8:18" x14ac:dyDescent="0.35"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</row>
    <row r="5473" spans="8:18" x14ac:dyDescent="0.35"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</row>
    <row r="5474" spans="8:18" x14ac:dyDescent="0.35"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</row>
    <row r="5475" spans="8:18" x14ac:dyDescent="0.35"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</row>
    <row r="5476" spans="8:18" x14ac:dyDescent="0.35"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</row>
    <row r="5477" spans="8:18" x14ac:dyDescent="0.35"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</row>
    <row r="5478" spans="8:18" x14ac:dyDescent="0.35"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</row>
    <row r="5479" spans="8:18" x14ac:dyDescent="0.35"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</row>
    <row r="5480" spans="8:18" x14ac:dyDescent="0.35"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</row>
    <row r="5481" spans="8:18" x14ac:dyDescent="0.35"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</row>
    <row r="5482" spans="8:18" x14ac:dyDescent="0.35"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</row>
    <row r="5483" spans="8:18" x14ac:dyDescent="0.35"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</row>
    <row r="5484" spans="8:18" x14ac:dyDescent="0.35"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</row>
    <row r="5485" spans="8:18" x14ac:dyDescent="0.35"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</row>
    <row r="5486" spans="8:18" x14ac:dyDescent="0.35"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</row>
    <row r="5487" spans="8:18" x14ac:dyDescent="0.35"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</row>
    <row r="5488" spans="8:18" x14ac:dyDescent="0.35"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</row>
    <row r="5489" spans="8:18" x14ac:dyDescent="0.35"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</row>
    <row r="5490" spans="8:18" x14ac:dyDescent="0.35"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</row>
    <row r="5491" spans="8:18" x14ac:dyDescent="0.35"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</row>
    <row r="5492" spans="8:18" x14ac:dyDescent="0.35"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</row>
    <row r="5493" spans="8:18" x14ac:dyDescent="0.35"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</row>
    <row r="5494" spans="8:18" x14ac:dyDescent="0.35"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</row>
    <row r="5495" spans="8:18" x14ac:dyDescent="0.35"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</row>
    <row r="5496" spans="8:18" x14ac:dyDescent="0.35"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</row>
    <row r="5497" spans="8:18" x14ac:dyDescent="0.35"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</row>
    <row r="5498" spans="8:18" x14ac:dyDescent="0.35"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</row>
    <row r="5499" spans="8:18" x14ac:dyDescent="0.35"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</row>
    <row r="5500" spans="8:18" x14ac:dyDescent="0.35"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</row>
    <row r="5501" spans="8:18" x14ac:dyDescent="0.35"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3"/>
    </row>
    <row r="5502" spans="8:18" x14ac:dyDescent="0.35"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</row>
    <row r="5503" spans="8:18" x14ac:dyDescent="0.35"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</row>
    <row r="5504" spans="8:18" x14ac:dyDescent="0.35"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</row>
    <row r="5505" spans="8:18" x14ac:dyDescent="0.35"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</row>
    <row r="5506" spans="8:18" x14ac:dyDescent="0.35"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</row>
    <row r="5507" spans="8:18" x14ac:dyDescent="0.35"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</row>
    <row r="5508" spans="8:18" x14ac:dyDescent="0.35"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</row>
    <row r="5509" spans="8:18" x14ac:dyDescent="0.35"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</row>
    <row r="5510" spans="8:18" x14ac:dyDescent="0.35"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</row>
    <row r="5511" spans="8:18" x14ac:dyDescent="0.35"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</row>
    <row r="5512" spans="8:18" x14ac:dyDescent="0.35"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</row>
    <row r="5513" spans="8:18" x14ac:dyDescent="0.35"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</row>
    <row r="5514" spans="8:18" x14ac:dyDescent="0.35"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</row>
    <row r="5515" spans="8:18" x14ac:dyDescent="0.35"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</row>
    <row r="5516" spans="8:18" x14ac:dyDescent="0.35"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</row>
    <row r="5517" spans="8:18" x14ac:dyDescent="0.35"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</row>
    <row r="5518" spans="8:18" x14ac:dyDescent="0.35"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</row>
    <row r="5519" spans="8:18" x14ac:dyDescent="0.35"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</row>
    <row r="5520" spans="8:18" x14ac:dyDescent="0.35"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</row>
    <row r="5521" spans="8:18" x14ac:dyDescent="0.35"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</row>
    <row r="5522" spans="8:18" x14ac:dyDescent="0.35"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</row>
    <row r="5523" spans="8:18" x14ac:dyDescent="0.35"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</row>
    <row r="5524" spans="8:18" x14ac:dyDescent="0.35"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</row>
    <row r="5525" spans="8:18" x14ac:dyDescent="0.35"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</row>
    <row r="5526" spans="8:18" x14ac:dyDescent="0.35"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</row>
    <row r="5527" spans="8:18" x14ac:dyDescent="0.35"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</row>
    <row r="5528" spans="8:18" x14ac:dyDescent="0.35"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</row>
    <row r="5529" spans="8:18" x14ac:dyDescent="0.35"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</row>
    <row r="5530" spans="8:18" x14ac:dyDescent="0.35"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</row>
    <row r="5531" spans="8:18" x14ac:dyDescent="0.35"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</row>
    <row r="5532" spans="8:18" x14ac:dyDescent="0.35"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</row>
    <row r="5533" spans="8:18" x14ac:dyDescent="0.35"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</row>
    <row r="5534" spans="8:18" x14ac:dyDescent="0.35"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</row>
    <row r="5535" spans="8:18" x14ac:dyDescent="0.35"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</row>
    <row r="5536" spans="8:18" x14ac:dyDescent="0.35"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</row>
    <row r="5537" spans="8:18" x14ac:dyDescent="0.35"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</row>
    <row r="5538" spans="8:18" x14ac:dyDescent="0.35"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</row>
    <row r="5539" spans="8:18" x14ac:dyDescent="0.35"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</row>
    <row r="5540" spans="8:18" x14ac:dyDescent="0.35"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</row>
    <row r="5541" spans="8:18" x14ac:dyDescent="0.35"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</row>
    <row r="5542" spans="8:18" x14ac:dyDescent="0.35"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</row>
    <row r="5543" spans="8:18" x14ac:dyDescent="0.35"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</row>
    <row r="5544" spans="8:18" x14ac:dyDescent="0.35"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</row>
    <row r="5545" spans="8:18" x14ac:dyDescent="0.35"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</row>
    <row r="5546" spans="8:18" x14ac:dyDescent="0.35"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</row>
    <row r="5547" spans="8:18" x14ac:dyDescent="0.35"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</row>
    <row r="5548" spans="8:18" x14ac:dyDescent="0.35"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</row>
    <row r="5549" spans="8:18" x14ac:dyDescent="0.35"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</row>
    <row r="5550" spans="8:18" x14ac:dyDescent="0.35"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</row>
    <row r="5551" spans="8:18" x14ac:dyDescent="0.35"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</row>
    <row r="5552" spans="8:18" x14ac:dyDescent="0.35"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</row>
    <row r="5553" spans="8:18" x14ac:dyDescent="0.35"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</row>
    <row r="5554" spans="8:18" x14ac:dyDescent="0.35"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</row>
    <row r="5555" spans="8:18" x14ac:dyDescent="0.35"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</row>
    <row r="5556" spans="8:18" x14ac:dyDescent="0.35"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</row>
    <row r="5557" spans="8:18" x14ac:dyDescent="0.35"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</row>
    <row r="5558" spans="8:18" x14ac:dyDescent="0.35"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</row>
    <row r="5559" spans="8:18" x14ac:dyDescent="0.35"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</row>
    <row r="5560" spans="8:18" x14ac:dyDescent="0.35"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</row>
    <row r="5561" spans="8:18" x14ac:dyDescent="0.35"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</row>
    <row r="5562" spans="8:18" x14ac:dyDescent="0.35"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</row>
    <row r="5563" spans="8:18" x14ac:dyDescent="0.35"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</row>
    <row r="5564" spans="8:18" x14ac:dyDescent="0.35"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</row>
    <row r="5565" spans="8:18" x14ac:dyDescent="0.35"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</row>
    <row r="5566" spans="8:18" x14ac:dyDescent="0.35"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</row>
    <row r="5567" spans="8:18" x14ac:dyDescent="0.35"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</row>
    <row r="5568" spans="8:18" x14ac:dyDescent="0.35"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</row>
    <row r="5569" spans="8:18" x14ac:dyDescent="0.35"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</row>
    <row r="5570" spans="8:18" x14ac:dyDescent="0.35"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</row>
    <row r="5571" spans="8:18" x14ac:dyDescent="0.35"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</row>
    <row r="5572" spans="8:18" x14ac:dyDescent="0.35"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</row>
    <row r="5573" spans="8:18" x14ac:dyDescent="0.35"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</row>
    <row r="5574" spans="8:18" x14ac:dyDescent="0.35"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</row>
    <row r="5575" spans="8:18" x14ac:dyDescent="0.35"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</row>
    <row r="5576" spans="8:18" x14ac:dyDescent="0.35"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</row>
    <row r="5577" spans="8:18" x14ac:dyDescent="0.35"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</row>
    <row r="5578" spans="8:18" x14ac:dyDescent="0.35">
      <c r="H5578" s="13"/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</row>
    <row r="5579" spans="8:18" x14ac:dyDescent="0.35"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</row>
    <row r="5580" spans="8:18" x14ac:dyDescent="0.35"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</row>
    <row r="5581" spans="8:18" x14ac:dyDescent="0.35"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</row>
    <row r="5582" spans="8:18" x14ac:dyDescent="0.35"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</row>
    <row r="5583" spans="8:18" x14ac:dyDescent="0.35"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</row>
    <row r="5584" spans="8:18" x14ac:dyDescent="0.35"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</row>
    <row r="5585" spans="8:18" x14ac:dyDescent="0.35"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</row>
    <row r="5586" spans="8:18" x14ac:dyDescent="0.35"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</row>
    <row r="5587" spans="8:18" x14ac:dyDescent="0.35"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</row>
    <row r="5588" spans="8:18" x14ac:dyDescent="0.35"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</row>
    <row r="5589" spans="8:18" x14ac:dyDescent="0.35"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</row>
    <row r="5590" spans="8:18" x14ac:dyDescent="0.35"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</row>
    <row r="5591" spans="8:18" x14ac:dyDescent="0.35"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</row>
    <row r="5592" spans="8:18" x14ac:dyDescent="0.35"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</row>
    <row r="5593" spans="8:18" x14ac:dyDescent="0.35"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</row>
    <row r="5594" spans="8:18" x14ac:dyDescent="0.35"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</row>
    <row r="5595" spans="8:18" x14ac:dyDescent="0.35"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</row>
    <row r="5596" spans="8:18" x14ac:dyDescent="0.35"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</row>
    <row r="5597" spans="8:18" x14ac:dyDescent="0.35"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</row>
    <row r="5598" spans="8:18" x14ac:dyDescent="0.35"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</row>
    <row r="5599" spans="8:18" x14ac:dyDescent="0.35"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</row>
    <row r="5600" spans="8:18" x14ac:dyDescent="0.35"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</row>
    <row r="5601" spans="8:18" x14ac:dyDescent="0.35"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</row>
    <row r="5602" spans="8:18" x14ac:dyDescent="0.35"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</row>
    <row r="5603" spans="8:18" x14ac:dyDescent="0.35"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</row>
    <row r="5604" spans="8:18" x14ac:dyDescent="0.35"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</row>
    <row r="5605" spans="8:18" x14ac:dyDescent="0.35"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</row>
    <row r="5606" spans="8:18" x14ac:dyDescent="0.35"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</row>
    <row r="5607" spans="8:18" x14ac:dyDescent="0.35"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</row>
    <row r="5608" spans="8:18" x14ac:dyDescent="0.35"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</row>
    <row r="5609" spans="8:18" x14ac:dyDescent="0.35"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</row>
    <row r="5610" spans="8:18" x14ac:dyDescent="0.35"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</row>
    <row r="5611" spans="8:18" x14ac:dyDescent="0.35"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</row>
    <row r="5612" spans="8:18" x14ac:dyDescent="0.35"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</row>
    <row r="5613" spans="8:18" x14ac:dyDescent="0.35"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</row>
    <row r="5614" spans="8:18" x14ac:dyDescent="0.35"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</row>
    <row r="5615" spans="8:18" x14ac:dyDescent="0.35"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</row>
    <row r="5616" spans="8:18" x14ac:dyDescent="0.35"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</row>
    <row r="5617" spans="8:18" x14ac:dyDescent="0.35"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</row>
    <row r="5618" spans="8:18" x14ac:dyDescent="0.35"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</row>
    <row r="5619" spans="8:18" x14ac:dyDescent="0.35"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</row>
    <row r="5620" spans="8:18" x14ac:dyDescent="0.35"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</row>
    <row r="5621" spans="8:18" x14ac:dyDescent="0.35"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</row>
    <row r="5622" spans="8:18" x14ac:dyDescent="0.35"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</row>
    <row r="5623" spans="8:18" x14ac:dyDescent="0.35"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</row>
    <row r="5624" spans="8:18" x14ac:dyDescent="0.35"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</row>
    <row r="5625" spans="8:18" x14ac:dyDescent="0.35"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</row>
    <row r="5626" spans="8:18" x14ac:dyDescent="0.35"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</row>
    <row r="5627" spans="8:18" x14ac:dyDescent="0.35"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</row>
    <row r="5628" spans="8:18" x14ac:dyDescent="0.35"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</row>
    <row r="5629" spans="8:18" x14ac:dyDescent="0.35"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</row>
    <row r="5630" spans="8:18" x14ac:dyDescent="0.35"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</row>
    <row r="5631" spans="8:18" x14ac:dyDescent="0.35"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</row>
    <row r="5632" spans="8:18" x14ac:dyDescent="0.35"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</row>
    <row r="5633" spans="8:18" x14ac:dyDescent="0.35"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</row>
    <row r="5634" spans="8:18" x14ac:dyDescent="0.35"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</row>
    <row r="5635" spans="8:18" x14ac:dyDescent="0.35"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</row>
    <row r="5636" spans="8:18" x14ac:dyDescent="0.35"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</row>
    <row r="5637" spans="8:18" x14ac:dyDescent="0.35"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</row>
    <row r="5638" spans="8:18" x14ac:dyDescent="0.35"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</row>
    <row r="5639" spans="8:18" x14ac:dyDescent="0.35"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</row>
    <row r="5640" spans="8:18" x14ac:dyDescent="0.35"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</row>
    <row r="5641" spans="8:18" x14ac:dyDescent="0.35"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</row>
    <row r="5642" spans="8:18" x14ac:dyDescent="0.35"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</row>
    <row r="5643" spans="8:18" x14ac:dyDescent="0.35"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</row>
    <row r="5644" spans="8:18" x14ac:dyDescent="0.35"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</row>
    <row r="5645" spans="8:18" x14ac:dyDescent="0.35"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</row>
    <row r="5646" spans="8:18" x14ac:dyDescent="0.35"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</row>
    <row r="5647" spans="8:18" x14ac:dyDescent="0.35"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</row>
    <row r="5648" spans="8:18" x14ac:dyDescent="0.35"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</row>
    <row r="5649" spans="8:18" x14ac:dyDescent="0.35"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</row>
    <row r="5650" spans="8:18" x14ac:dyDescent="0.35"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</row>
    <row r="5651" spans="8:18" x14ac:dyDescent="0.35"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</row>
    <row r="5652" spans="8:18" x14ac:dyDescent="0.35"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</row>
    <row r="5653" spans="8:18" x14ac:dyDescent="0.35"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</row>
    <row r="5654" spans="8:18" x14ac:dyDescent="0.35"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</row>
    <row r="5655" spans="8:18" x14ac:dyDescent="0.35"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</row>
    <row r="5656" spans="8:18" x14ac:dyDescent="0.35"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</row>
    <row r="5657" spans="8:18" x14ac:dyDescent="0.35"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</row>
    <row r="5658" spans="8:18" x14ac:dyDescent="0.35"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</row>
    <row r="5659" spans="8:18" x14ac:dyDescent="0.35"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</row>
    <row r="5660" spans="8:18" x14ac:dyDescent="0.35"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</row>
    <row r="5661" spans="8:18" x14ac:dyDescent="0.35"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</row>
    <row r="5662" spans="8:18" x14ac:dyDescent="0.35"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</row>
    <row r="5663" spans="8:18" x14ac:dyDescent="0.35"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</row>
    <row r="5664" spans="8:18" x14ac:dyDescent="0.35"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</row>
    <row r="5665" spans="8:18" x14ac:dyDescent="0.35"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</row>
    <row r="5666" spans="8:18" x14ac:dyDescent="0.35"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</row>
    <row r="5667" spans="8:18" x14ac:dyDescent="0.35"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</row>
    <row r="5668" spans="8:18" x14ac:dyDescent="0.35"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</row>
    <row r="5669" spans="8:18" x14ac:dyDescent="0.35"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</row>
    <row r="5670" spans="8:18" x14ac:dyDescent="0.35"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</row>
    <row r="5671" spans="8:18" x14ac:dyDescent="0.35"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</row>
    <row r="5672" spans="8:18" x14ac:dyDescent="0.35"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</row>
    <row r="5673" spans="8:18" x14ac:dyDescent="0.35"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</row>
    <row r="5674" spans="8:18" x14ac:dyDescent="0.35"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</row>
    <row r="5675" spans="8:18" x14ac:dyDescent="0.35"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</row>
    <row r="5676" spans="8:18" x14ac:dyDescent="0.35"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</row>
    <row r="5677" spans="8:18" x14ac:dyDescent="0.35"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</row>
    <row r="5678" spans="8:18" x14ac:dyDescent="0.35"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</row>
    <row r="5679" spans="8:18" x14ac:dyDescent="0.35"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</row>
    <row r="5680" spans="8:18" x14ac:dyDescent="0.35"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</row>
    <row r="5681" spans="8:18" x14ac:dyDescent="0.35"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</row>
    <row r="5682" spans="8:18" x14ac:dyDescent="0.35"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</row>
    <row r="5683" spans="8:18" x14ac:dyDescent="0.35"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</row>
    <row r="5684" spans="8:18" x14ac:dyDescent="0.35"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</row>
    <row r="5685" spans="8:18" x14ac:dyDescent="0.35"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</row>
    <row r="5686" spans="8:18" x14ac:dyDescent="0.35"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</row>
    <row r="5687" spans="8:18" x14ac:dyDescent="0.35"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</row>
    <row r="5688" spans="8:18" x14ac:dyDescent="0.35"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</row>
    <row r="5689" spans="8:18" x14ac:dyDescent="0.35"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</row>
    <row r="5690" spans="8:18" x14ac:dyDescent="0.35"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</row>
    <row r="5691" spans="8:18" x14ac:dyDescent="0.35"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</row>
    <row r="5692" spans="8:18" x14ac:dyDescent="0.35"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</row>
    <row r="5693" spans="8:18" x14ac:dyDescent="0.35"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</row>
    <row r="5694" spans="8:18" x14ac:dyDescent="0.35"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</row>
    <row r="5695" spans="8:18" x14ac:dyDescent="0.35"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</row>
    <row r="5696" spans="8:18" x14ac:dyDescent="0.35"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</row>
    <row r="5697" spans="8:18" x14ac:dyDescent="0.35"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</row>
    <row r="5698" spans="8:18" x14ac:dyDescent="0.35"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</row>
    <row r="5699" spans="8:18" x14ac:dyDescent="0.35"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</row>
    <row r="5700" spans="8:18" x14ac:dyDescent="0.35"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</row>
    <row r="5701" spans="8:18" x14ac:dyDescent="0.35"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</row>
    <row r="5702" spans="8:18" x14ac:dyDescent="0.35"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</row>
    <row r="5703" spans="8:18" x14ac:dyDescent="0.35"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</row>
    <row r="5704" spans="8:18" x14ac:dyDescent="0.35"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</row>
    <row r="5705" spans="8:18" x14ac:dyDescent="0.35"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</row>
    <row r="5706" spans="8:18" x14ac:dyDescent="0.35"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</row>
    <row r="5707" spans="8:18" x14ac:dyDescent="0.35"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</row>
    <row r="5708" spans="8:18" x14ac:dyDescent="0.35"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</row>
    <row r="5709" spans="8:18" x14ac:dyDescent="0.35"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</row>
    <row r="5710" spans="8:18" x14ac:dyDescent="0.35"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</row>
    <row r="5711" spans="8:18" x14ac:dyDescent="0.35"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</row>
    <row r="5712" spans="8:18" x14ac:dyDescent="0.35"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</row>
    <row r="5713" spans="8:18" x14ac:dyDescent="0.35"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</row>
    <row r="5714" spans="8:18" x14ac:dyDescent="0.35"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</row>
    <row r="5715" spans="8:18" x14ac:dyDescent="0.35"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</row>
    <row r="5716" spans="8:18" x14ac:dyDescent="0.35"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</row>
    <row r="5717" spans="8:18" x14ac:dyDescent="0.35"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</row>
    <row r="5718" spans="8:18" x14ac:dyDescent="0.35"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</row>
    <row r="5719" spans="8:18" x14ac:dyDescent="0.35"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</row>
    <row r="5720" spans="8:18" x14ac:dyDescent="0.35"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</row>
    <row r="5721" spans="8:18" x14ac:dyDescent="0.35"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</row>
    <row r="5722" spans="8:18" x14ac:dyDescent="0.35"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</row>
    <row r="5723" spans="8:18" x14ac:dyDescent="0.35"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</row>
    <row r="5724" spans="8:18" x14ac:dyDescent="0.35"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</row>
    <row r="5725" spans="8:18" x14ac:dyDescent="0.35"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</row>
    <row r="5726" spans="8:18" x14ac:dyDescent="0.35"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</row>
    <row r="5727" spans="8:18" x14ac:dyDescent="0.35"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</row>
    <row r="5728" spans="8:18" x14ac:dyDescent="0.35"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</row>
    <row r="5729" spans="8:18" x14ac:dyDescent="0.35"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3"/>
    </row>
    <row r="5730" spans="8:18" x14ac:dyDescent="0.35"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3"/>
    </row>
    <row r="5731" spans="8:18" x14ac:dyDescent="0.35"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</row>
    <row r="5732" spans="8:18" x14ac:dyDescent="0.35"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</row>
    <row r="5733" spans="8:18" x14ac:dyDescent="0.35"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3"/>
    </row>
    <row r="5734" spans="8:18" x14ac:dyDescent="0.35"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</row>
    <row r="5735" spans="8:18" x14ac:dyDescent="0.35"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</row>
    <row r="5736" spans="8:18" x14ac:dyDescent="0.35"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</row>
    <row r="5737" spans="8:18" x14ac:dyDescent="0.35"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</row>
    <row r="5738" spans="8:18" x14ac:dyDescent="0.35"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</row>
    <row r="5739" spans="8:18" x14ac:dyDescent="0.35"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</row>
    <row r="5740" spans="8:18" x14ac:dyDescent="0.35"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</row>
    <row r="5741" spans="8:18" x14ac:dyDescent="0.35"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</row>
    <row r="5742" spans="8:18" x14ac:dyDescent="0.35"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3"/>
    </row>
    <row r="5743" spans="8:18" x14ac:dyDescent="0.35"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</row>
    <row r="5744" spans="8:18" x14ac:dyDescent="0.35"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</row>
    <row r="5745" spans="8:18" x14ac:dyDescent="0.35"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</row>
    <row r="5746" spans="8:18" x14ac:dyDescent="0.35"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3"/>
    </row>
    <row r="5747" spans="8:18" x14ac:dyDescent="0.35"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</row>
    <row r="5748" spans="8:18" x14ac:dyDescent="0.35"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</row>
    <row r="5749" spans="8:18" x14ac:dyDescent="0.35"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3"/>
    </row>
    <row r="5750" spans="8:18" x14ac:dyDescent="0.35"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3"/>
    </row>
    <row r="5751" spans="8:18" x14ac:dyDescent="0.35"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</row>
    <row r="5752" spans="8:18" x14ac:dyDescent="0.35"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</row>
    <row r="5753" spans="8:18" x14ac:dyDescent="0.35"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3"/>
    </row>
    <row r="5754" spans="8:18" x14ac:dyDescent="0.35"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3"/>
    </row>
    <row r="5755" spans="8:18" x14ac:dyDescent="0.35"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</row>
    <row r="5756" spans="8:18" x14ac:dyDescent="0.35"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</row>
    <row r="5757" spans="8:18" x14ac:dyDescent="0.35"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3"/>
    </row>
    <row r="5758" spans="8:18" x14ac:dyDescent="0.35"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3"/>
    </row>
    <row r="5759" spans="8:18" x14ac:dyDescent="0.35"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</row>
    <row r="5760" spans="8:18" x14ac:dyDescent="0.35"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</row>
    <row r="5761" spans="8:18" x14ac:dyDescent="0.35"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3"/>
    </row>
    <row r="5762" spans="8:18" x14ac:dyDescent="0.35"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3"/>
    </row>
    <row r="5763" spans="8:18" x14ac:dyDescent="0.35"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</row>
    <row r="5764" spans="8:18" x14ac:dyDescent="0.35"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</row>
    <row r="5765" spans="8:18" x14ac:dyDescent="0.35"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3"/>
    </row>
    <row r="5766" spans="8:18" x14ac:dyDescent="0.35"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3"/>
    </row>
    <row r="5767" spans="8:18" x14ac:dyDescent="0.35"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</row>
    <row r="5768" spans="8:18" x14ac:dyDescent="0.35"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</row>
    <row r="5769" spans="8:18" x14ac:dyDescent="0.35"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3"/>
    </row>
    <row r="5770" spans="8:18" x14ac:dyDescent="0.35"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3"/>
    </row>
    <row r="5771" spans="8:18" x14ac:dyDescent="0.35"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</row>
    <row r="5772" spans="8:18" x14ac:dyDescent="0.35"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</row>
    <row r="5773" spans="8:18" x14ac:dyDescent="0.35"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3"/>
    </row>
    <row r="5774" spans="8:18" x14ac:dyDescent="0.35"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3"/>
    </row>
    <row r="5775" spans="8:18" x14ac:dyDescent="0.35"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</row>
    <row r="5776" spans="8:18" x14ac:dyDescent="0.35"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</row>
    <row r="5777" spans="8:18" x14ac:dyDescent="0.35"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</row>
    <row r="5778" spans="8:18" x14ac:dyDescent="0.35"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</row>
    <row r="5779" spans="8:18" x14ac:dyDescent="0.35"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</row>
    <row r="5780" spans="8:18" x14ac:dyDescent="0.35"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</row>
    <row r="5781" spans="8:18" x14ac:dyDescent="0.35"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</row>
    <row r="5782" spans="8:18" x14ac:dyDescent="0.35"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</row>
    <row r="5783" spans="8:18" x14ac:dyDescent="0.35"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</row>
    <row r="5784" spans="8:18" x14ac:dyDescent="0.35"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</row>
    <row r="5785" spans="8:18" x14ac:dyDescent="0.35"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</row>
    <row r="5786" spans="8:18" x14ac:dyDescent="0.35"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</row>
    <row r="5787" spans="8:18" x14ac:dyDescent="0.35"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</row>
    <row r="5788" spans="8:18" x14ac:dyDescent="0.35"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</row>
    <row r="5789" spans="8:18" x14ac:dyDescent="0.35"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</row>
    <row r="5790" spans="8:18" x14ac:dyDescent="0.35"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</row>
    <row r="5791" spans="8:18" x14ac:dyDescent="0.35"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</row>
    <row r="5792" spans="8:18" x14ac:dyDescent="0.35"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</row>
    <row r="5793" spans="8:18" x14ac:dyDescent="0.35"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</row>
    <row r="5794" spans="8:18" x14ac:dyDescent="0.35"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</row>
    <row r="5795" spans="8:18" x14ac:dyDescent="0.35"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</row>
    <row r="5796" spans="8:18" x14ac:dyDescent="0.35"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</row>
    <row r="5797" spans="8:18" x14ac:dyDescent="0.35"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</row>
    <row r="5798" spans="8:18" x14ac:dyDescent="0.35"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</row>
    <row r="5799" spans="8:18" x14ac:dyDescent="0.35"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</row>
    <row r="5800" spans="8:18" x14ac:dyDescent="0.35"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</row>
    <row r="5801" spans="8:18" x14ac:dyDescent="0.35"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</row>
    <row r="5802" spans="8:18" x14ac:dyDescent="0.35"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</row>
    <row r="5803" spans="8:18" x14ac:dyDescent="0.35"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</row>
    <row r="5804" spans="8:18" x14ac:dyDescent="0.35"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</row>
    <row r="5805" spans="8:18" x14ac:dyDescent="0.35"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</row>
    <row r="5806" spans="8:18" x14ac:dyDescent="0.35"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</row>
    <row r="5807" spans="8:18" x14ac:dyDescent="0.35"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</row>
    <row r="5808" spans="8:18" x14ac:dyDescent="0.35"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</row>
    <row r="5809" spans="8:18" x14ac:dyDescent="0.35"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</row>
    <row r="5810" spans="8:18" x14ac:dyDescent="0.35"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</row>
    <row r="5811" spans="8:18" x14ac:dyDescent="0.35"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</row>
    <row r="5812" spans="8:18" x14ac:dyDescent="0.35"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</row>
    <row r="5813" spans="8:18" x14ac:dyDescent="0.35"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</row>
    <row r="5814" spans="8:18" x14ac:dyDescent="0.35"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</row>
    <row r="5815" spans="8:18" x14ac:dyDescent="0.35"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</row>
    <row r="5816" spans="8:18" x14ac:dyDescent="0.35"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</row>
    <row r="5817" spans="8:18" x14ac:dyDescent="0.35"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</row>
    <row r="5818" spans="8:18" x14ac:dyDescent="0.35"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</row>
    <row r="5819" spans="8:18" x14ac:dyDescent="0.35"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</row>
    <row r="5820" spans="8:18" x14ac:dyDescent="0.35"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</row>
    <row r="5821" spans="8:18" x14ac:dyDescent="0.35"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</row>
    <row r="5822" spans="8:18" x14ac:dyDescent="0.35"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</row>
    <row r="5823" spans="8:18" x14ac:dyDescent="0.35"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</row>
    <row r="5824" spans="8:18" x14ac:dyDescent="0.35"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</row>
    <row r="5825" spans="8:18" x14ac:dyDescent="0.35"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</row>
    <row r="5826" spans="8:18" x14ac:dyDescent="0.35"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</row>
    <row r="5827" spans="8:18" x14ac:dyDescent="0.35"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</row>
    <row r="5828" spans="8:18" x14ac:dyDescent="0.35"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</row>
    <row r="5829" spans="8:18" x14ac:dyDescent="0.35"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</row>
    <row r="5830" spans="8:18" x14ac:dyDescent="0.35"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</row>
    <row r="5831" spans="8:18" x14ac:dyDescent="0.35"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</row>
    <row r="5832" spans="8:18" x14ac:dyDescent="0.35"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</row>
    <row r="5833" spans="8:18" x14ac:dyDescent="0.35"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</row>
    <row r="5834" spans="8:18" x14ac:dyDescent="0.35"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</row>
    <row r="5835" spans="8:18" x14ac:dyDescent="0.35"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</row>
    <row r="5836" spans="8:18" x14ac:dyDescent="0.35"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</row>
    <row r="5837" spans="8:18" x14ac:dyDescent="0.35"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</row>
    <row r="5838" spans="8:18" x14ac:dyDescent="0.35"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3"/>
    </row>
    <row r="5839" spans="8:18" x14ac:dyDescent="0.35"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</row>
    <row r="5840" spans="8:18" x14ac:dyDescent="0.35"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</row>
    <row r="5841" spans="8:18" x14ac:dyDescent="0.35"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3"/>
    </row>
    <row r="5842" spans="8:18" x14ac:dyDescent="0.35"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3"/>
    </row>
    <row r="5843" spans="8:18" x14ac:dyDescent="0.35"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</row>
    <row r="5844" spans="8:18" x14ac:dyDescent="0.35"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</row>
    <row r="5845" spans="8:18" x14ac:dyDescent="0.35"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3"/>
    </row>
    <row r="5846" spans="8:18" x14ac:dyDescent="0.35"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3"/>
    </row>
    <row r="5847" spans="8:18" x14ac:dyDescent="0.35"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</row>
    <row r="5848" spans="8:18" x14ac:dyDescent="0.35"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</row>
    <row r="5849" spans="8:18" x14ac:dyDescent="0.35"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</row>
    <row r="5850" spans="8:18" x14ac:dyDescent="0.35"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3"/>
    </row>
    <row r="5851" spans="8:18" x14ac:dyDescent="0.35"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</row>
    <row r="5852" spans="8:18" x14ac:dyDescent="0.35"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</row>
    <row r="5853" spans="8:18" x14ac:dyDescent="0.35"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3"/>
    </row>
    <row r="5854" spans="8:18" x14ac:dyDescent="0.35"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3"/>
    </row>
    <row r="5855" spans="8:18" x14ac:dyDescent="0.35"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</row>
    <row r="5856" spans="8:18" x14ac:dyDescent="0.35"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</row>
    <row r="5857" spans="8:18" x14ac:dyDescent="0.35"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3"/>
    </row>
    <row r="5858" spans="8:18" x14ac:dyDescent="0.35"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3"/>
    </row>
    <row r="5859" spans="8:18" x14ac:dyDescent="0.35"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</row>
    <row r="5860" spans="8:18" x14ac:dyDescent="0.35"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</row>
    <row r="5861" spans="8:18" x14ac:dyDescent="0.35"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</row>
    <row r="5862" spans="8:18" x14ac:dyDescent="0.35"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</row>
    <row r="5863" spans="8:18" x14ac:dyDescent="0.35"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</row>
    <row r="5864" spans="8:18" x14ac:dyDescent="0.35"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</row>
    <row r="5865" spans="8:18" x14ac:dyDescent="0.35"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</row>
    <row r="5866" spans="8:18" x14ac:dyDescent="0.35"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</row>
    <row r="5867" spans="8:18" x14ac:dyDescent="0.35"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</row>
    <row r="5868" spans="8:18" x14ac:dyDescent="0.35"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</row>
    <row r="5869" spans="8:18" x14ac:dyDescent="0.35"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</row>
    <row r="5870" spans="8:18" x14ac:dyDescent="0.35"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</row>
    <row r="5871" spans="8:18" x14ac:dyDescent="0.35"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</row>
    <row r="5872" spans="8:18" x14ac:dyDescent="0.35"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</row>
    <row r="5873" spans="8:18" x14ac:dyDescent="0.35"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</row>
    <row r="5874" spans="8:18" x14ac:dyDescent="0.35"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</row>
    <row r="5875" spans="8:18" x14ac:dyDescent="0.35"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</row>
    <row r="5876" spans="8:18" x14ac:dyDescent="0.35"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</row>
    <row r="5877" spans="8:18" x14ac:dyDescent="0.35"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</row>
    <row r="5878" spans="8:18" x14ac:dyDescent="0.35"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</row>
    <row r="5879" spans="8:18" x14ac:dyDescent="0.35"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</row>
    <row r="5880" spans="8:18" x14ac:dyDescent="0.35"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</row>
    <row r="5881" spans="8:18" x14ac:dyDescent="0.35"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</row>
    <row r="5882" spans="8:18" x14ac:dyDescent="0.35"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</row>
    <row r="5883" spans="8:18" x14ac:dyDescent="0.35"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</row>
    <row r="5884" spans="8:18" x14ac:dyDescent="0.35"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</row>
    <row r="5885" spans="8:18" x14ac:dyDescent="0.35"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</row>
    <row r="5886" spans="8:18" x14ac:dyDescent="0.35"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</row>
    <row r="5887" spans="8:18" x14ac:dyDescent="0.35"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</row>
    <row r="5888" spans="8:18" x14ac:dyDescent="0.35"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</row>
    <row r="5889" spans="8:18" x14ac:dyDescent="0.35"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</row>
    <row r="5890" spans="8:18" x14ac:dyDescent="0.35"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</row>
    <row r="5891" spans="8:18" x14ac:dyDescent="0.35"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</row>
    <row r="5892" spans="8:18" x14ac:dyDescent="0.35"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</row>
    <row r="5893" spans="8:18" x14ac:dyDescent="0.35"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</row>
    <row r="5894" spans="8:18" x14ac:dyDescent="0.35"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</row>
    <row r="5895" spans="8:18" x14ac:dyDescent="0.35"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</row>
    <row r="5896" spans="8:18" x14ac:dyDescent="0.35"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</row>
    <row r="5897" spans="8:18" x14ac:dyDescent="0.35"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</row>
    <row r="5898" spans="8:18" x14ac:dyDescent="0.35"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</row>
    <row r="5899" spans="8:18" x14ac:dyDescent="0.35"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</row>
    <row r="5900" spans="8:18" x14ac:dyDescent="0.35"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</row>
    <row r="5901" spans="8:18" x14ac:dyDescent="0.35"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</row>
    <row r="5902" spans="8:18" x14ac:dyDescent="0.35"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</row>
    <row r="5903" spans="8:18" x14ac:dyDescent="0.35"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</row>
    <row r="5904" spans="8:18" x14ac:dyDescent="0.35"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</row>
    <row r="5905" spans="8:18" x14ac:dyDescent="0.35"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</row>
    <row r="5906" spans="8:18" x14ac:dyDescent="0.35"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</row>
    <row r="5907" spans="8:18" x14ac:dyDescent="0.35"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</row>
    <row r="5908" spans="8:18" x14ac:dyDescent="0.35"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</row>
    <row r="5909" spans="8:18" x14ac:dyDescent="0.35"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</row>
    <row r="5910" spans="8:18" x14ac:dyDescent="0.35"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</row>
    <row r="5911" spans="8:18" x14ac:dyDescent="0.35"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</row>
    <row r="5912" spans="8:18" x14ac:dyDescent="0.35"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</row>
    <row r="5913" spans="8:18" x14ac:dyDescent="0.35"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3"/>
    </row>
    <row r="5914" spans="8:18" x14ac:dyDescent="0.35"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</row>
    <row r="5915" spans="8:18" x14ac:dyDescent="0.35"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</row>
    <row r="5916" spans="8:18" x14ac:dyDescent="0.35"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</row>
    <row r="5917" spans="8:18" x14ac:dyDescent="0.35"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</row>
    <row r="5918" spans="8:18" x14ac:dyDescent="0.35"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</row>
    <row r="5919" spans="8:18" x14ac:dyDescent="0.35"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</row>
    <row r="5920" spans="8:18" x14ac:dyDescent="0.35"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</row>
    <row r="5921" spans="8:18" x14ac:dyDescent="0.35"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</row>
    <row r="5922" spans="8:18" x14ac:dyDescent="0.35"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</row>
    <row r="5923" spans="8:18" x14ac:dyDescent="0.35"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</row>
    <row r="5924" spans="8:18" x14ac:dyDescent="0.35"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</row>
    <row r="5925" spans="8:18" x14ac:dyDescent="0.35"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</row>
    <row r="5926" spans="8:18" x14ac:dyDescent="0.35"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</row>
    <row r="5927" spans="8:18" x14ac:dyDescent="0.35"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</row>
    <row r="5928" spans="8:18" x14ac:dyDescent="0.35"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</row>
    <row r="5929" spans="8:18" x14ac:dyDescent="0.35"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3"/>
    </row>
    <row r="5930" spans="8:18" x14ac:dyDescent="0.35"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</row>
    <row r="5931" spans="8:18" x14ac:dyDescent="0.35"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</row>
    <row r="5932" spans="8:18" x14ac:dyDescent="0.35"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</row>
    <row r="5933" spans="8:18" x14ac:dyDescent="0.35"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</row>
    <row r="5934" spans="8:18" x14ac:dyDescent="0.35"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</row>
    <row r="5935" spans="8:18" x14ac:dyDescent="0.35"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</row>
    <row r="5936" spans="8:18" x14ac:dyDescent="0.35"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</row>
    <row r="5937" spans="8:18" x14ac:dyDescent="0.35"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</row>
    <row r="5938" spans="8:18" x14ac:dyDescent="0.35"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</row>
    <row r="5939" spans="8:18" x14ac:dyDescent="0.35"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</row>
    <row r="5940" spans="8:18" x14ac:dyDescent="0.35"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</row>
    <row r="5941" spans="8:18" x14ac:dyDescent="0.35"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</row>
    <row r="5942" spans="8:18" x14ac:dyDescent="0.35"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</row>
    <row r="5943" spans="8:18" x14ac:dyDescent="0.35"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</row>
    <row r="5944" spans="8:18" x14ac:dyDescent="0.35"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</row>
    <row r="5945" spans="8:18" x14ac:dyDescent="0.35"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</row>
    <row r="5946" spans="8:18" x14ac:dyDescent="0.35"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</row>
    <row r="5947" spans="8:18" x14ac:dyDescent="0.35"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</row>
    <row r="5948" spans="8:18" x14ac:dyDescent="0.35"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</row>
    <row r="5949" spans="8:18" x14ac:dyDescent="0.35"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</row>
    <row r="5950" spans="8:18" x14ac:dyDescent="0.35"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</row>
    <row r="5951" spans="8:18" x14ac:dyDescent="0.35"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</row>
    <row r="5952" spans="8:18" x14ac:dyDescent="0.35"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</row>
    <row r="5953" spans="8:18" x14ac:dyDescent="0.35"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3"/>
    </row>
    <row r="5954" spans="8:18" x14ac:dyDescent="0.35"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</row>
    <row r="5955" spans="8:18" x14ac:dyDescent="0.35"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</row>
    <row r="5956" spans="8:18" x14ac:dyDescent="0.35"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</row>
    <row r="5957" spans="8:18" x14ac:dyDescent="0.35"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</row>
    <row r="5958" spans="8:18" x14ac:dyDescent="0.35"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</row>
    <row r="5959" spans="8:18" x14ac:dyDescent="0.35"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</row>
    <row r="5960" spans="8:18" x14ac:dyDescent="0.35"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</row>
    <row r="5961" spans="8:18" x14ac:dyDescent="0.35"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</row>
    <row r="5962" spans="8:18" x14ac:dyDescent="0.35"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</row>
    <row r="5963" spans="8:18" x14ac:dyDescent="0.35"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</row>
    <row r="5964" spans="8:18" x14ac:dyDescent="0.35"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</row>
    <row r="5965" spans="8:18" x14ac:dyDescent="0.35"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</row>
    <row r="5966" spans="8:18" x14ac:dyDescent="0.35"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</row>
    <row r="5967" spans="8:18" x14ac:dyDescent="0.35"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</row>
    <row r="5968" spans="8:18" x14ac:dyDescent="0.35"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</row>
    <row r="5969" spans="8:18" x14ac:dyDescent="0.35"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</row>
    <row r="5970" spans="8:18" x14ac:dyDescent="0.35"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</row>
    <row r="5971" spans="8:18" x14ac:dyDescent="0.35"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</row>
    <row r="5972" spans="8:18" x14ac:dyDescent="0.35"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</row>
    <row r="5973" spans="8:18" x14ac:dyDescent="0.35"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</row>
    <row r="5974" spans="8:18" x14ac:dyDescent="0.35"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</row>
    <row r="5975" spans="8:18" x14ac:dyDescent="0.35"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</row>
    <row r="5976" spans="8:18" x14ac:dyDescent="0.35"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</row>
    <row r="5977" spans="8:18" x14ac:dyDescent="0.35"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3"/>
    </row>
    <row r="5978" spans="8:18" x14ac:dyDescent="0.35"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3"/>
    </row>
    <row r="5979" spans="8:18" x14ac:dyDescent="0.35"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</row>
    <row r="5980" spans="8:18" x14ac:dyDescent="0.35"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</row>
    <row r="5981" spans="8:18" x14ac:dyDescent="0.35"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3"/>
    </row>
    <row r="5982" spans="8:18" x14ac:dyDescent="0.35"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3"/>
    </row>
    <row r="5983" spans="8:18" x14ac:dyDescent="0.35"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</row>
    <row r="5984" spans="8:18" x14ac:dyDescent="0.35"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</row>
    <row r="5985" spans="8:18" x14ac:dyDescent="0.35"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</row>
    <row r="5986" spans="8:18" x14ac:dyDescent="0.35"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</row>
    <row r="5987" spans="8:18" x14ac:dyDescent="0.35"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</row>
    <row r="5988" spans="8:18" x14ac:dyDescent="0.35"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</row>
    <row r="5989" spans="8:18" x14ac:dyDescent="0.35"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</row>
    <row r="5990" spans="8:18" x14ac:dyDescent="0.35"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</row>
    <row r="5991" spans="8:18" x14ac:dyDescent="0.35"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</row>
    <row r="5992" spans="8:18" x14ac:dyDescent="0.35"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</row>
    <row r="5993" spans="8:18" x14ac:dyDescent="0.35"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</row>
    <row r="5994" spans="8:18" x14ac:dyDescent="0.35"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</row>
    <row r="5995" spans="8:18" x14ac:dyDescent="0.35"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</row>
    <row r="5996" spans="8:18" x14ac:dyDescent="0.35"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</row>
    <row r="5997" spans="8:18" x14ac:dyDescent="0.35"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</row>
    <row r="5998" spans="8:18" x14ac:dyDescent="0.35"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</row>
    <row r="5999" spans="8:18" x14ac:dyDescent="0.35"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</row>
    <row r="6000" spans="8:18" x14ac:dyDescent="0.35"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</row>
    <row r="6001" spans="8:18" x14ac:dyDescent="0.35"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</row>
    <row r="6002" spans="8:18" x14ac:dyDescent="0.35"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</row>
    <row r="6003" spans="8:18" x14ac:dyDescent="0.35"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</row>
    <row r="6004" spans="8:18" x14ac:dyDescent="0.35"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</row>
    <row r="6005" spans="8:18" x14ac:dyDescent="0.35"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</row>
    <row r="6006" spans="8:18" x14ac:dyDescent="0.35"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</row>
    <row r="6007" spans="8:18" x14ac:dyDescent="0.35"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</row>
    <row r="6008" spans="8:18" x14ac:dyDescent="0.35"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</row>
    <row r="6009" spans="8:18" x14ac:dyDescent="0.35"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</row>
    <row r="6010" spans="8:18" x14ac:dyDescent="0.35"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</row>
    <row r="6011" spans="8:18" x14ac:dyDescent="0.35"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</row>
    <row r="6012" spans="8:18" x14ac:dyDescent="0.35"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</row>
    <row r="6013" spans="8:18" x14ac:dyDescent="0.35"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</row>
    <row r="6014" spans="8:18" x14ac:dyDescent="0.35"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</row>
    <row r="6015" spans="8:18" x14ac:dyDescent="0.35"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</row>
    <row r="6016" spans="8:18" x14ac:dyDescent="0.35"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</row>
    <row r="6017" spans="8:18" x14ac:dyDescent="0.35"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</row>
    <row r="6018" spans="8:18" x14ac:dyDescent="0.35"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</row>
    <row r="6019" spans="8:18" x14ac:dyDescent="0.35"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</row>
    <row r="6020" spans="8:18" x14ac:dyDescent="0.35"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</row>
    <row r="6021" spans="8:18" x14ac:dyDescent="0.35"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</row>
    <row r="6022" spans="8:18" x14ac:dyDescent="0.35"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</row>
    <row r="6023" spans="8:18" x14ac:dyDescent="0.35"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</row>
    <row r="6024" spans="8:18" x14ac:dyDescent="0.35"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</row>
    <row r="6025" spans="8:18" x14ac:dyDescent="0.35"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</row>
    <row r="6026" spans="8:18" x14ac:dyDescent="0.35"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</row>
    <row r="6027" spans="8:18" x14ac:dyDescent="0.35"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</row>
    <row r="6028" spans="8:18" x14ac:dyDescent="0.35"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</row>
    <row r="6029" spans="8:18" x14ac:dyDescent="0.35"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</row>
    <row r="6030" spans="8:18" x14ac:dyDescent="0.35"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</row>
    <row r="6031" spans="8:18" x14ac:dyDescent="0.35"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</row>
    <row r="6032" spans="8:18" x14ac:dyDescent="0.35"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</row>
    <row r="6033" spans="8:18" x14ac:dyDescent="0.35"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</row>
    <row r="6034" spans="8:18" x14ac:dyDescent="0.35"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</row>
    <row r="6035" spans="8:18" x14ac:dyDescent="0.35"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</row>
    <row r="6036" spans="8:18" x14ac:dyDescent="0.35"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</row>
    <row r="6037" spans="8:18" x14ac:dyDescent="0.35"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</row>
    <row r="6038" spans="8:18" x14ac:dyDescent="0.35"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</row>
    <row r="6039" spans="8:18" x14ac:dyDescent="0.35"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</row>
    <row r="6040" spans="8:18" x14ac:dyDescent="0.35"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</row>
    <row r="6041" spans="8:18" x14ac:dyDescent="0.35"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</row>
    <row r="6042" spans="8:18" x14ac:dyDescent="0.35"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</row>
    <row r="6043" spans="8:18" x14ac:dyDescent="0.35"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</row>
    <row r="6044" spans="8:18" x14ac:dyDescent="0.35"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</row>
    <row r="6045" spans="8:18" x14ac:dyDescent="0.35"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</row>
    <row r="6046" spans="8:18" x14ac:dyDescent="0.35"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</row>
    <row r="6047" spans="8:18" x14ac:dyDescent="0.35"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</row>
    <row r="6048" spans="8:18" x14ac:dyDescent="0.35"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</row>
    <row r="6049" spans="8:18" x14ac:dyDescent="0.35"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3"/>
    </row>
    <row r="6050" spans="8:18" x14ac:dyDescent="0.35"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3"/>
    </row>
    <row r="6051" spans="8:18" x14ac:dyDescent="0.35"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</row>
    <row r="6052" spans="8:18" x14ac:dyDescent="0.35"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</row>
    <row r="6053" spans="8:18" x14ac:dyDescent="0.35"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3"/>
    </row>
    <row r="6054" spans="8:18" x14ac:dyDescent="0.35"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3"/>
    </row>
    <row r="6055" spans="8:18" x14ac:dyDescent="0.35"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</row>
    <row r="6056" spans="8:18" x14ac:dyDescent="0.35"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</row>
    <row r="6057" spans="8:18" x14ac:dyDescent="0.35"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3"/>
    </row>
    <row r="6058" spans="8:18" x14ac:dyDescent="0.35"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3"/>
    </row>
    <row r="6059" spans="8:18" x14ac:dyDescent="0.35"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</row>
    <row r="6060" spans="8:18" x14ac:dyDescent="0.35"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</row>
    <row r="6061" spans="8:18" x14ac:dyDescent="0.35"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3"/>
    </row>
    <row r="6062" spans="8:18" x14ac:dyDescent="0.35"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3"/>
    </row>
    <row r="6063" spans="8:18" x14ac:dyDescent="0.35"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</row>
    <row r="6064" spans="8:18" x14ac:dyDescent="0.35"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</row>
    <row r="6065" spans="8:18" x14ac:dyDescent="0.35"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3"/>
    </row>
    <row r="6066" spans="8:18" x14ac:dyDescent="0.35"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3"/>
    </row>
    <row r="6067" spans="8:18" x14ac:dyDescent="0.35"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</row>
    <row r="6068" spans="8:18" x14ac:dyDescent="0.35"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</row>
    <row r="6069" spans="8:18" x14ac:dyDescent="0.35"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3"/>
    </row>
    <row r="6070" spans="8:18" x14ac:dyDescent="0.35"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</row>
    <row r="6071" spans="8:18" x14ac:dyDescent="0.35"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</row>
    <row r="6072" spans="8:18" x14ac:dyDescent="0.35"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</row>
    <row r="6073" spans="8:18" x14ac:dyDescent="0.35"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</row>
    <row r="6074" spans="8:18" x14ac:dyDescent="0.35"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</row>
    <row r="6075" spans="8:18" x14ac:dyDescent="0.35"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</row>
    <row r="6076" spans="8:18" x14ac:dyDescent="0.35"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</row>
    <row r="6077" spans="8:18" x14ac:dyDescent="0.35"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3"/>
    </row>
    <row r="6078" spans="8:18" x14ac:dyDescent="0.35"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3"/>
    </row>
    <row r="6079" spans="8:18" x14ac:dyDescent="0.35"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</row>
    <row r="6080" spans="8:18" x14ac:dyDescent="0.35"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</row>
    <row r="6081" spans="8:18" x14ac:dyDescent="0.35"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3"/>
    </row>
    <row r="6082" spans="8:18" x14ac:dyDescent="0.35"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</row>
    <row r="6083" spans="8:18" x14ac:dyDescent="0.35"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</row>
    <row r="6084" spans="8:18" x14ac:dyDescent="0.35"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</row>
    <row r="6085" spans="8:18" x14ac:dyDescent="0.35"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</row>
    <row r="6086" spans="8:18" x14ac:dyDescent="0.35"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</row>
    <row r="6087" spans="8:18" x14ac:dyDescent="0.35"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</row>
    <row r="6088" spans="8:18" x14ac:dyDescent="0.35"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</row>
    <row r="6089" spans="8:18" x14ac:dyDescent="0.35"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</row>
    <row r="6090" spans="8:18" x14ac:dyDescent="0.35"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</row>
    <row r="6091" spans="8:18" x14ac:dyDescent="0.35"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</row>
    <row r="6092" spans="8:18" x14ac:dyDescent="0.35"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</row>
    <row r="6093" spans="8:18" x14ac:dyDescent="0.35"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</row>
    <row r="6094" spans="8:18" x14ac:dyDescent="0.35"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</row>
    <row r="6095" spans="8:18" x14ac:dyDescent="0.35"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</row>
    <row r="6096" spans="8:18" x14ac:dyDescent="0.35"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</row>
    <row r="6097" spans="8:18" x14ac:dyDescent="0.35"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3"/>
    </row>
    <row r="6098" spans="8:18" x14ac:dyDescent="0.35"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3"/>
    </row>
    <row r="6099" spans="8:18" x14ac:dyDescent="0.35"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</row>
    <row r="6100" spans="8:18" x14ac:dyDescent="0.35"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</row>
    <row r="6101" spans="8:18" x14ac:dyDescent="0.35"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3"/>
    </row>
    <row r="6102" spans="8:18" x14ac:dyDescent="0.35"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</row>
    <row r="6103" spans="8:18" x14ac:dyDescent="0.35"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</row>
    <row r="6104" spans="8:18" x14ac:dyDescent="0.35"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</row>
    <row r="6105" spans="8:18" x14ac:dyDescent="0.35"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</row>
    <row r="6106" spans="8:18" x14ac:dyDescent="0.35"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</row>
    <row r="6107" spans="8:18" x14ac:dyDescent="0.35"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</row>
    <row r="6108" spans="8:18" x14ac:dyDescent="0.35"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</row>
    <row r="6109" spans="8:18" x14ac:dyDescent="0.35"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</row>
    <row r="6110" spans="8:18" x14ac:dyDescent="0.35"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</row>
    <row r="6111" spans="8:18" x14ac:dyDescent="0.35"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</row>
    <row r="6112" spans="8:18" x14ac:dyDescent="0.35"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</row>
    <row r="6113" spans="8:18" x14ac:dyDescent="0.35"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</row>
    <row r="6114" spans="8:18" x14ac:dyDescent="0.35"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</row>
    <row r="6115" spans="8:18" x14ac:dyDescent="0.35"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</row>
    <row r="6116" spans="8:18" x14ac:dyDescent="0.35"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</row>
    <row r="6117" spans="8:18" x14ac:dyDescent="0.35"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</row>
    <row r="6118" spans="8:18" x14ac:dyDescent="0.35"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</row>
    <row r="6119" spans="8:18" x14ac:dyDescent="0.35"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</row>
    <row r="6120" spans="8:18" x14ac:dyDescent="0.35"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</row>
    <row r="6121" spans="8:18" x14ac:dyDescent="0.35"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</row>
    <row r="6122" spans="8:18" x14ac:dyDescent="0.35"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</row>
    <row r="6123" spans="8:18" x14ac:dyDescent="0.35"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</row>
    <row r="6124" spans="8:18" x14ac:dyDescent="0.35"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</row>
    <row r="6125" spans="8:18" x14ac:dyDescent="0.35"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</row>
    <row r="6126" spans="8:18" x14ac:dyDescent="0.35"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</row>
    <row r="6127" spans="8:18" x14ac:dyDescent="0.35"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</row>
    <row r="6128" spans="8:18" x14ac:dyDescent="0.35"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</row>
    <row r="6129" spans="8:18" x14ac:dyDescent="0.35"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</row>
    <row r="6130" spans="8:18" x14ac:dyDescent="0.35"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</row>
    <row r="6131" spans="8:18" x14ac:dyDescent="0.35"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</row>
    <row r="6132" spans="8:18" x14ac:dyDescent="0.35"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</row>
    <row r="6133" spans="8:18" x14ac:dyDescent="0.35"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</row>
    <row r="6134" spans="8:18" x14ac:dyDescent="0.35"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3"/>
    </row>
    <row r="6135" spans="8:18" x14ac:dyDescent="0.35"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</row>
    <row r="6136" spans="8:18" x14ac:dyDescent="0.35"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</row>
    <row r="6137" spans="8:18" x14ac:dyDescent="0.35"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3"/>
    </row>
    <row r="6138" spans="8:18" x14ac:dyDescent="0.35"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</row>
    <row r="6139" spans="8:18" x14ac:dyDescent="0.35"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</row>
    <row r="6140" spans="8:18" x14ac:dyDescent="0.35"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</row>
    <row r="6141" spans="8:18" x14ac:dyDescent="0.35"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3"/>
    </row>
    <row r="6142" spans="8:18" x14ac:dyDescent="0.35"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3"/>
    </row>
    <row r="6143" spans="8:18" x14ac:dyDescent="0.35"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</row>
    <row r="6144" spans="8:18" x14ac:dyDescent="0.35"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</row>
    <row r="6145" spans="8:18" x14ac:dyDescent="0.35"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3"/>
    </row>
    <row r="6146" spans="8:18" x14ac:dyDescent="0.35"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3"/>
    </row>
    <row r="6147" spans="8:18" x14ac:dyDescent="0.35"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</row>
    <row r="6148" spans="8:18" x14ac:dyDescent="0.35"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</row>
    <row r="6149" spans="8:18" x14ac:dyDescent="0.35"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3"/>
    </row>
    <row r="6150" spans="8:18" x14ac:dyDescent="0.35"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</row>
    <row r="6151" spans="8:18" x14ac:dyDescent="0.35"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</row>
    <row r="6152" spans="8:18" x14ac:dyDescent="0.35"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</row>
    <row r="6153" spans="8:18" x14ac:dyDescent="0.35"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3"/>
    </row>
    <row r="6154" spans="8:18" x14ac:dyDescent="0.35"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3"/>
    </row>
    <row r="6155" spans="8:18" x14ac:dyDescent="0.35"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</row>
    <row r="6156" spans="8:18" x14ac:dyDescent="0.35"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</row>
    <row r="6157" spans="8:18" x14ac:dyDescent="0.35"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</row>
    <row r="6158" spans="8:18" x14ac:dyDescent="0.35"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</row>
    <row r="6159" spans="8:18" x14ac:dyDescent="0.35"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</row>
    <row r="6160" spans="8:18" x14ac:dyDescent="0.35"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</row>
    <row r="6161" spans="8:18" x14ac:dyDescent="0.35"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</row>
    <row r="6162" spans="8:18" x14ac:dyDescent="0.35"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</row>
    <row r="6163" spans="8:18" x14ac:dyDescent="0.35"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</row>
    <row r="6164" spans="8:18" x14ac:dyDescent="0.35"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</row>
    <row r="6165" spans="8:18" x14ac:dyDescent="0.35"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</row>
    <row r="6166" spans="8:18" x14ac:dyDescent="0.35"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</row>
    <row r="6167" spans="8:18" x14ac:dyDescent="0.35"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</row>
    <row r="6168" spans="8:18" x14ac:dyDescent="0.35"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</row>
    <row r="6169" spans="8:18" x14ac:dyDescent="0.35"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</row>
    <row r="6170" spans="8:18" x14ac:dyDescent="0.35"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</row>
    <row r="6171" spans="8:18" x14ac:dyDescent="0.35"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</row>
    <row r="6172" spans="8:18" x14ac:dyDescent="0.35"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</row>
    <row r="6173" spans="8:18" x14ac:dyDescent="0.35"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</row>
    <row r="6174" spans="8:18" x14ac:dyDescent="0.35"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</row>
    <row r="6175" spans="8:18" x14ac:dyDescent="0.35"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</row>
    <row r="6176" spans="8:18" x14ac:dyDescent="0.35"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</row>
    <row r="6177" spans="8:18" x14ac:dyDescent="0.35"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</row>
    <row r="6178" spans="8:18" x14ac:dyDescent="0.35"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</row>
    <row r="6179" spans="8:18" x14ac:dyDescent="0.35"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</row>
    <row r="6180" spans="8:18" x14ac:dyDescent="0.35"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</row>
    <row r="6181" spans="8:18" x14ac:dyDescent="0.35"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3"/>
    </row>
    <row r="6182" spans="8:18" x14ac:dyDescent="0.35"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</row>
    <row r="6183" spans="8:18" x14ac:dyDescent="0.35"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</row>
    <row r="6184" spans="8:18" x14ac:dyDescent="0.35"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</row>
    <row r="6185" spans="8:18" x14ac:dyDescent="0.35"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3"/>
    </row>
    <row r="6186" spans="8:18" x14ac:dyDescent="0.35"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</row>
    <row r="6187" spans="8:18" x14ac:dyDescent="0.35"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</row>
    <row r="6188" spans="8:18" x14ac:dyDescent="0.35"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</row>
    <row r="6189" spans="8:18" x14ac:dyDescent="0.35"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3"/>
    </row>
    <row r="6190" spans="8:18" x14ac:dyDescent="0.35"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3"/>
    </row>
    <row r="6191" spans="8:18" x14ac:dyDescent="0.35"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</row>
    <row r="6192" spans="8:18" x14ac:dyDescent="0.35"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</row>
    <row r="6193" spans="8:18" x14ac:dyDescent="0.35"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3"/>
    </row>
    <row r="6194" spans="8:18" x14ac:dyDescent="0.35"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3"/>
    </row>
    <row r="6195" spans="8:18" x14ac:dyDescent="0.35"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</row>
    <row r="6196" spans="8:18" x14ac:dyDescent="0.35"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</row>
    <row r="6197" spans="8:18" x14ac:dyDescent="0.35"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3"/>
    </row>
    <row r="6198" spans="8:18" x14ac:dyDescent="0.35"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3"/>
    </row>
    <row r="6199" spans="8:18" x14ac:dyDescent="0.35"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</row>
    <row r="6200" spans="8:18" x14ac:dyDescent="0.35"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</row>
    <row r="6201" spans="8:18" x14ac:dyDescent="0.35"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3"/>
    </row>
    <row r="6202" spans="8:18" x14ac:dyDescent="0.35"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3"/>
    </row>
    <row r="6203" spans="8:18" x14ac:dyDescent="0.35"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</row>
    <row r="6204" spans="8:18" x14ac:dyDescent="0.35"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</row>
    <row r="6205" spans="8:18" x14ac:dyDescent="0.35"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3"/>
    </row>
    <row r="6206" spans="8:18" x14ac:dyDescent="0.35"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3"/>
    </row>
    <row r="6207" spans="8:18" x14ac:dyDescent="0.35"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</row>
    <row r="6208" spans="8:18" x14ac:dyDescent="0.35"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</row>
    <row r="6209" spans="8:18" x14ac:dyDescent="0.35"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</row>
    <row r="6210" spans="8:18" x14ac:dyDescent="0.35"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</row>
    <row r="6211" spans="8:18" x14ac:dyDescent="0.35"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</row>
    <row r="6212" spans="8:18" x14ac:dyDescent="0.35"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</row>
    <row r="6213" spans="8:18" x14ac:dyDescent="0.35"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</row>
    <row r="6214" spans="8:18" x14ac:dyDescent="0.35"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</row>
    <row r="6215" spans="8:18" x14ac:dyDescent="0.35"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</row>
    <row r="6216" spans="8:18" x14ac:dyDescent="0.35"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</row>
    <row r="6217" spans="8:18" x14ac:dyDescent="0.35"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</row>
    <row r="6218" spans="8:18" x14ac:dyDescent="0.35"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</row>
    <row r="6219" spans="8:18" x14ac:dyDescent="0.35"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</row>
    <row r="6220" spans="8:18" x14ac:dyDescent="0.35"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</row>
    <row r="6221" spans="8:18" x14ac:dyDescent="0.35"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</row>
    <row r="6222" spans="8:18" x14ac:dyDescent="0.35"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</row>
    <row r="6223" spans="8:18" x14ac:dyDescent="0.35"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</row>
    <row r="6224" spans="8:18" x14ac:dyDescent="0.35"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</row>
    <row r="6225" spans="8:18" x14ac:dyDescent="0.35"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</row>
    <row r="6226" spans="8:18" x14ac:dyDescent="0.35"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</row>
    <row r="6227" spans="8:18" x14ac:dyDescent="0.35"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</row>
    <row r="6228" spans="8:18" x14ac:dyDescent="0.35"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</row>
    <row r="6229" spans="8:18" x14ac:dyDescent="0.35"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</row>
    <row r="6230" spans="8:18" x14ac:dyDescent="0.35"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</row>
    <row r="6231" spans="8:18" x14ac:dyDescent="0.35"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</row>
    <row r="6232" spans="8:18" x14ac:dyDescent="0.35"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</row>
    <row r="6233" spans="8:18" x14ac:dyDescent="0.35"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</row>
    <row r="6234" spans="8:18" x14ac:dyDescent="0.35"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</row>
    <row r="6235" spans="8:18" x14ac:dyDescent="0.35"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</row>
    <row r="6236" spans="8:18" x14ac:dyDescent="0.35"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</row>
    <row r="6237" spans="8:18" x14ac:dyDescent="0.35"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</row>
    <row r="6238" spans="8:18" x14ac:dyDescent="0.35"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</row>
    <row r="6239" spans="8:18" x14ac:dyDescent="0.35"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</row>
    <row r="6240" spans="8:18" x14ac:dyDescent="0.35"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</row>
    <row r="6241" spans="8:18" x14ac:dyDescent="0.35"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</row>
    <row r="6242" spans="8:18" x14ac:dyDescent="0.35"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</row>
    <row r="6243" spans="8:18" x14ac:dyDescent="0.35"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</row>
    <row r="6244" spans="8:18" x14ac:dyDescent="0.35"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</row>
    <row r="6245" spans="8:18" x14ac:dyDescent="0.35"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</row>
    <row r="6246" spans="8:18" x14ac:dyDescent="0.35"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3"/>
    </row>
    <row r="6247" spans="8:18" x14ac:dyDescent="0.35"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</row>
    <row r="6248" spans="8:18" x14ac:dyDescent="0.35"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</row>
    <row r="6249" spans="8:18" x14ac:dyDescent="0.35"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</row>
    <row r="6250" spans="8:18" x14ac:dyDescent="0.35"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</row>
    <row r="6251" spans="8:18" x14ac:dyDescent="0.35"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</row>
    <row r="6252" spans="8:18" x14ac:dyDescent="0.35"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</row>
    <row r="6253" spans="8:18" x14ac:dyDescent="0.35"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</row>
    <row r="6254" spans="8:18" x14ac:dyDescent="0.35"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</row>
    <row r="6255" spans="8:18" x14ac:dyDescent="0.35"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</row>
    <row r="6256" spans="8:18" x14ac:dyDescent="0.35"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</row>
    <row r="6257" spans="8:18" x14ac:dyDescent="0.35"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</row>
    <row r="6258" spans="8:18" x14ac:dyDescent="0.35"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</row>
    <row r="6259" spans="8:18" x14ac:dyDescent="0.35"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</row>
    <row r="6260" spans="8:18" x14ac:dyDescent="0.35"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</row>
    <row r="6261" spans="8:18" x14ac:dyDescent="0.35"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</row>
    <row r="6262" spans="8:18" x14ac:dyDescent="0.35"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</row>
    <row r="6263" spans="8:18" x14ac:dyDescent="0.35"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</row>
    <row r="6264" spans="8:18" x14ac:dyDescent="0.35"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</row>
    <row r="6265" spans="8:18" x14ac:dyDescent="0.35"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</row>
    <row r="6266" spans="8:18" x14ac:dyDescent="0.35"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</row>
    <row r="6267" spans="8:18" x14ac:dyDescent="0.35"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</row>
    <row r="6268" spans="8:18" x14ac:dyDescent="0.35"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</row>
    <row r="6269" spans="8:18" x14ac:dyDescent="0.35"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</row>
    <row r="6270" spans="8:18" x14ac:dyDescent="0.35"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</row>
    <row r="6271" spans="8:18" x14ac:dyDescent="0.35"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</row>
    <row r="6272" spans="8:18" x14ac:dyDescent="0.35"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</row>
    <row r="6273" spans="8:18" x14ac:dyDescent="0.35"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</row>
    <row r="6274" spans="8:18" x14ac:dyDescent="0.35"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3"/>
    </row>
    <row r="6275" spans="8:18" x14ac:dyDescent="0.35"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</row>
    <row r="6276" spans="8:18" x14ac:dyDescent="0.35"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</row>
    <row r="6277" spans="8:18" x14ac:dyDescent="0.35"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</row>
    <row r="6278" spans="8:18" x14ac:dyDescent="0.35"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</row>
    <row r="6279" spans="8:18" x14ac:dyDescent="0.35"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</row>
    <row r="6280" spans="8:18" x14ac:dyDescent="0.35"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</row>
    <row r="6281" spans="8:18" x14ac:dyDescent="0.35"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</row>
    <row r="6282" spans="8:18" x14ac:dyDescent="0.35"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</row>
    <row r="6283" spans="8:18" x14ac:dyDescent="0.35"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</row>
    <row r="6284" spans="8:18" x14ac:dyDescent="0.35"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</row>
    <row r="6285" spans="8:18" x14ac:dyDescent="0.35"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</row>
    <row r="6286" spans="8:18" x14ac:dyDescent="0.35"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</row>
    <row r="6287" spans="8:18" x14ac:dyDescent="0.35"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</row>
    <row r="6288" spans="8:18" x14ac:dyDescent="0.35"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</row>
    <row r="6289" spans="8:18" x14ac:dyDescent="0.35"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</row>
    <row r="6290" spans="8:18" x14ac:dyDescent="0.35"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</row>
    <row r="6291" spans="8:18" x14ac:dyDescent="0.35"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</row>
    <row r="6292" spans="8:18" x14ac:dyDescent="0.35"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</row>
    <row r="6293" spans="8:18" x14ac:dyDescent="0.35"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</row>
    <row r="6294" spans="8:18" x14ac:dyDescent="0.35"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</row>
    <row r="6295" spans="8:18" x14ac:dyDescent="0.35"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</row>
    <row r="6296" spans="8:18" x14ac:dyDescent="0.35"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</row>
    <row r="6297" spans="8:18" x14ac:dyDescent="0.35"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</row>
    <row r="6298" spans="8:18" x14ac:dyDescent="0.35"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</row>
    <row r="6299" spans="8:18" x14ac:dyDescent="0.35"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</row>
    <row r="6300" spans="8:18" x14ac:dyDescent="0.35"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</row>
    <row r="6301" spans="8:18" x14ac:dyDescent="0.35"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</row>
    <row r="6302" spans="8:18" x14ac:dyDescent="0.35"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</row>
    <row r="6303" spans="8:18" x14ac:dyDescent="0.35"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</row>
    <row r="6304" spans="8:18" x14ac:dyDescent="0.35"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</row>
    <row r="6305" spans="8:18" x14ac:dyDescent="0.35"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</row>
    <row r="6306" spans="8:18" x14ac:dyDescent="0.35"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</row>
    <row r="6307" spans="8:18" x14ac:dyDescent="0.35"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</row>
    <row r="6308" spans="8:18" x14ac:dyDescent="0.35"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</row>
    <row r="6309" spans="8:18" x14ac:dyDescent="0.35"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</row>
    <row r="6310" spans="8:18" x14ac:dyDescent="0.35"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</row>
    <row r="6311" spans="8:18" x14ac:dyDescent="0.35"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</row>
    <row r="6312" spans="8:18" x14ac:dyDescent="0.35"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</row>
    <row r="6313" spans="8:18" x14ac:dyDescent="0.35"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</row>
    <row r="6314" spans="8:18" x14ac:dyDescent="0.35"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</row>
    <row r="6315" spans="8:18" x14ac:dyDescent="0.35"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</row>
    <row r="6316" spans="8:18" x14ac:dyDescent="0.35"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</row>
    <row r="6317" spans="8:18" x14ac:dyDescent="0.35"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</row>
    <row r="6318" spans="8:18" x14ac:dyDescent="0.35"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</row>
    <row r="6319" spans="8:18" x14ac:dyDescent="0.35"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</row>
    <row r="6320" spans="8:18" x14ac:dyDescent="0.35"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</row>
    <row r="6321" spans="8:18" x14ac:dyDescent="0.35"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</row>
    <row r="6322" spans="8:18" x14ac:dyDescent="0.35"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</row>
    <row r="6323" spans="8:18" x14ac:dyDescent="0.35"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</row>
    <row r="6324" spans="8:18" x14ac:dyDescent="0.35"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</row>
    <row r="6325" spans="8:18" x14ac:dyDescent="0.35"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</row>
    <row r="6326" spans="8:18" x14ac:dyDescent="0.35"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</row>
    <row r="6327" spans="8:18" x14ac:dyDescent="0.35"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</row>
    <row r="6328" spans="8:18" x14ac:dyDescent="0.35"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</row>
    <row r="6329" spans="8:18" x14ac:dyDescent="0.35"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</row>
    <row r="6330" spans="8:18" x14ac:dyDescent="0.35"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</row>
    <row r="6331" spans="8:18" x14ac:dyDescent="0.35"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</row>
    <row r="6332" spans="8:18" x14ac:dyDescent="0.35"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</row>
    <row r="6333" spans="8:18" x14ac:dyDescent="0.35"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3"/>
    </row>
    <row r="6334" spans="8:18" x14ac:dyDescent="0.35"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</row>
    <row r="6335" spans="8:18" x14ac:dyDescent="0.35"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</row>
    <row r="6336" spans="8:18" x14ac:dyDescent="0.35"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</row>
    <row r="6337" spans="8:18" x14ac:dyDescent="0.35"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</row>
    <row r="6338" spans="8:18" x14ac:dyDescent="0.35"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</row>
    <row r="6339" spans="8:18" x14ac:dyDescent="0.35"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</row>
    <row r="6340" spans="8:18" x14ac:dyDescent="0.35"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</row>
    <row r="6341" spans="8:18" x14ac:dyDescent="0.35"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</row>
    <row r="6342" spans="8:18" x14ac:dyDescent="0.35"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</row>
    <row r="6343" spans="8:18" x14ac:dyDescent="0.35"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</row>
    <row r="6344" spans="8:18" x14ac:dyDescent="0.35"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</row>
    <row r="6345" spans="8:18" x14ac:dyDescent="0.35"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</row>
    <row r="6346" spans="8:18" x14ac:dyDescent="0.35"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</row>
    <row r="6347" spans="8:18" x14ac:dyDescent="0.35"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</row>
    <row r="6348" spans="8:18" x14ac:dyDescent="0.35"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</row>
    <row r="6349" spans="8:18" x14ac:dyDescent="0.35"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</row>
    <row r="6350" spans="8:18" x14ac:dyDescent="0.35"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</row>
    <row r="6351" spans="8:18" x14ac:dyDescent="0.35"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</row>
    <row r="6352" spans="8:18" x14ac:dyDescent="0.35"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</row>
    <row r="6353" spans="8:18" x14ac:dyDescent="0.35"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</row>
    <row r="6354" spans="8:18" x14ac:dyDescent="0.35"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</row>
    <row r="6355" spans="8:18" x14ac:dyDescent="0.35"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</row>
    <row r="6356" spans="8:18" x14ac:dyDescent="0.35"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</row>
    <row r="6357" spans="8:18" x14ac:dyDescent="0.35"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3"/>
    </row>
    <row r="6358" spans="8:18" x14ac:dyDescent="0.35"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3"/>
    </row>
    <row r="6359" spans="8:18" x14ac:dyDescent="0.35"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</row>
    <row r="6360" spans="8:18" x14ac:dyDescent="0.35"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</row>
    <row r="6361" spans="8:18" x14ac:dyDescent="0.35"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</row>
    <row r="6362" spans="8:18" x14ac:dyDescent="0.35"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</row>
    <row r="6363" spans="8:18" x14ac:dyDescent="0.35"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</row>
    <row r="6364" spans="8:18" x14ac:dyDescent="0.35"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</row>
    <row r="6365" spans="8:18" x14ac:dyDescent="0.35"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</row>
    <row r="6366" spans="8:18" x14ac:dyDescent="0.35"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</row>
    <row r="6367" spans="8:18" x14ac:dyDescent="0.35"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</row>
    <row r="6368" spans="8:18" x14ac:dyDescent="0.35"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</row>
    <row r="6369" spans="8:18" x14ac:dyDescent="0.35"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</row>
    <row r="6370" spans="8:18" x14ac:dyDescent="0.35"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</row>
    <row r="6371" spans="8:18" x14ac:dyDescent="0.35"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</row>
    <row r="6372" spans="8:18" x14ac:dyDescent="0.35"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</row>
    <row r="6373" spans="8:18" x14ac:dyDescent="0.35"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</row>
    <row r="6374" spans="8:18" x14ac:dyDescent="0.35"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</row>
    <row r="6375" spans="8:18" x14ac:dyDescent="0.35"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</row>
    <row r="6376" spans="8:18" x14ac:dyDescent="0.35"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</row>
    <row r="6377" spans="8:18" x14ac:dyDescent="0.35"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3"/>
    </row>
    <row r="6378" spans="8:18" x14ac:dyDescent="0.35"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3"/>
    </row>
    <row r="6379" spans="8:18" x14ac:dyDescent="0.35"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</row>
    <row r="6380" spans="8:18" x14ac:dyDescent="0.35"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</row>
    <row r="6381" spans="8:18" x14ac:dyDescent="0.35"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3"/>
    </row>
    <row r="6382" spans="8:18" x14ac:dyDescent="0.35"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3"/>
    </row>
    <row r="6383" spans="8:18" x14ac:dyDescent="0.35"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</row>
    <row r="6384" spans="8:18" x14ac:dyDescent="0.35"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</row>
    <row r="6385" spans="8:18" x14ac:dyDescent="0.35"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</row>
    <row r="6386" spans="8:18" x14ac:dyDescent="0.35"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</row>
    <row r="6387" spans="8:18" x14ac:dyDescent="0.35"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</row>
    <row r="6388" spans="8:18" x14ac:dyDescent="0.35"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</row>
    <row r="6389" spans="8:18" x14ac:dyDescent="0.35"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3"/>
    </row>
    <row r="6390" spans="8:18" x14ac:dyDescent="0.35"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3"/>
    </row>
    <row r="6391" spans="8:18" x14ac:dyDescent="0.35"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</row>
    <row r="6392" spans="8:18" x14ac:dyDescent="0.35"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</row>
    <row r="6393" spans="8:18" x14ac:dyDescent="0.35"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3"/>
    </row>
    <row r="6394" spans="8:18" x14ac:dyDescent="0.35"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3"/>
    </row>
    <row r="6395" spans="8:18" x14ac:dyDescent="0.35"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</row>
    <row r="6396" spans="8:18" x14ac:dyDescent="0.35"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</row>
    <row r="6397" spans="8:18" x14ac:dyDescent="0.35"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3"/>
    </row>
    <row r="6398" spans="8:18" x14ac:dyDescent="0.35"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</row>
    <row r="6399" spans="8:18" x14ac:dyDescent="0.35"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</row>
    <row r="6400" spans="8:18" x14ac:dyDescent="0.35"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</row>
    <row r="6401" spans="8:18" x14ac:dyDescent="0.35"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</row>
    <row r="6402" spans="8:18" x14ac:dyDescent="0.35"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</row>
    <row r="6403" spans="8:18" x14ac:dyDescent="0.35"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</row>
    <row r="6404" spans="8:18" x14ac:dyDescent="0.35"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</row>
    <row r="6405" spans="8:18" x14ac:dyDescent="0.35"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</row>
    <row r="6406" spans="8:18" x14ac:dyDescent="0.35"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</row>
    <row r="6407" spans="8:18" x14ac:dyDescent="0.35"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</row>
    <row r="6408" spans="8:18" x14ac:dyDescent="0.35"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</row>
    <row r="6409" spans="8:18" x14ac:dyDescent="0.35"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</row>
    <row r="6410" spans="8:18" x14ac:dyDescent="0.35"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</row>
    <row r="6411" spans="8:18" x14ac:dyDescent="0.35"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</row>
    <row r="6412" spans="8:18" x14ac:dyDescent="0.35"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</row>
    <row r="6413" spans="8:18" x14ac:dyDescent="0.35"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</row>
    <row r="6414" spans="8:18" x14ac:dyDescent="0.35"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</row>
    <row r="6415" spans="8:18" x14ac:dyDescent="0.35"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</row>
    <row r="6416" spans="8:18" x14ac:dyDescent="0.35"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</row>
    <row r="6417" spans="8:18" x14ac:dyDescent="0.35"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3"/>
    </row>
    <row r="6418" spans="8:18" x14ac:dyDescent="0.35"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3"/>
    </row>
    <row r="6419" spans="8:18" x14ac:dyDescent="0.35"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</row>
    <row r="6420" spans="8:18" x14ac:dyDescent="0.35"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</row>
    <row r="6421" spans="8:18" x14ac:dyDescent="0.35"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3"/>
    </row>
    <row r="6422" spans="8:18" x14ac:dyDescent="0.35"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3"/>
    </row>
    <row r="6423" spans="8:18" x14ac:dyDescent="0.35"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</row>
    <row r="6424" spans="8:18" x14ac:dyDescent="0.35"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</row>
    <row r="6425" spans="8:18" x14ac:dyDescent="0.35"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3"/>
    </row>
    <row r="6426" spans="8:18" x14ac:dyDescent="0.35"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3"/>
    </row>
    <row r="6427" spans="8:18" x14ac:dyDescent="0.35"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</row>
    <row r="6428" spans="8:18" x14ac:dyDescent="0.35"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</row>
    <row r="6429" spans="8:18" x14ac:dyDescent="0.35"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3"/>
    </row>
    <row r="6430" spans="8:18" x14ac:dyDescent="0.35"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</row>
    <row r="6431" spans="8:18" x14ac:dyDescent="0.35"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</row>
    <row r="6432" spans="8:18" x14ac:dyDescent="0.35"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</row>
    <row r="6433" spans="8:18" x14ac:dyDescent="0.35"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3"/>
    </row>
    <row r="6434" spans="8:18" x14ac:dyDescent="0.35"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3"/>
    </row>
    <row r="6435" spans="8:18" x14ac:dyDescent="0.35"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</row>
    <row r="6436" spans="8:18" x14ac:dyDescent="0.35"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</row>
    <row r="6437" spans="8:18" x14ac:dyDescent="0.35"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3"/>
    </row>
    <row r="6438" spans="8:18" x14ac:dyDescent="0.35"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3"/>
    </row>
    <row r="6439" spans="8:18" x14ac:dyDescent="0.35"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</row>
    <row r="6440" spans="8:18" x14ac:dyDescent="0.35"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</row>
    <row r="6441" spans="8:18" x14ac:dyDescent="0.35"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3"/>
    </row>
    <row r="6442" spans="8:18" x14ac:dyDescent="0.35"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</row>
    <row r="6443" spans="8:18" x14ac:dyDescent="0.35"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</row>
    <row r="6444" spans="8:18" x14ac:dyDescent="0.35"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</row>
    <row r="6445" spans="8:18" x14ac:dyDescent="0.35"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</row>
    <row r="6446" spans="8:18" x14ac:dyDescent="0.35"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</row>
    <row r="6447" spans="8:18" x14ac:dyDescent="0.35"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</row>
    <row r="6448" spans="8:18" x14ac:dyDescent="0.35"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</row>
    <row r="6449" spans="8:18" x14ac:dyDescent="0.35"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</row>
    <row r="6450" spans="8:18" x14ac:dyDescent="0.35"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</row>
    <row r="6451" spans="8:18" x14ac:dyDescent="0.35"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</row>
    <row r="6452" spans="8:18" x14ac:dyDescent="0.35"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</row>
    <row r="6453" spans="8:18" x14ac:dyDescent="0.35"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</row>
    <row r="6454" spans="8:18" x14ac:dyDescent="0.35"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3"/>
    </row>
    <row r="6455" spans="8:18" x14ac:dyDescent="0.35"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</row>
    <row r="6456" spans="8:18" x14ac:dyDescent="0.35"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</row>
    <row r="6457" spans="8:18" x14ac:dyDescent="0.35"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3"/>
    </row>
    <row r="6458" spans="8:18" x14ac:dyDescent="0.35"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3"/>
    </row>
    <row r="6459" spans="8:18" x14ac:dyDescent="0.35"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</row>
    <row r="6460" spans="8:18" x14ac:dyDescent="0.35"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</row>
    <row r="6461" spans="8:18" x14ac:dyDescent="0.35"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3"/>
    </row>
    <row r="6462" spans="8:18" x14ac:dyDescent="0.35"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3"/>
    </row>
    <row r="6463" spans="8:18" x14ac:dyDescent="0.35"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</row>
    <row r="6464" spans="8:18" x14ac:dyDescent="0.35"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</row>
    <row r="6465" spans="8:18" x14ac:dyDescent="0.35"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</row>
    <row r="6466" spans="8:18" x14ac:dyDescent="0.35"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3"/>
    </row>
    <row r="6467" spans="8:18" x14ac:dyDescent="0.35"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</row>
    <row r="6468" spans="8:18" x14ac:dyDescent="0.35"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</row>
    <row r="6469" spans="8:18" x14ac:dyDescent="0.35"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</row>
    <row r="6470" spans="8:18" x14ac:dyDescent="0.35"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3"/>
    </row>
    <row r="6471" spans="8:18" x14ac:dyDescent="0.35"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</row>
    <row r="6472" spans="8:18" x14ac:dyDescent="0.35"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</row>
    <row r="6473" spans="8:18" x14ac:dyDescent="0.35"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</row>
    <row r="6474" spans="8:18" x14ac:dyDescent="0.35"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</row>
    <row r="6475" spans="8:18" x14ac:dyDescent="0.35"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</row>
    <row r="6476" spans="8:18" x14ac:dyDescent="0.35"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</row>
    <row r="6477" spans="8:18" x14ac:dyDescent="0.35"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</row>
    <row r="6478" spans="8:18" x14ac:dyDescent="0.35"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</row>
    <row r="6479" spans="8:18" x14ac:dyDescent="0.35"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</row>
    <row r="6480" spans="8:18" x14ac:dyDescent="0.35"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</row>
    <row r="6481" spans="8:18" x14ac:dyDescent="0.35"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</row>
    <row r="6482" spans="8:18" x14ac:dyDescent="0.35"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</row>
    <row r="6483" spans="8:18" x14ac:dyDescent="0.35"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</row>
    <row r="6484" spans="8:18" x14ac:dyDescent="0.35"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</row>
    <row r="6485" spans="8:18" x14ac:dyDescent="0.35"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</row>
    <row r="6486" spans="8:18" x14ac:dyDescent="0.35"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</row>
    <row r="6487" spans="8:18" x14ac:dyDescent="0.35"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</row>
    <row r="6488" spans="8:18" x14ac:dyDescent="0.35"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</row>
    <row r="6489" spans="8:18" x14ac:dyDescent="0.35"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</row>
    <row r="6490" spans="8:18" x14ac:dyDescent="0.35"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</row>
    <row r="6491" spans="8:18" x14ac:dyDescent="0.35"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</row>
    <row r="6492" spans="8:18" x14ac:dyDescent="0.35"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</row>
    <row r="6493" spans="8:18" x14ac:dyDescent="0.35"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</row>
    <row r="6494" spans="8:18" x14ac:dyDescent="0.35"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</row>
    <row r="6495" spans="8:18" x14ac:dyDescent="0.35"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</row>
    <row r="6496" spans="8:18" x14ac:dyDescent="0.35"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</row>
    <row r="6497" spans="8:18" x14ac:dyDescent="0.35"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</row>
    <row r="6498" spans="8:18" x14ac:dyDescent="0.35"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</row>
    <row r="6499" spans="8:18" x14ac:dyDescent="0.35"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</row>
    <row r="6500" spans="8:18" x14ac:dyDescent="0.35"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</row>
    <row r="6501" spans="8:18" x14ac:dyDescent="0.35"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</row>
    <row r="6502" spans="8:18" x14ac:dyDescent="0.35"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</row>
    <row r="6503" spans="8:18" x14ac:dyDescent="0.35"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</row>
    <row r="6504" spans="8:18" x14ac:dyDescent="0.35"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</row>
    <row r="6505" spans="8:18" x14ac:dyDescent="0.35"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</row>
    <row r="6506" spans="8:18" x14ac:dyDescent="0.35"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</row>
    <row r="6507" spans="8:18" x14ac:dyDescent="0.35"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</row>
    <row r="6508" spans="8:18" x14ac:dyDescent="0.35"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</row>
    <row r="6509" spans="8:18" x14ac:dyDescent="0.35"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</row>
    <row r="6510" spans="8:18" x14ac:dyDescent="0.35"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</row>
    <row r="6511" spans="8:18" x14ac:dyDescent="0.35"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</row>
    <row r="6512" spans="8:18" x14ac:dyDescent="0.35"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</row>
    <row r="6513" spans="8:18" x14ac:dyDescent="0.35"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3"/>
    </row>
    <row r="6514" spans="8:18" x14ac:dyDescent="0.35"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3"/>
    </row>
    <row r="6515" spans="8:18" x14ac:dyDescent="0.35"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</row>
    <row r="6516" spans="8:18" x14ac:dyDescent="0.35"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</row>
    <row r="6517" spans="8:18" x14ac:dyDescent="0.35"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3"/>
    </row>
    <row r="6518" spans="8:18" x14ac:dyDescent="0.35"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</row>
    <row r="6519" spans="8:18" x14ac:dyDescent="0.35"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</row>
    <row r="6520" spans="8:18" x14ac:dyDescent="0.35"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</row>
    <row r="6521" spans="8:18" x14ac:dyDescent="0.35"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</row>
    <row r="6522" spans="8:18" x14ac:dyDescent="0.35"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</row>
    <row r="6523" spans="8:18" x14ac:dyDescent="0.35"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</row>
    <row r="6524" spans="8:18" x14ac:dyDescent="0.35"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</row>
    <row r="6525" spans="8:18" x14ac:dyDescent="0.35"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</row>
    <row r="6526" spans="8:18" x14ac:dyDescent="0.35"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</row>
    <row r="6527" spans="8:18" x14ac:dyDescent="0.35"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</row>
    <row r="6528" spans="8:18" x14ac:dyDescent="0.35"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</row>
    <row r="6529" spans="8:18" x14ac:dyDescent="0.35"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</row>
    <row r="6530" spans="8:18" x14ac:dyDescent="0.35"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</row>
    <row r="6531" spans="8:18" x14ac:dyDescent="0.35"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</row>
    <row r="6532" spans="8:18" x14ac:dyDescent="0.35"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</row>
    <row r="6533" spans="8:18" x14ac:dyDescent="0.35"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</row>
    <row r="6534" spans="8:18" x14ac:dyDescent="0.35"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</row>
    <row r="6535" spans="8:18" x14ac:dyDescent="0.35"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</row>
    <row r="6536" spans="8:18" x14ac:dyDescent="0.35"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</row>
    <row r="6537" spans="8:18" x14ac:dyDescent="0.35"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</row>
    <row r="6538" spans="8:18" x14ac:dyDescent="0.35"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</row>
    <row r="6539" spans="8:18" x14ac:dyDescent="0.35"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</row>
    <row r="6540" spans="8:18" x14ac:dyDescent="0.35"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</row>
    <row r="6541" spans="8:18" x14ac:dyDescent="0.35"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</row>
    <row r="6542" spans="8:18" x14ac:dyDescent="0.35"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</row>
    <row r="6543" spans="8:18" x14ac:dyDescent="0.35"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</row>
    <row r="6544" spans="8:18" x14ac:dyDescent="0.35"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</row>
    <row r="6545" spans="8:18" x14ac:dyDescent="0.35"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</row>
    <row r="6546" spans="8:18" x14ac:dyDescent="0.35"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</row>
    <row r="6547" spans="8:18" x14ac:dyDescent="0.35"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</row>
    <row r="6548" spans="8:18" x14ac:dyDescent="0.35"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</row>
    <row r="6549" spans="8:18" x14ac:dyDescent="0.35"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</row>
    <row r="6550" spans="8:18" x14ac:dyDescent="0.35"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</row>
    <row r="6551" spans="8:18" x14ac:dyDescent="0.35"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</row>
    <row r="6552" spans="8:18" x14ac:dyDescent="0.35"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</row>
    <row r="6553" spans="8:18" x14ac:dyDescent="0.35"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</row>
    <row r="6554" spans="8:18" x14ac:dyDescent="0.35"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</row>
    <row r="6555" spans="8:18" x14ac:dyDescent="0.35"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</row>
    <row r="6556" spans="8:18" x14ac:dyDescent="0.35"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</row>
    <row r="6557" spans="8:18" x14ac:dyDescent="0.35"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</row>
    <row r="6558" spans="8:18" x14ac:dyDescent="0.35"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</row>
    <row r="6559" spans="8:18" x14ac:dyDescent="0.35"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</row>
    <row r="6560" spans="8:18" x14ac:dyDescent="0.35"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</row>
    <row r="6561" spans="8:18" x14ac:dyDescent="0.35"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</row>
    <row r="6562" spans="8:18" x14ac:dyDescent="0.35"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</row>
    <row r="6563" spans="8:18" x14ac:dyDescent="0.35"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</row>
    <row r="6564" spans="8:18" x14ac:dyDescent="0.35"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</row>
    <row r="6565" spans="8:18" x14ac:dyDescent="0.35"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</row>
    <row r="6566" spans="8:18" x14ac:dyDescent="0.35"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</row>
    <row r="6567" spans="8:18" x14ac:dyDescent="0.35"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</row>
    <row r="6568" spans="8:18" x14ac:dyDescent="0.35"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</row>
    <row r="6569" spans="8:18" x14ac:dyDescent="0.35"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</row>
    <row r="6570" spans="8:18" x14ac:dyDescent="0.35"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</row>
    <row r="6571" spans="8:18" x14ac:dyDescent="0.35"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</row>
    <row r="6572" spans="8:18" x14ac:dyDescent="0.35"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</row>
    <row r="6573" spans="8:18" x14ac:dyDescent="0.35"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</row>
    <row r="6574" spans="8:18" x14ac:dyDescent="0.35"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</row>
    <row r="6575" spans="8:18" x14ac:dyDescent="0.35"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</row>
    <row r="6576" spans="8:18" x14ac:dyDescent="0.35"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</row>
    <row r="6577" spans="8:18" x14ac:dyDescent="0.35"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</row>
    <row r="6578" spans="8:18" x14ac:dyDescent="0.35"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</row>
    <row r="6579" spans="8:18" x14ac:dyDescent="0.35"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</row>
    <row r="6580" spans="8:18" x14ac:dyDescent="0.35"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</row>
    <row r="6581" spans="8:18" x14ac:dyDescent="0.35"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</row>
    <row r="6582" spans="8:18" x14ac:dyDescent="0.35"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</row>
    <row r="6583" spans="8:18" x14ac:dyDescent="0.35"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</row>
    <row r="6584" spans="8:18" x14ac:dyDescent="0.35"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</row>
    <row r="6585" spans="8:18" x14ac:dyDescent="0.35"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</row>
    <row r="6586" spans="8:18" x14ac:dyDescent="0.35"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</row>
    <row r="6587" spans="8:18" x14ac:dyDescent="0.35"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</row>
    <row r="6588" spans="8:18" x14ac:dyDescent="0.35"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</row>
    <row r="6589" spans="8:18" x14ac:dyDescent="0.35"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</row>
    <row r="6590" spans="8:18" x14ac:dyDescent="0.35"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</row>
    <row r="6591" spans="8:18" x14ac:dyDescent="0.35"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</row>
    <row r="6592" spans="8:18" x14ac:dyDescent="0.35"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</row>
    <row r="6593" spans="8:18" x14ac:dyDescent="0.35"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</row>
    <row r="6594" spans="8:18" x14ac:dyDescent="0.35"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</row>
    <row r="6595" spans="8:18" x14ac:dyDescent="0.35"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</row>
    <row r="6596" spans="8:18" x14ac:dyDescent="0.35"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</row>
    <row r="6597" spans="8:18" x14ac:dyDescent="0.35"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</row>
    <row r="6598" spans="8:18" x14ac:dyDescent="0.35"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</row>
    <row r="6599" spans="8:18" x14ac:dyDescent="0.35"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</row>
    <row r="6600" spans="8:18" x14ac:dyDescent="0.35"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</row>
    <row r="6601" spans="8:18" x14ac:dyDescent="0.35"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</row>
    <row r="6602" spans="8:18" x14ac:dyDescent="0.35"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</row>
    <row r="6603" spans="8:18" x14ac:dyDescent="0.35"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</row>
    <row r="6604" spans="8:18" x14ac:dyDescent="0.35"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</row>
    <row r="6605" spans="8:18" x14ac:dyDescent="0.35"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</row>
    <row r="6606" spans="8:18" x14ac:dyDescent="0.35"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</row>
    <row r="6607" spans="8:18" x14ac:dyDescent="0.35"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</row>
    <row r="6608" spans="8:18" x14ac:dyDescent="0.35"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</row>
    <row r="6609" spans="8:18" x14ac:dyDescent="0.35"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</row>
    <row r="6610" spans="8:18" x14ac:dyDescent="0.35"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</row>
    <row r="6611" spans="8:18" x14ac:dyDescent="0.35"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</row>
    <row r="6612" spans="8:18" x14ac:dyDescent="0.35"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</row>
    <row r="6613" spans="8:18" x14ac:dyDescent="0.35"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</row>
    <row r="6614" spans="8:18" x14ac:dyDescent="0.35"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</row>
    <row r="6615" spans="8:18" x14ac:dyDescent="0.35"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</row>
    <row r="6616" spans="8:18" x14ac:dyDescent="0.35"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</row>
    <row r="6617" spans="8:18" x14ac:dyDescent="0.35"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</row>
    <row r="6618" spans="8:18" x14ac:dyDescent="0.35"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</row>
    <row r="6619" spans="8:18" x14ac:dyDescent="0.35"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</row>
    <row r="6620" spans="8:18" x14ac:dyDescent="0.35"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</row>
    <row r="6621" spans="8:18" x14ac:dyDescent="0.35"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</row>
    <row r="6622" spans="8:18" x14ac:dyDescent="0.35"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</row>
    <row r="6623" spans="8:18" x14ac:dyDescent="0.35"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</row>
    <row r="6624" spans="8:18" x14ac:dyDescent="0.35"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</row>
    <row r="6625" spans="8:18" x14ac:dyDescent="0.35"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</row>
    <row r="6626" spans="8:18" x14ac:dyDescent="0.35"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</row>
    <row r="6627" spans="8:18" x14ac:dyDescent="0.35"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</row>
    <row r="6628" spans="8:18" x14ac:dyDescent="0.35"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</row>
    <row r="6629" spans="8:18" x14ac:dyDescent="0.35"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</row>
    <row r="6630" spans="8:18" x14ac:dyDescent="0.35"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</row>
    <row r="6631" spans="8:18" x14ac:dyDescent="0.35"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</row>
    <row r="6632" spans="8:18" x14ac:dyDescent="0.35"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</row>
    <row r="6633" spans="8:18" x14ac:dyDescent="0.35"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</row>
    <row r="6634" spans="8:18" x14ac:dyDescent="0.35"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</row>
    <row r="6635" spans="8:18" x14ac:dyDescent="0.35"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</row>
    <row r="6636" spans="8:18" x14ac:dyDescent="0.35"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</row>
    <row r="6637" spans="8:18" x14ac:dyDescent="0.35"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</row>
    <row r="6638" spans="8:18" x14ac:dyDescent="0.35"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</row>
    <row r="6639" spans="8:18" x14ac:dyDescent="0.35"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</row>
    <row r="6640" spans="8:18" x14ac:dyDescent="0.35"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</row>
    <row r="6641" spans="8:18" x14ac:dyDescent="0.35"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</row>
    <row r="6642" spans="8:18" x14ac:dyDescent="0.35"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</row>
    <row r="6643" spans="8:18" x14ac:dyDescent="0.35"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</row>
    <row r="6644" spans="8:18" x14ac:dyDescent="0.35"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</row>
    <row r="6645" spans="8:18" x14ac:dyDescent="0.35"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</row>
    <row r="6646" spans="8:18" x14ac:dyDescent="0.35"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</row>
    <row r="6647" spans="8:18" x14ac:dyDescent="0.35"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</row>
    <row r="6648" spans="8:18" x14ac:dyDescent="0.35"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</row>
    <row r="6649" spans="8:18" x14ac:dyDescent="0.35"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</row>
    <row r="6650" spans="8:18" x14ac:dyDescent="0.35"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</row>
    <row r="6651" spans="8:18" x14ac:dyDescent="0.35"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</row>
    <row r="6652" spans="8:18" x14ac:dyDescent="0.35"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</row>
    <row r="6653" spans="8:18" x14ac:dyDescent="0.35"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</row>
    <row r="6654" spans="8:18" x14ac:dyDescent="0.35"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</row>
    <row r="6655" spans="8:18" x14ac:dyDescent="0.35"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</row>
    <row r="6656" spans="8:18" x14ac:dyDescent="0.35"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</row>
    <row r="6657" spans="8:18" x14ac:dyDescent="0.35"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</row>
    <row r="6658" spans="8:18" x14ac:dyDescent="0.35"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</row>
    <row r="6659" spans="8:18" x14ac:dyDescent="0.35"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</row>
    <row r="6660" spans="8:18" x14ac:dyDescent="0.35"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</row>
    <row r="6661" spans="8:18" x14ac:dyDescent="0.35"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</row>
    <row r="6662" spans="8:18" x14ac:dyDescent="0.35"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</row>
    <row r="6663" spans="8:18" x14ac:dyDescent="0.35"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</row>
    <row r="6664" spans="8:18" x14ac:dyDescent="0.35"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</row>
    <row r="6665" spans="8:18" x14ac:dyDescent="0.35"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</row>
    <row r="6666" spans="8:18" x14ac:dyDescent="0.35"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</row>
    <row r="6667" spans="8:18" x14ac:dyDescent="0.35"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</row>
    <row r="6668" spans="8:18" x14ac:dyDescent="0.35"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</row>
    <row r="6669" spans="8:18" x14ac:dyDescent="0.35"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</row>
    <row r="6670" spans="8:18" x14ac:dyDescent="0.35"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</row>
    <row r="6671" spans="8:18" x14ac:dyDescent="0.35"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</row>
    <row r="6672" spans="8:18" x14ac:dyDescent="0.35"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</row>
    <row r="6673" spans="8:18" x14ac:dyDescent="0.35"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</row>
    <row r="6674" spans="8:18" x14ac:dyDescent="0.35"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</row>
    <row r="6675" spans="8:18" x14ac:dyDescent="0.35"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</row>
    <row r="6676" spans="8:18" x14ac:dyDescent="0.35"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</row>
    <row r="6677" spans="8:18" x14ac:dyDescent="0.35"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</row>
    <row r="6678" spans="8:18" x14ac:dyDescent="0.35"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</row>
    <row r="6679" spans="8:18" x14ac:dyDescent="0.35"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</row>
    <row r="6680" spans="8:18" x14ac:dyDescent="0.35"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</row>
    <row r="6681" spans="8:18" x14ac:dyDescent="0.35"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</row>
    <row r="6682" spans="8:18" x14ac:dyDescent="0.35"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</row>
    <row r="6683" spans="8:18" x14ac:dyDescent="0.35"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</row>
    <row r="6684" spans="8:18" x14ac:dyDescent="0.35"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</row>
    <row r="6685" spans="8:18" x14ac:dyDescent="0.35"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</row>
    <row r="6686" spans="8:18" x14ac:dyDescent="0.35"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</row>
    <row r="6687" spans="8:18" x14ac:dyDescent="0.35"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</row>
    <row r="6688" spans="8:18" x14ac:dyDescent="0.35"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</row>
    <row r="6689" spans="8:18" x14ac:dyDescent="0.35"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</row>
    <row r="6690" spans="8:18" x14ac:dyDescent="0.35"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</row>
    <row r="6691" spans="8:18" x14ac:dyDescent="0.35"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</row>
    <row r="6692" spans="8:18" x14ac:dyDescent="0.35"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</row>
    <row r="6693" spans="8:18" x14ac:dyDescent="0.35"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</row>
    <row r="6694" spans="8:18" x14ac:dyDescent="0.35"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</row>
    <row r="6695" spans="8:18" x14ac:dyDescent="0.35"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</row>
    <row r="6696" spans="8:18" x14ac:dyDescent="0.35"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</row>
    <row r="6697" spans="8:18" x14ac:dyDescent="0.35"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</row>
    <row r="6698" spans="8:18" x14ac:dyDescent="0.35"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</row>
    <row r="6699" spans="8:18" x14ac:dyDescent="0.35"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</row>
    <row r="6700" spans="8:18" x14ac:dyDescent="0.35"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</row>
    <row r="6701" spans="8:18" x14ac:dyDescent="0.35"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</row>
    <row r="6702" spans="8:18" x14ac:dyDescent="0.35"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</row>
    <row r="6703" spans="8:18" x14ac:dyDescent="0.35"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</row>
    <row r="6704" spans="8:18" x14ac:dyDescent="0.35"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</row>
    <row r="6705" spans="8:18" x14ac:dyDescent="0.35"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</row>
    <row r="6706" spans="8:18" x14ac:dyDescent="0.35"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</row>
    <row r="6707" spans="8:18" x14ac:dyDescent="0.35"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</row>
    <row r="6708" spans="8:18" x14ac:dyDescent="0.35"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</row>
    <row r="6709" spans="8:18" x14ac:dyDescent="0.35"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</row>
    <row r="6710" spans="8:18" x14ac:dyDescent="0.35"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</row>
    <row r="6711" spans="8:18" x14ac:dyDescent="0.35"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</row>
    <row r="6712" spans="8:18" x14ac:dyDescent="0.35"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</row>
    <row r="6713" spans="8:18" x14ac:dyDescent="0.35"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</row>
    <row r="6714" spans="8:18" x14ac:dyDescent="0.35"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</row>
    <row r="6715" spans="8:18" x14ac:dyDescent="0.35"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</row>
    <row r="6716" spans="8:18" x14ac:dyDescent="0.35"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</row>
    <row r="6717" spans="8:18" x14ac:dyDescent="0.35"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</row>
    <row r="6718" spans="8:18" x14ac:dyDescent="0.35"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</row>
    <row r="6719" spans="8:18" x14ac:dyDescent="0.35"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</row>
    <row r="6720" spans="8:18" x14ac:dyDescent="0.35"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</row>
    <row r="6721" spans="8:18" x14ac:dyDescent="0.35"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</row>
    <row r="6722" spans="8:18" x14ac:dyDescent="0.35"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</row>
    <row r="6723" spans="8:18" x14ac:dyDescent="0.35"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</row>
    <row r="6724" spans="8:18" x14ac:dyDescent="0.35"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</row>
    <row r="6725" spans="8:18" x14ac:dyDescent="0.35"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</row>
    <row r="6726" spans="8:18" x14ac:dyDescent="0.35"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</row>
    <row r="6727" spans="8:18" x14ac:dyDescent="0.35"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</row>
    <row r="6728" spans="8:18" x14ac:dyDescent="0.35"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</row>
    <row r="6729" spans="8:18" x14ac:dyDescent="0.35"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</row>
    <row r="6730" spans="8:18" x14ac:dyDescent="0.35"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</row>
    <row r="6731" spans="8:18" x14ac:dyDescent="0.35"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</row>
    <row r="6732" spans="8:18" x14ac:dyDescent="0.35"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</row>
    <row r="6733" spans="8:18" x14ac:dyDescent="0.35"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</row>
    <row r="6734" spans="8:18" x14ac:dyDescent="0.35"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</row>
    <row r="6735" spans="8:18" x14ac:dyDescent="0.35"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</row>
    <row r="6736" spans="8:18" x14ac:dyDescent="0.35"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</row>
    <row r="6737" spans="8:18" x14ac:dyDescent="0.35"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</row>
    <row r="6738" spans="8:18" x14ac:dyDescent="0.35"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</row>
    <row r="6739" spans="8:18" x14ac:dyDescent="0.35"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</row>
    <row r="6740" spans="8:18" x14ac:dyDescent="0.35"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</row>
    <row r="6741" spans="8:18" x14ac:dyDescent="0.35"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</row>
    <row r="6742" spans="8:18" x14ac:dyDescent="0.35"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</row>
    <row r="6743" spans="8:18" x14ac:dyDescent="0.35"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</row>
    <row r="6744" spans="8:18" x14ac:dyDescent="0.35"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</row>
    <row r="6745" spans="8:18" x14ac:dyDescent="0.35"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</row>
    <row r="6746" spans="8:18" x14ac:dyDescent="0.35"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</row>
    <row r="6747" spans="8:18" x14ac:dyDescent="0.35"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</row>
    <row r="6748" spans="8:18" x14ac:dyDescent="0.35"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</row>
    <row r="6749" spans="8:18" x14ac:dyDescent="0.35"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</row>
    <row r="6750" spans="8:18" x14ac:dyDescent="0.35"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</row>
    <row r="6751" spans="8:18" x14ac:dyDescent="0.35"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</row>
    <row r="6752" spans="8:18" x14ac:dyDescent="0.35"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</row>
    <row r="6753" spans="8:18" x14ac:dyDescent="0.35"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</row>
    <row r="6754" spans="8:18" x14ac:dyDescent="0.35"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</row>
    <row r="6755" spans="8:18" x14ac:dyDescent="0.35"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</row>
    <row r="6756" spans="8:18" x14ac:dyDescent="0.35"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</row>
    <row r="6757" spans="8:18" x14ac:dyDescent="0.35"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</row>
    <row r="6758" spans="8:18" x14ac:dyDescent="0.35"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</row>
    <row r="6759" spans="8:18" x14ac:dyDescent="0.35"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</row>
    <row r="6760" spans="8:18" x14ac:dyDescent="0.35"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</row>
    <row r="6761" spans="8:18" x14ac:dyDescent="0.35"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</row>
    <row r="6762" spans="8:18" x14ac:dyDescent="0.35"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</row>
    <row r="6763" spans="8:18" x14ac:dyDescent="0.35"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</row>
    <row r="6764" spans="8:18" x14ac:dyDescent="0.35"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</row>
    <row r="6765" spans="8:18" x14ac:dyDescent="0.35"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</row>
    <row r="6766" spans="8:18" x14ac:dyDescent="0.35"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</row>
    <row r="6767" spans="8:18" x14ac:dyDescent="0.35"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</row>
    <row r="6768" spans="8:18" x14ac:dyDescent="0.35"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</row>
    <row r="6769" spans="8:18" x14ac:dyDescent="0.35"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</row>
    <row r="6770" spans="8:18" x14ac:dyDescent="0.35"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</row>
    <row r="6771" spans="8:18" x14ac:dyDescent="0.35"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</row>
    <row r="6772" spans="8:18" x14ac:dyDescent="0.35"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</row>
    <row r="6773" spans="8:18" x14ac:dyDescent="0.35"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</row>
    <row r="6774" spans="8:18" x14ac:dyDescent="0.35"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</row>
    <row r="6775" spans="8:18" x14ac:dyDescent="0.35"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</row>
    <row r="6776" spans="8:18" x14ac:dyDescent="0.35"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</row>
    <row r="6777" spans="8:18" x14ac:dyDescent="0.35"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</row>
    <row r="6778" spans="8:18" x14ac:dyDescent="0.35"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</row>
    <row r="6779" spans="8:18" x14ac:dyDescent="0.35"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</row>
    <row r="6780" spans="8:18" x14ac:dyDescent="0.35"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</row>
    <row r="6781" spans="8:18" x14ac:dyDescent="0.35"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</row>
    <row r="6782" spans="8:18" x14ac:dyDescent="0.35"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</row>
    <row r="6783" spans="8:18" x14ac:dyDescent="0.35"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</row>
    <row r="6784" spans="8:18" x14ac:dyDescent="0.35"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</row>
    <row r="6785" spans="8:18" x14ac:dyDescent="0.35"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</row>
    <row r="6786" spans="8:18" x14ac:dyDescent="0.35"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</row>
    <row r="6787" spans="8:18" x14ac:dyDescent="0.35"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</row>
    <row r="6788" spans="8:18" x14ac:dyDescent="0.35"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</row>
    <row r="6789" spans="8:18" x14ac:dyDescent="0.35"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</row>
    <row r="6790" spans="8:18" x14ac:dyDescent="0.35"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</row>
    <row r="6791" spans="8:18" x14ac:dyDescent="0.35"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</row>
    <row r="6792" spans="8:18" x14ac:dyDescent="0.35"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</row>
    <row r="6793" spans="8:18" x14ac:dyDescent="0.35"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</row>
    <row r="6794" spans="8:18" x14ac:dyDescent="0.35"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</row>
    <row r="6795" spans="8:18" x14ac:dyDescent="0.35"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</row>
    <row r="6796" spans="8:18" x14ac:dyDescent="0.35"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</row>
    <row r="6797" spans="8:18" x14ac:dyDescent="0.35"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</row>
    <row r="6798" spans="8:18" x14ac:dyDescent="0.35"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</row>
    <row r="6799" spans="8:18" x14ac:dyDescent="0.35"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</row>
    <row r="6800" spans="8:18" x14ac:dyDescent="0.35"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</row>
    <row r="6801" spans="8:18" x14ac:dyDescent="0.35"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</row>
    <row r="6802" spans="8:18" x14ac:dyDescent="0.35"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</row>
    <row r="6803" spans="8:18" x14ac:dyDescent="0.35"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</row>
    <row r="6804" spans="8:18" x14ac:dyDescent="0.35"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</row>
    <row r="6805" spans="8:18" x14ac:dyDescent="0.35"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</row>
    <row r="6806" spans="8:18" x14ac:dyDescent="0.35"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</row>
    <row r="6807" spans="8:18" x14ac:dyDescent="0.35"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</row>
    <row r="6808" spans="8:18" x14ac:dyDescent="0.35"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</row>
    <row r="6809" spans="8:18" x14ac:dyDescent="0.35"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</row>
    <row r="6810" spans="8:18" x14ac:dyDescent="0.35"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</row>
    <row r="6811" spans="8:18" x14ac:dyDescent="0.35"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</row>
    <row r="6812" spans="8:18" x14ac:dyDescent="0.35"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</row>
    <row r="6813" spans="8:18" x14ac:dyDescent="0.35"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</row>
    <row r="6814" spans="8:18" x14ac:dyDescent="0.35"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</row>
    <row r="6815" spans="8:18" x14ac:dyDescent="0.35"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</row>
    <row r="6816" spans="8:18" x14ac:dyDescent="0.35"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</row>
    <row r="6817" spans="8:18" x14ac:dyDescent="0.35"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</row>
    <row r="6818" spans="8:18" x14ac:dyDescent="0.35"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</row>
    <row r="6819" spans="8:18" x14ac:dyDescent="0.35"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</row>
    <row r="6820" spans="8:18" x14ac:dyDescent="0.35"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</row>
    <row r="6821" spans="8:18" x14ac:dyDescent="0.35"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</row>
    <row r="6822" spans="8:18" x14ac:dyDescent="0.35"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</row>
    <row r="6823" spans="8:18" x14ac:dyDescent="0.35"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</row>
    <row r="6824" spans="8:18" x14ac:dyDescent="0.35"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</row>
    <row r="6825" spans="8:18" x14ac:dyDescent="0.35"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</row>
    <row r="6826" spans="8:18" x14ac:dyDescent="0.35"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</row>
    <row r="6827" spans="8:18" x14ac:dyDescent="0.35"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</row>
    <row r="6828" spans="8:18" x14ac:dyDescent="0.35"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</row>
    <row r="6829" spans="8:18" x14ac:dyDescent="0.35"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</row>
    <row r="6830" spans="8:18" x14ac:dyDescent="0.35"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</row>
    <row r="6831" spans="8:18" x14ac:dyDescent="0.35"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</row>
    <row r="6832" spans="8:18" x14ac:dyDescent="0.35"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</row>
    <row r="6833" spans="8:18" x14ac:dyDescent="0.35"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</row>
    <row r="6834" spans="8:18" x14ac:dyDescent="0.35"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</row>
    <row r="6835" spans="8:18" x14ac:dyDescent="0.35"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</row>
    <row r="6836" spans="8:18" x14ac:dyDescent="0.35"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</row>
    <row r="6837" spans="8:18" x14ac:dyDescent="0.35"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</row>
    <row r="6838" spans="8:18" x14ac:dyDescent="0.35"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</row>
    <row r="6839" spans="8:18" x14ac:dyDescent="0.35"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</row>
    <row r="6840" spans="8:18" x14ac:dyDescent="0.35"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</row>
    <row r="6841" spans="8:18" x14ac:dyDescent="0.35"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</row>
    <row r="6842" spans="8:18" x14ac:dyDescent="0.35"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</row>
    <row r="6843" spans="8:18" x14ac:dyDescent="0.35"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</row>
    <row r="6844" spans="8:18" x14ac:dyDescent="0.35"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</row>
    <row r="6845" spans="8:18" x14ac:dyDescent="0.35"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</row>
    <row r="6846" spans="8:18" x14ac:dyDescent="0.35">
      <c r="H6846" s="13"/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</row>
    <row r="6847" spans="8:18" x14ac:dyDescent="0.35">
      <c r="H6847" s="13"/>
      <c r="I6847" s="13"/>
      <c r="J6847" s="13"/>
      <c r="K6847" s="13"/>
      <c r="L6847" s="13"/>
      <c r="M6847" s="13"/>
      <c r="N6847" s="13"/>
      <c r="O6847" s="13"/>
      <c r="P6847" s="13"/>
      <c r="Q6847" s="13"/>
      <c r="R6847" s="13"/>
    </row>
    <row r="6848" spans="8:18" x14ac:dyDescent="0.35">
      <c r="H6848" s="13"/>
      <c r="I6848" s="13"/>
      <c r="J6848" s="13"/>
      <c r="K6848" s="13"/>
      <c r="L6848" s="13"/>
      <c r="M6848" s="13"/>
      <c r="N6848" s="13"/>
      <c r="O6848" s="13"/>
      <c r="P6848" s="13"/>
      <c r="Q6848" s="13"/>
      <c r="R6848" s="13"/>
    </row>
    <row r="6849" spans="8:18" x14ac:dyDescent="0.35">
      <c r="H6849" s="13"/>
      <c r="I6849" s="13"/>
      <c r="J6849" s="13"/>
      <c r="K6849" s="13"/>
      <c r="L6849" s="13"/>
      <c r="M6849" s="13"/>
      <c r="N6849" s="13"/>
      <c r="O6849" s="13"/>
      <c r="P6849" s="13"/>
      <c r="Q6849" s="13"/>
      <c r="R6849" s="13"/>
    </row>
    <row r="6850" spans="8:18" x14ac:dyDescent="0.35">
      <c r="H6850" s="13"/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</row>
    <row r="6851" spans="8:18" x14ac:dyDescent="0.35">
      <c r="H6851" s="13"/>
      <c r="I6851" s="13"/>
      <c r="J6851" s="13"/>
      <c r="K6851" s="13"/>
      <c r="L6851" s="13"/>
      <c r="M6851" s="13"/>
      <c r="N6851" s="13"/>
      <c r="O6851" s="13"/>
      <c r="P6851" s="13"/>
      <c r="Q6851" s="13"/>
      <c r="R6851" s="13"/>
    </row>
    <row r="6852" spans="8:18" x14ac:dyDescent="0.35">
      <c r="H6852" s="13"/>
      <c r="I6852" s="13"/>
      <c r="J6852" s="13"/>
      <c r="K6852" s="13"/>
      <c r="L6852" s="13"/>
      <c r="M6852" s="13"/>
      <c r="N6852" s="13"/>
      <c r="O6852" s="13"/>
      <c r="P6852" s="13"/>
      <c r="Q6852" s="13"/>
      <c r="R6852" s="13"/>
    </row>
    <row r="6853" spans="8:18" x14ac:dyDescent="0.35">
      <c r="H6853" s="13"/>
      <c r="I6853" s="13"/>
      <c r="J6853" s="13"/>
      <c r="K6853" s="13"/>
      <c r="L6853" s="13"/>
      <c r="M6853" s="13"/>
      <c r="N6853" s="13"/>
      <c r="O6853" s="13"/>
      <c r="P6853" s="13"/>
      <c r="Q6853" s="13"/>
      <c r="R6853" s="13"/>
    </row>
    <row r="6854" spans="8:18" x14ac:dyDescent="0.35">
      <c r="H6854" s="13"/>
      <c r="I6854" s="13"/>
      <c r="J6854" s="13"/>
      <c r="K6854" s="13"/>
      <c r="L6854" s="13"/>
      <c r="M6854" s="13"/>
      <c r="N6854" s="13"/>
      <c r="O6854" s="13"/>
      <c r="P6854" s="13"/>
      <c r="Q6854" s="13"/>
      <c r="R6854" s="13"/>
    </row>
    <row r="6855" spans="8:18" x14ac:dyDescent="0.35">
      <c r="H6855" s="13"/>
      <c r="I6855" s="13"/>
      <c r="J6855" s="13"/>
      <c r="K6855" s="13"/>
      <c r="L6855" s="13"/>
      <c r="M6855" s="13"/>
      <c r="N6855" s="13"/>
      <c r="O6855" s="13"/>
      <c r="P6855" s="13"/>
      <c r="Q6855" s="13"/>
      <c r="R6855" s="13"/>
    </row>
    <row r="6856" spans="8:18" x14ac:dyDescent="0.35">
      <c r="H6856" s="13"/>
      <c r="I6856" s="13"/>
      <c r="J6856" s="13"/>
      <c r="K6856" s="13"/>
      <c r="L6856" s="13"/>
      <c r="M6856" s="13"/>
      <c r="N6856" s="13"/>
      <c r="O6856" s="13"/>
      <c r="P6856" s="13"/>
      <c r="Q6856" s="13"/>
      <c r="R6856" s="13"/>
    </row>
    <row r="6857" spans="8:18" x14ac:dyDescent="0.35">
      <c r="H6857" s="13"/>
      <c r="I6857" s="13"/>
      <c r="J6857" s="13"/>
      <c r="K6857" s="13"/>
      <c r="L6857" s="13"/>
      <c r="M6857" s="13"/>
      <c r="N6857" s="13"/>
      <c r="O6857" s="13"/>
      <c r="P6857" s="13"/>
      <c r="Q6857" s="13"/>
      <c r="R6857" s="13"/>
    </row>
    <row r="6858" spans="8:18" x14ac:dyDescent="0.35"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</row>
    <row r="6859" spans="8:18" x14ac:dyDescent="0.35"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</row>
    <row r="6860" spans="8:18" x14ac:dyDescent="0.35"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</row>
    <row r="6861" spans="8:18" x14ac:dyDescent="0.35"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</row>
    <row r="6862" spans="8:18" x14ac:dyDescent="0.35"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</row>
    <row r="6863" spans="8:18" x14ac:dyDescent="0.35"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</row>
    <row r="6864" spans="8:18" x14ac:dyDescent="0.35"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</row>
    <row r="6865" spans="8:18" x14ac:dyDescent="0.35"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</row>
    <row r="6866" spans="8:18" x14ac:dyDescent="0.35">
      <c r="H6866" s="13"/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</row>
    <row r="6867" spans="8:18" x14ac:dyDescent="0.35">
      <c r="H6867" s="13"/>
      <c r="I6867" s="13"/>
      <c r="J6867" s="13"/>
      <c r="K6867" s="13"/>
      <c r="L6867" s="13"/>
      <c r="M6867" s="13"/>
      <c r="N6867" s="13"/>
      <c r="O6867" s="13"/>
      <c r="P6867" s="13"/>
      <c r="Q6867" s="13"/>
      <c r="R6867" s="13"/>
    </row>
    <row r="6868" spans="8:18" x14ac:dyDescent="0.35">
      <c r="H6868" s="13"/>
      <c r="I6868" s="13"/>
      <c r="J6868" s="13"/>
      <c r="K6868" s="13"/>
      <c r="L6868" s="13"/>
      <c r="M6868" s="13"/>
      <c r="N6868" s="13"/>
      <c r="O6868" s="13"/>
      <c r="P6868" s="13"/>
      <c r="Q6868" s="13"/>
      <c r="R6868" s="13"/>
    </row>
    <row r="6869" spans="8:18" x14ac:dyDescent="0.35">
      <c r="H6869" s="13"/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</row>
    <row r="6870" spans="8:18" x14ac:dyDescent="0.35">
      <c r="H6870" s="13"/>
      <c r="I6870" s="13"/>
      <c r="J6870" s="13"/>
      <c r="K6870" s="13"/>
      <c r="L6870" s="13"/>
      <c r="M6870" s="13"/>
      <c r="N6870" s="13"/>
      <c r="O6870" s="13"/>
      <c r="P6870" s="13"/>
      <c r="Q6870" s="13"/>
      <c r="R6870" s="13"/>
    </row>
    <row r="6871" spans="8:18" x14ac:dyDescent="0.35">
      <c r="H6871" s="13"/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</row>
    <row r="6872" spans="8:18" x14ac:dyDescent="0.35">
      <c r="H6872" s="13"/>
      <c r="I6872" s="13"/>
      <c r="J6872" s="13"/>
      <c r="K6872" s="13"/>
      <c r="L6872" s="13"/>
      <c r="M6872" s="13"/>
      <c r="N6872" s="13"/>
      <c r="O6872" s="13"/>
      <c r="P6872" s="13"/>
      <c r="Q6872" s="13"/>
      <c r="R6872" s="13"/>
    </row>
    <row r="6873" spans="8:18" x14ac:dyDescent="0.35">
      <c r="H6873" s="13"/>
      <c r="I6873" s="13"/>
      <c r="J6873" s="13"/>
      <c r="K6873" s="13"/>
      <c r="L6873" s="13"/>
      <c r="M6873" s="13"/>
      <c r="N6873" s="13"/>
      <c r="O6873" s="13"/>
      <c r="P6873" s="13"/>
      <c r="Q6873" s="13"/>
      <c r="R6873" s="13"/>
    </row>
    <row r="6874" spans="8:18" x14ac:dyDescent="0.35"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</row>
    <row r="6875" spans="8:18" x14ac:dyDescent="0.35">
      <c r="H6875" s="13"/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</row>
    <row r="6876" spans="8:18" x14ac:dyDescent="0.35"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</row>
    <row r="6877" spans="8:18" x14ac:dyDescent="0.35"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</row>
    <row r="6878" spans="8:18" x14ac:dyDescent="0.35">
      <c r="H6878" s="13"/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</row>
    <row r="6879" spans="8:18" x14ac:dyDescent="0.35">
      <c r="H6879" s="13"/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</row>
    <row r="6880" spans="8:18" x14ac:dyDescent="0.35"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</row>
    <row r="6881" spans="8:18" x14ac:dyDescent="0.35">
      <c r="H6881" s="13"/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</row>
    <row r="6882" spans="8:18" x14ac:dyDescent="0.35"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</row>
    <row r="6883" spans="8:18" x14ac:dyDescent="0.35">
      <c r="H6883" s="13"/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</row>
    <row r="6884" spans="8:18" x14ac:dyDescent="0.35">
      <c r="H6884" s="13"/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</row>
    <row r="6885" spans="8:18" x14ac:dyDescent="0.35">
      <c r="H6885" s="13"/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</row>
    <row r="6886" spans="8:18" x14ac:dyDescent="0.35"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</row>
    <row r="6887" spans="8:18" x14ac:dyDescent="0.35"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</row>
    <row r="6888" spans="8:18" x14ac:dyDescent="0.35"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</row>
    <row r="6889" spans="8:18" x14ac:dyDescent="0.35"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</row>
    <row r="6890" spans="8:18" x14ac:dyDescent="0.35"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</row>
    <row r="6891" spans="8:18" x14ac:dyDescent="0.35"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</row>
    <row r="6892" spans="8:18" x14ac:dyDescent="0.35"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</row>
    <row r="6893" spans="8:18" x14ac:dyDescent="0.35"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</row>
    <row r="6894" spans="8:18" x14ac:dyDescent="0.35"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</row>
    <row r="6895" spans="8:18" x14ac:dyDescent="0.35">
      <c r="H6895" s="13"/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</row>
    <row r="6896" spans="8:18" x14ac:dyDescent="0.35">
      <c r="H6896" s="13"/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</row>
    <row r="6897" spans="8:18" x14ac:dyDescent="0.35"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</row>
    <row r="6898" spans="8:18" x14ac:dyDescent="0.35">
      <c r="H6898" s="13"/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</row>
    <row r="6899" spans="8:18" x14ac:dyDescent="0.35">
      <c r="H6899" s="13"/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</row>
    <row r="6900" spans="8:18" x14ac:dyDescent="0.35">
      <c r="H6900" s="13"/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</row>
    <row r="6901" spans="8:18" x14ac:dyDescent="0.35"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</row>
    <row r="6902" spans="8:18" x14ac:dyDescent="0.35"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</row>
    <row r="6903" spans="8:18" x14ac:dyDescent="0.35">
      <c r="H6903" s="13"/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</row>
    <row r="6904" spans="8:18" x14ac:dyDescent="0.35">
      <c r="H6904" s="13"/>
      <c r="I6904" s="13"/>
      <c r="J6904" s="13"/>
      <c r="K6904" s="13"/>
      <c r="L6904" s="13"/>
      <c r="M6904" s="13"/>
      <c r="N6904" s="13"/>
      <c r="O6904" s="13"/>
      <c r="P6904" s="13"/>
      <c r="Q6904" s="13"/>
      <c r="R6904" s="13"/>
    </row>
    <row r="6905" spans="8:18" x14ac:dyDescent="0.35">
      <c r="H6905" s="13"/>
      <c r="I6905" s="13"/>
      <c r="J6905" s="13"/>
      <c r="K6905" s="13"/>
      <c r="L6905" s="13"/>
      <c r="M6905" s="13"/>
      <c r="N6905" s="13"/>
      <c r="O6905" s="13"/>
      <c r="P6905" s="13"/>
      <c r="Q6905" s="13"/>
      <c r="R6905" s="13"/>
    </row>
    <row r="6906" spans="8:18" x14ac:dyDescent="0.35">
      <c r="H6906" s="13"/>
      <c r="I6906" s="13"/>
      <c r="J6906" s="13"/>
      <c r="K6906" s="13"/>
      <c r="L6906" s="13"/>
      <c r="M6906" s="13"/>
      <c r="N6906" s="13"/>
      <c r="O6906" s="13"/>
      <c r="P6906" s="13"/>
      <c r="Q6906" s="13"/>
      <c r="R6906" s="13"/>
    </row>
    <row r="6907" spans="8:18" x14ac:dyDescent="0.35">
      <c r="H6907" s="13"/>
      <c r="I6907" s="13"/>
      <c r="J6907" s="13"/>
      <c r="K6907" s="13"/>
      <c r="L6907" s="13"/>
      <c r="M6907" s="13"/>
      <c r="N6907" s="13"/>
      <c r="O6907" s="13"/>
      <c r="P6907" s="13"/>
      <c r="Q6907" s="13"/>
      <c r="R6907" s="13"/>
    </row>
    <row r="6908" spans="8:18" x14ac:dyDescent="0.35">
      <c r="H6908" s="13"/>
      <c r="I6908" s="13"/>
      <c r="J6908" s="13"/>
      <c r="K6908" s="13"/>
      <c r="L6908" s="13"/>
      <c r="M6908" s="13"/>
      <c r="N6908" s="13"/>
      <c r="O6908" s="13"/>
      <c r="P6908" s="13"/>
      <c r="Q6908" s="13"/>
      <c r="R6908" s="13"/>
    </row>
    <row r="6909" spans="8:18" x14ac:dyDescent="0.35">
      <c r="H6909" s="13"/>
      <c r="I6909" s="13"/>
      <c r="J6909" s="13"/>
      <c r="K6909" s="13"/>
      <c r="L6909" s="13"/>
      <c r="M6909" s="13"/>
      <c r="N6909" s="13"/>
      <c r="O6909" s="13"/>
      <c r="P6909" s="13"/>
      <c r="Q6909" s="13"/>
      <c r="R6909" s="13"/>
    </row>
    <row r="6910" spans="8:18" x14ac:dyDescent="0.35">
      <c r="H6910" s="13"/>
      <c r="I6910" s="13"/>
      <c r="J6910" s="13"/>
      <c r="K6910" s="13"/>
      <c r="L6910" s="13"/>
      <c r="M6910" s="13"/>
      <c r="N6910" s="13"/>
      <c r="O6910" s="13"/>
      <c r="P6910" s="13"/>
      <c r="Q6910" s="13"/>
      <c r="R6910" s="13"/>
    </row>
    <row r="6911" spans="8:18" x14ac:dyDescent="0.35">
      <c r="H6911" s="13"/>
      <c r="I6911" s="13"/>
      <c r="J6911" s="13"/>
      <c r="K6911" s="13"/>
      <c r="L6911" s="13"/>
      <c r="M6911" s="13"/>
      <c r="N6911" s="13"/>
      <c r="O6911" s="13"/>
      <c r="P6911" s="13"/>
      <c r="Q6911" s="13"/>
      <c r="R6911" s="13"/>
    </row>
    <row r="6912" spans="8:18" x14ac:dyDescent="0.35">
      <c r="H6912" s="13"/>
      <c r="I6912" s="13"/>
      <c r="J6912" s="13"/>
      <c r="K6912" s="13"/>
      <c r="L6912" s="13"/>
      <c r="M6912" s="13"/>
      <c r="N6912" s="13"/>
      <c r="O6912" s="13"/>
      <c r="P6912" s="13"/>
      <c r="Q6912" s="13"/>
      <c r="R6912" s="13"/>
    </row>
    <row r="6913" spans="8:18" x14ac:dyDescent="0.35">
      <c r="H6913" s="13"/>
      <c r="I6913" s="13"/>
      <c r="J6913" s="13"/>
      <c r="K6913" s="13"/>
      <c r="L6913" s="13"/>
      <c r="M6913" s="13"/>
      <c r="N6913" s="13"/>
      <c r="O6913" s="13"/>
      <c r="P6913" s="13"/>
      <c r="Q6913" s="13"/>
      <c r="R6913" s="13"/>
    </row>
    <row r="6914" spans="8:18" x14ac:dyDescent="0.35">
      <c r="H6914" s="13"/>
      <c r="I6914" s="13"/>
      <c r="J6914" s="13"/>
      <c r="K6914" s="13"/>
      <c r="L6914" s="13"/>
      <c r="M6914" s="13"/>
      <c r="N6914" s="13"/>
      <c r="O6914" s="13"/>
      <c r="P6914" s="13"/>
      <c r="Q6914" s="13"/>
      <c r="R6914" s="13"/>
    </row>
    <row r="6915" spans="8:18" x14ac:dyDescent="0.35">
      <c r="H6915" s="13"/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</row>
    <row r="6916" spans="8:18" x14ac:dyDescent="0.35">
      <c r="H6916" s="13"/>
      <c r="I6916" s="13"/>
      <c r="J6916" s="13"/>
      <c r="K6916" s="13"/>
      <c r="L6916" s="13"/>
      <c r="M6916" s="13"/>
      <c r="N6916" s="13"/>
      <c r="O6916" s="13"/>
      <c r="P6916" s="13"/>
      <c r="Q6916" s="13"/>
      <c r="R6916" s="13"/>
    </row>
    <row r="6917" spans="8:18" x14ac:dyDescent="0.35">
      <c r="H6917" s="13"/>
      <c r="I6917" s="13"/>
      <c r="J6917" s="13"/>
      <c r="K6917" s="13"/>
      <c r="L6917" s="13"/>
      <c r="M6917" s="13"/>
      <c r="N6917" s="13"/>
      <c r="O6917" s="13"/>
      <c r="P6917" s="13"/>
      <c r="Q6917" s="13"/>
      <c r="R6917" s="13"/>
    </row>
    <row r="6918" spans="8:18" x14ac:dyDescent="0.35">
      <c r="H6918" s="13"/>
      <c r="I6918" s="13"/>
      <c r="J6918" s="13"/>
      <c r="K6918" s="13"/>
      <c r="L6918" s="13"/>
      <c r="M6918" s="13"/>
      <c r="N6918" s="13"/>
      <c r="O6918" s="13"/>
      <c r="P6918" s="13"/>
      <c r="Q6918" s="13"/>
      <c r="R6918" s="13"/>
    </row>
    <row r="6919" spans="8:18" x14ac:dyDescent="0.35"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</row>
    <row r="6920" spans="8:18" x14ac:dyDescent="0.35">
      <c r="H6920" s="13"/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</row>
    <row r="6921" spans="8:18" x14ac:dyDescent="0.35">
      <c r="H6921" s="13"/>
      <c r="I6921" s="13"/>
      <c r="J6921" s="13"/>
      <c r="K6921" s="13"/>
      <c r="L6921" s="13"/>
      <c r="M6921" s="13"/>
      <c r="N6921" s="13"/>
      <c r="O6921" s="13"/>
      <c r="P6921" s="13"/>
      <c r="Q6921" s="13"/>
      <c r="R6921" s="13"/>
    </row>
    <row r="6922" spans="8:18" x14ac:dyDescent="0.35">
      <c r="H6922" s="13"/>
      <c r="I6922" s="13"/>
      <c r="J6922" s="13"/>
      <c r="K6922" s="13"/>
      <c r="L6922" s="13"/>
      <c r="M6922" s="13"/>
      <c r="N6922" s="13"/>
      <c r="O6922" s="13"/>
      <c r="P6922" s="13"/>
      <c r="Q6922" s="13"/>
      <c r="R6922" s="13"/>
    </row>
    <row r="6923" spans="8:18" x14ac:dyDescent="0.35">
      <c r="H6923" s="13"/>
      <c r="I6923" s="13"/>
      <c r="J6923" s="13"/>
      <c r="K6923" s="13"/>
      <c r="L6923" s="13"/>
      <c r="M6923" s="13"/>
      <c r="N6923" s="13"/>
      <c r="O6923" s="13"/>
      <c r="P6923" s="13"/>
      <c r="Q6923" s="13"/>
      <c r="R6923" s="13"/>
    </row>
    <row r="6924" spans="8:18" x14ac:dyDescent="0.35">
      <c r="H6924" s="13"/>
      <c r="I6924" s="13"/>
      <c r="J6924" s="13"/>
      <c r="K6924" s="13"/>
      <c r="L6924" s="13"/>
      <c r="M6924" s="13"/>
      <c r="N6924" s="13"/>
      <c r="O6924" s="13"/>
      <c r="P6924" s="13"/>
      <c r="Q6924" s="13"/>
      <c r="R6924" s="13"/>
    </row>
    <row r="6925" spans="8:18" x14ac:dyDescent="0.35">
      <c r="H6925" s="13"/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</row>
    <row r="6926" spans="8:18" x14ac:dyDescent="0.35">
      <c r="H6926" s="13"/>
      <c r="I6926" s="13"/>
      <c r="J6926" s="13"/>
      <c r="K6926" s="13"/>
      <c r="L6926" s="13"/>
      <c r="M6926" s="13"/>
      <c r="N6926" s="13"/>
      <c r="O6926" s="13"/>
      <c r="P6926" s="13"/>
      <c r="Q6926" s="13"/>
      <c r="R6926" s="13"/>
    </row>
    <row r="6927" spans="8:18" x14ac:dyDescent="0.35">
      <c r="H6927" s="13"/>
      <c r="I6927" s="13"/>
      <c r="J6927" s="13"/>
      <c r="K6927" s="13"/>
      <c r="L6927" s="13"/>
      <c r="M6927" s="13"/>
      <c r="N6927" s="13"/>
      <c r="O6927" s="13"/>
      <c r="P6927" s="13"/>
      <c r="Q6927" s="13"/>
      <c r="R6927" s="13"/>
    </row>
    <row r="6928" spans="8:18" x14ac:dyDescent="0.35">
      <c r="H6928" s="13"/>
      <c r="I6928" s="13"/>
      <c r="J6928" s="13"/>
      <c r="K6928" s="13"/>
      <c r="L6928" s="13"/>
      <c r="M6928" s="13"/>
      <c r="N6928" s="13"/>
      <c r="O6928" s="13"/>
      <c r="P6928" s="13"/>
      <c r="Q6928" s="13"/>
      <c r="R6928" s="13"/>
    </row>
    <row r="6929" spans="8:18" x14ac:dyDescent="0.35">
      <c r="H6929" s="13"/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</row>
    <row r="6930" spans="8:18" x14ac:dyDescent="0.35">
      <c r="H6930" s="13"/>
      <c r="I6930" s="13"/>
      <c r="J6930" s="13"/>
      <c r="K6930" s="13"/>
      <c r="L6930" s="13"/>
      <c r="M6930" s="13"/>
      <c r="N6930" s="13"/>
      <c r="O6930" s="13"/>
      <c r="P6930" s="13"/>
      <c r="Q6930" s="13"/>
      <c r="R6930" s="13"/>
    </row>
    <row r="6931" spans="8:18" x14ac:dyDescent="0.35">
      <c r="H6931" s="13"/>
      <c r="I6931" s="13"/>
      <c r="J6931" s="13"/>
      <c r="K6931" s="13"/>
      <c r="L6931" s="13"/>
      <c r="M6931" s="13"/>
      <c r="N6931" s="13"/>
      <c r="O6931" s="13"/>
      <c r="P6931" s="13"/>
      <c r="Q6931" s="13"/>
      <c r="R6931" s="13"/>
    </row>
    <row r="6932" spans="8:18" x14ac:dyDescent="0.35">
      <c r="H6932" s="13"/>
      <c r="I6932" s="13"/>
      <c r="J6932" s="13"/>
      <c r="K6932" s="13"/>
      <c r="L6932" s="13"/>
      <c r="M6932" s="13"/>
      <c r="N6932" s="13"/>
      <c r="O6932" s="13"/>
      <c r="P6932" s="13"/>
      <c r="Q6932" s="13"/>
      <c r="R6932" s="13"/>
    </row>
    <row r="6933" spans="8:18" x14ac:dyDescent="0.35"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</row>
    <row r="6934" spans="8:18" x14ac:dyDescent="0.35"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</row>
    <row r="6935" spans="8:18" x14ac:dyDescent="0.35">
      <c r="H6935" s="13"/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</row>
    <row r="6936" spans="8:18" x14ac:dyDescent="0.35">
      <c r="H6936" s="13"/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</row>
    <row r="6937" spans="8:18" x14ac:dyDescent="0.35"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</row>
    <row r="6938" spans="8:18" x14ac:dyDescent="0.35">
      <c r="H6938" s="13"/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</row>
    <row r="6939" spans="8:18" x14ac:dyDescent="0.35">
      <c r="H6939" s="13"/>
      <c r="I6939" s="13"/>
      <c r="J6939" s="13"/>
      <c r="K6939" s="13"/>
      <c r="L6939" s="13"/>
      <c r="M6939" s="13"/>
      <c r="N6939" s="13"/>
      <c r="O6939" s="13"/>
      <c r="P6939" s="13"/>
      <c r="Q6939" s="13"/>
      <c r="R6939" s="13"/>
    </row>
    <row r="6940" spans="8:18" x14ac:dyDescent="0.35">
      <c r="H6940" s="13"/>
      <c r="I6940" s="13"/>
      <c r="J6940" s="13"/>
      <c r="K6940" s="13"/>
      <c r="L6940" s="13"/>
      <c r="M6940" s="13"/>
      <c r="N6940" s="13"/>
      <c r="O6940" s="13"/>
      <c r="P6940" s="13"/>
      <c r="Q6940" s="13"/>
      <c r="R6940" s="13"/>
    </row>
    <row r="6941" spans="8:18" x14ac:dyDescent="0.35">
      <c r="H6941" s="13"/>
      <c r="I6941" s="13"/>
      <c r="J6941" s="13"/>
      <c r="K6941" s="13"/>
      <c r="L6941" s="13"/>
      <c r="M6941" s="13"/>
      <c r="N6941" s="13"/>
      <c r="O6941" s="13"/>
      <c r="P6941" s="13"/>
      <c r="Q6941" s="13"/>
      <c r="R6941" s="13"/>
    </row>
    <row r="6942" spans="8:18" x14ac:dyDescent="0.35">
      <c r="H6942" s="13"/>
      <c r="I6942" s="13"/>
      <c r="J6942" s="13"/>
      <c r="K6942" s="13"/>
      <c r="L6942" s="13"/>
      <c r="M6942" s="13"/>
      <c r="N6942" s="13"/>
      <c r="O6942" s="13"/>
      <c r="P6942" s="13"/>
      <c r="Q6942" s="13"/>
      <c r="R6942" s="13"/>
    </row>
    <row r="6943" spans="8:18" x14ac:dyDescent="0.35">
      <c r="H6943" s="13"/>
      <c r="I6943" s="13"/>
      <c r="J6943" s="13"/>
      <c r="K6943" s="13"/>
      <c r="L6943" s="13"/>
      <c r="M6943" s="13"/>
      <c r="N6943" s="13"/>
      <c r="O6943" s="13"/>
      <c r="P6943" s="13"/>
      <c r="Q6943" s="13"/>
      <c r="R6943" s="13"/>
    </row>
    <row r="6944" spans="8:18" x14ac:dyDescent="0.35">
      <c r="H6944" s="13"/>
      <c r="I6944" s="13"/>
      <c r="J6944" s="13"/>
      <c r="K6944" s="13"/>
      <c r="L6944" s="13"/>
      <c r="M6944" s="13"/>
      <c r="N6944" s="13"/>
      <c r="O6944" s="13"/>
      <c r="P6944" s="13"/>
      <c r="Q6944" s="13"/>
      <c r="R6944" s="13"/>
    </row>
    <row r="6945" spans="8:18" x14ac:dyDescent="0.35">
      <c r="H6945" s="13"/>
      <c r="I6945" s="13"/>
      <c r="J6945" s="13"/>
      <c r="K6945" s="13"/>
      <c r="L6945" s="13"/>
      <c r="M6945" s="13"/>
      <c r="N6945" s="13"/>
      <c r="O6945" s="13"/>
      <c r="P6945" s="13"/>
      <c r="Q6945" s="13"/>
      <c r="R6945" s="13"/>
    </row>
    <row r="6946" spans="8:18" x14ac:dyDescent="0.35">
      <c r="H6946" s="13"/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</row>
    <row r="6947" spans="8:18" x14ac:dyDescent="0.35">
      <c r="H6947" s="13"/>
      <c r="I6947" s="13"/>
      <c r="J6947" s="13"/>
      <c r="K6947" s="13"/>
      <c r="L6947" s="13"/>
      <c r="M6947" s="13"/>
      <c r="N6947" s="13"/>
      <c r="O6947" s="13"/>
      <c r="P6947" s="13"/>
      <c r="Q6947" s="13"/>
      <c r="R6947" s="13"/>
    </row>
    <row r="6948" spans="8:18" x14ac:dyDescent="0.35">
      <c r="H6948" s="13"/>
      <c r="I6948" s="13"/>
      <c r="J6948" s="13"/>
      <c r="K6948" s="13"/>
      <c r="L6948" s="13"/>
      <c r="M6948" s="13"/>
      <c r="N6948" s="13"/>
      <c r="O6948" s="13"/>
      <c r="P6948" s="13"/>
      <c r="Q6948" s="13"/>
      <c r="R6948" s="13"/>
    </row>
    <row r="6949" spans="8:18" x14ac:dyDescent="0.35">
      <c r="H6949" s="13"/>
      <c r="I6949" s="13"/>
      <c r="J6949" s="13"/>
      <c r="K6949" s="13"/>
      <c r="L6949" s="13"/>
      <c r="M6949" s="13"/>
      <c r="N6949" s="13"/>
      <c r="O6949" s="13"/>
      <c r="P6949" s="13"/>
      <c r="Q6949" s="13"/>
      <c r="R6949" s="13"/>
    </row>
    <row r="6950" spans="8:18" x14ac:dyDescent="0.35">
      <c r="H6950" s="13"/>
      <c r="I6950" s="13"/>
      <c r="J6950" s="13"/>
      <c r="K6950" s="13"/>
      <c r="L6950" s="13"/>
      <c r="M6950" s="13"/>
      <c r="N6950" s="13"/>
      <c r="O6950" s="13"/>
      <c r="P6950" s="13"/>
      <c r="Q6950" s="13"/>
      <c r="R6950" s="13"/>
    </row>
    <row r="6951" spans="8:18" x14ac:dyDescent="0.35">
      <c r="H6951" s="13"/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</row>
    <row r="6952" spans="8:18" x14ac:dyDescent="0.35">
      <c r="H6952" s="13"/>
      <c r="I6952" s="13"/>
      <c r="J6952" s="13"/>
      <c r="K6952" s="13"/>
      <c r="L6952" s="13"/>
      <c r="M6952" s="13"/>
      <c r="N6952" s="13"/>
      <c r="O6952" s="13"/>
      <c r="P6952" s="13"/>
      <c r="Q6952" s="13"/>
      <c r="R6952" s="13"/>
    </row>
    <row r="6953" spans="8:18" x14ac:dyDescent="0.35">
      <c r="H6953" s="13"/>
      <c r="I6953" s="13"/>
      <c r="J6953" s="13"/>
      <c r="K6953" s="13"/>
      <c r="L6953" s="13"/>
      <c r="M6953" s="13"/>
      <c r="N6953" s="13"/>
      <c r="O6953" s="13"/>
      <c r="P6953" s="13"/>
      <c r="Q6953" s="13"/>
      <c r="R6953" s="13"/>
    </row>
    <row r="6954" spans="8:18" x14ac:dyDescent="0.35">
      <c r="H6954" s="13"/>
      <c r="I6954" s="13"/>
      <c r="J6954" s="13"/>
      <c r="K6954" s="13"/>
      <c r="L6954" s="13"/>
      <c r="M6954" s="13"/>
      <c r="N6954" s="13"/>
      <c r="O6954" s="13"/>
      <c r="P6954" s="13"/>
      <c r="Q6954" s="13"/>
      <c r="R6954" s="13"/>
    </row>
    <row r="6955" spans="8:18" x14ac:dyDescent="0.35">
      <c r="H6955" s="13"/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</row>
    <row r="6956" spans="8:18" x14ac:dyDescent="0.35">
      <c r="H6956" s="13"/>
      <c r="I6956" s="13"/>
      <c r="J6956" s="13"/>
      <c r="K6956" s="13"/>
      <c r="L6956" s="13"/>
      <c r="M6956" s="13"/>
      <c r="N6956" s="13"/>
      <c r="O6956" s="13"/>
      <c r="P6956" s="13"/>
      <c r="Q6956" s="13"/>
      <c r="R6956" s="13"/>
    </row>
    <row r="6957" spans="8:18" x14ac:dyDescent="0.35">
      <c r="H6957" s="13"/>
      <c r="I6957" s="13"/>
      <c r="J6957" s="13"/>
      <c r="K6957" s="13"/>
      <c r="L6957" s="13"/>
      <c r="M6957" s="13"/>
      <c r="N6957" s="13"/>
      <c r="O6957" s="13"/>
      <c r="P6957" s="13"/>
      <c r="Q6957" s="13"/>
      <c r="R6957" s="13"/>
    </row>
    <row r="6958" spans="8:18" x14ac:dyDescent="0.35"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</row>
    <row r="6959" spans="8:18" x14ac:dyDescent="0.35">
      <c r="H6959" s="13"/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</row>
    <row r="6960" spans="8:18" x14ac:dyDescent="0.35">
      <c r="H6960" s="13"/>
      <c r="I6960" s="13"/>
      <c r="J6960" s="13"/>
      <c r="K6960" s="13"/>
      <c r="L6960" s="13"/>
      <c r="M6960" s="13"/>
      <c r="N6960" s="13"/>
      <c r="O6960" s="13"/>
      <c r="P6960" s="13"/>
      <c r="Q6960" s="13"/>
      <c r="R6960" s="13"/>
    </row>
    <row r="6961" spans="8:18" x14ac:dyDescent="0.35">
      <c r="H6961" s="13"/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</row>
    <row r="6962" spans="8:18" x14ac:dyDescent="0.35">
      <c r="H6962" s="13"/>
      <c r="I6962" s="13"/>
      <c r="J6962" s="13"/>
      <c r="K6962" s="13"/>
      <c r="L6962" s="13"/>
      <c r="M6962" s="13"/>
      <c r="N6962" s="13"/>
      <c r="O6962" s="13"/>
      <c r="P6962" s="13"/>
      <c r="Q6962" s="13"/>
      <c r="R6962" s="13"/>
    </row>
    <row r="6963" spans="8:18" x14ac:dyDescent="0.35">
      <c r="H6963" s="13"/>
      <c r="I6963" s="13"/>
      <c r="J6963" s="13"/>
      <c r="K6963" s="13"/>
      <c r="L6963" s="13"/>
      <c r="M6963" s="13"/>
      <c r="N6963" s="13"/>
      <c r="O6963" s="13"/>
      <c r="P6963" s="13"/>
      <c r="Q6963" s="13"/>
      <c r="R6963" s="13"/>
    </row>
    <row r="6964" spans="8:18" x14ac:dyDescent="0.35">
      <c r="H6964" s="13"/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</row>
    <row r="6965" spans="8:18" x14ac:dyDescent="0.35">
      <c r="H6965" s="13"/>
      <c r="I6965" s="13"/>
      <c r="J6965" s="13"/>
      <c r="K6965" s="13"/>
      <c r="L6965" s="13"/>
      <c r="M6965" s="13"/>
      <c r="N6965" s="13"/>
      <c r="O6965" s="13"/>
      <c r="P6965" s="13"/>
      <c r="Q6965" s="13"/>
      <c r="R6965" s="13"/>
    </row>
    <row r="6966" spans="8:18" x14ac:dyDescent="0.35"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</row>
    <row r="6967" spans="8:18" x14ac:dyDescent="0.35"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</row>
    <row r="6968" spans="8:18" x14ac:dyDescent="0.35"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</row>
    <row r="6969" spans="8:18" x14ac:dyDescent="0.35"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</row>
    <row r="6970" spans="8:18" x14ac:dyDescent="0.35"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</row>
    <row r="6971" spans="8:18" x14ac:dyDescent="0.35"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</row>
    <row r="6972" spans="8:18" x14ac:dyDescent="0.35"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</row>
    <row r="6973" spans="8:18" x14ac:dyDescent="0.35"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</row>
    <row r="6974" spans="8:18" x14ac:dyDescent="0.35"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</row>
    <row r="6975" spans="8:18" x14ac:dyDescent="0.35"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</row>
    <row r="6976" spans="8:18" x14ac:dyDescent="0.35"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</row>
    <row r="6977" spans="8:18" x14ac:dyDescent="0.35"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</row>
    <row r="6978" spans="8:18" x14ac:dyDescent="0.35"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</row>
    <row r="6979" spans="8:18" x14ac:dyDescent="0.35"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</row>
    <row r="6980" spans="8:18" x14ac:dyDescent="0.35"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</row>
    <row r="6981" spans="8:18" x14ac:dyDescent="0.35"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</row>
    <row r="6982" spans="8:18" x14ac:dyDescent="0.35"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</row>
    <row r="6983" spans="8:18" x14ac:dyDescent="0.35"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</row>
    <row r="6984" spans="8:18" x14ac:dyDescent="0.35"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</row>
    <row r="6985" spans="8:18" x14ac:dyDescent="0.35"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</row>
    <row r="6986" spans="8:18" x14ac:dyDescent="0.35"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</row>
    <row r="6987" spans="8:18" x14ac:dyDescent="0.35"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</row>
    <row r="6988" spans="8:18" x14ac:dyDescent="0.35">
      <c r="H6988" s="13"/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</row>
    <row r="6989" spans="8:18" x14ac:dyDescent="0.35">
      <c r="H6989" s="13"/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</row>
    <row r="6990" spans="8:18" x14ac:dyDescent="0.35"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</row>
    <row r="6991" spans="8:18" x14ac:dyDescent="0.35">
      <c r="H6991" s="13"/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</row>
    <row r="6992" spans="8:18" x14ac:dyDescent="0.35"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</row>
    <row r="6993" spans="8:18" x14ac:dyDescent="0.35"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</row>
    <row r="6994" spans="8:18" x14ac:dyDescent="0.35"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</row>
    <row r="6995" spans="8:18" x14ac:dyDescent="0.35"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</row>
    <row r="6996" spans="8:18" x14ac:dyDescent="0.35"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</row>
    <row r="6997" spans="8:18" x14ac:dyDescent="0.35"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</row>
    <row r="6998" spans="8:18" x14ac:dyDescent="0.35"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</row>
    <row r="6999" spans="8:18" x14ac:dyDescent="0.35"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</row>
    <row r="7000" spans="8:18" x14ac:dyDescent="0.35"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</row>
    <row r="7001" spans="8:18" x14ac:dyDescent="0.35"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</row>
    <row r="7002" spans="8:18" x14ac:dyDescent="0.35"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</row>
    <row r="7003" spans="8:18" x14ac:dyDescent="0.35"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</row>
    <row r="7004" spans="8:18" x14ac:dyDescent="0.35"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</row>
    <row r="7005" spans="8:18" x14ac:dyDescent="0.35"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</row>
    <row r="7006" spans="8:18" x14ac:dyDescent="0.35"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</row>
    <row r="7007" spans="8:18" x14ac:dyDescent="0.35"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</row>
    <row r="7008" spans="8:18" x14ac:dyDescent="0.35">
      <c r="H7008" s="13"/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</row>
    <row r="7009" spans="8:18" x14ac:dyDescent="0.35">
      <c r="H7009" s="13"/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</row>
    <row r="7010" spans="8:18" x14ac:dyDescent="0.35">
      <c r="H7010" s="13"/>
      <c r="I7010" s="13"/>
      <c r="J7010" s="13"/>
      <c r="K7010" s="13"/>
      <c r="L7010" s="13"/>
      <c r="M7010" s="13"/>
      <c r="N7010" s="13"/>
      <c r="O7010" s="13"/>
      <c r="P7010" s="13"/>
      <c r="Q7010" s="13"/>
      <c r="R7010" s="13"/>
    </row>
    <row r="7011" spans="8:18" x14ac:dyDescent="0.35"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</row>
    <row r="7012" spans="8:18" x14ac:dyDescent="0.35">
      <c r="H7012" s="13"/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</row>
    <row r="7013" spans="8:18" x14ac:dyDescent="0.35">
      <c r="H7013" s="13"/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</row>
    <row r="7014" spans="8:18" x14ac:dyDescent="0.35">
      <c r="H7014" s="13"/>
      <c r="I7014" s="13"/>
      <c r="J7014" s="13"/>
      <c r="K7014" s="13"/>
      <c r="L7014" s="13"/>
      <c r="M7014" s="13"/>
      <c r="N7014" s="13"/>
      <c r="O7014" s="13"/>
      <c r="P7014" s="13"/>
      <c r="Q7014" s="13"/>
      <c r="R7014" s="13"/>
    </row>
    <row r="7015" spans="8:18" x14ac:dyDescent="0.35"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</row>
    <row r="7016" spans="8:18" x14ac:dyDescent="0.35">
      <c r="H7016" s="13"/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</row>
    <row r="7017" spans="8:18" x14ac:dyDescent="0.35">
      <c r="H7017" s="13"/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</row>
    <row r="7018" spans="8:18" x14ac:dyDescent="0.35">
      <c r="H7018" s="13"/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</row>
    <row r="7019" spans="8:18" x14ac:dyDescent="0.35">
      <c r="H7019" s="13"/>
      <c r="I7019" s="13"/>
      <c r="J7019" s="13"/>
      <c r="K7019" s="13"/>
      <c r="L7019" s="13"/>
      <c r="M7019" s="13"/>
      <c r="N7019" s="13"/>
      <c r="O7019" s="13"/>
      <c r="P7019" s="13"/>
      <c r="Q7019" s="13"/>
      <c r="R7019" s="13"/>
    </row>
    <row r="7020" spans="8:18" x14ac:dyDescent="0.35"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</row>
    <row r="7021" spans="8:18" x14ac:dyDescent="0.35"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</row>
    <row r="7022" spans="8:18" x14ac:dyDescent="0.35"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</row>
    <row r="7023" spans="8:18" x14ac:dyDescent="0.35"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</row>
    <row r="7024" spans="8:18" x14ac:dyDescent="0.35"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</row>
    <row r="7025" spans="8:18" x14ac:dyDescent="0.35"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</row>
    <row r="7026" spans="8:18" x14ac:dyDescent="0.35"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</row>
    <row r="7027" spans="8:18" x14ac:dyDescent="0.35"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</row>
    <row r="7028" spans="8:18" x14ac:dyDescent="0.35"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</row>
    <row r="7029" spans="8:18" x14ac:dyDescent="0.35"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</row>
    <row r="7030" spans="8:18" x14ac:dyDescent="0.35"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</row>
    <row r="7031" spans="8:18" x14ac:dyDescent="0.35">
      <c r="H7031" s="13"/>
      <c r="I7031" s="13"/>
      <c r="J7031" s="13"/>
      <c r="K7031" s="13"/>
      <c r="L7031" s="13"/>
      <c r="M7031" s="13"/>
      <c r="N7031" s="13"/>
      <c r="O7031" s="13"/>
      <c r="P7031" s="13"/>
      <c r="Q7031" s="13"/>
      <c r="R7031" s="13"/>
    </row>
    <row r="7032" spans="8:18" x14ac:dyDescent="0.35"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</row>
    <row r="7033" spans="8:18" x14ac:dyDescent="0.35"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</row>
    <row r="7034" spans="8:18" x14ac:dyDescent="0.35"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</row>
    <row r="7035" spans="8:18" x14ac:dyDescent="0.35"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</row>
    <row r="7036" spans="8:18" x14ac:dyDescent="0.35">
      <c r="H7036" s="13"/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</row>
    <row r="7037" spans="8:18" x14ac:dyDescent="0.35">
      <c r="H7037" s="13"/>
      <c r="I7037" s="13"/>
      <c r="J7037" s="13"/>
      <c r="K7037" s="13"/>
      <c r="L7037" s="13"/>
      <c r="M7037" s="13"/>
      <c r="N7037" s="13"/>
      <c r="O7037" s="13"/>
      <c r="P7037" s="13"/>
      <c r="Q7037" s="13"/>
      <c r="R7037" s="13"/>
    </row>
    <row r="7038" spans="8:18" x14ac:dyDescent="0.35">
      <c r="H7038" s="13"/>
      <c r="I7038" s="13"/>
      <c r="J7038" s="13"/>
      <c r="K7038" s="13"/>
      <c r="L7038" s="13"/>
      <c r="M7038" s="13"/>
      <c r="N7038" s="13"/>
      <c r="O7038" s="13"/>
      <c r="P7038" s="13"/>
      <c r="Q7038" s="13"/>
      <c r="R7038" s="13"/>
    </row>
    <row r="7039" spans="8:18" x14ac:dyDescent="0.35">
      <c r="H7039" s="13"/>
      <c r="I7039" s="13"/>
      <c r="J7039" s="13"/>
      <c r="K7039" s="13"/>
      <c r="L7039" s="13"/>
      <c r="M7039" s="13"/>
      <c r="N7039" s="13"/>
      <c r="O7039" s="13"/>
      <c r="P7039" s="13"/>
      <c r="Q7039" s="13"/>
      <c r="R7039" s="13"/>
    </row>
    <row r="7040" spans="8:18" x14ac:dyDescent="0.35">
      <c r="H7040" s="13"/>
      <c r="I7040" s="13"/>
      <c r="J7040" s="13"/>
      <c r="K7040" s="13"/>
      <c r="L7040" s="13"/>
      <c r="M7040" s="13"/>
      <c r="N7040" s="13"/>
      <c r="O7040" s="13"/>
      <c r="P7040" s="13"/>
      <c r="Q7040" s="13"/>
      <c r="R7040" s="13"/>
    </row>
    <row r="7041" spans="8:18" x14ac:dyDescent="0.35">
      <c r="H7041" s="13"/>
      <c r="I7041" s="13"/>
      <c r="J7041" s="13"/>
      <c r="K7041" s="13"/>
      <c r="L7041" s="13"/>
      <c r="M7041" s="13"/>
      <c r="N7041" s="13"/>
      <c r="O7041" s="13"/>
      <c r="P7041" s="13"/>
      <c r="Q7041" s="13"/>
      <c r="R7041" s="13"/>
    </row>
    <row r="7042" spans="8:18" x14ac:dyDescent="0.35">
      <c r="H7042" s="13"/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</row>
    <row r="7043" spans="8:18" x14ac:dyDescent="0.35">
      <c r="H7043" s="13"/>
      <c r="I7043" s="13"/>
      <c r="J7043" s="13"/>
      <c r="K7043" s="13"/>
      <c r="L7043" s="13"/>
      <c r="M7043" s="13"/>
      <c r="N7043" s="13"/>
      <c r="O7043" s="13"/>
      <c r="P7043" s="13"/>
      <c r="Q7043" s="13"/>
      <c r="R7043" s="13"/>
    </row>
    <row r="7044" spans="8:18" x14ac:dyDescent="0.35">
      <c r="H7044" s="13"/>
      <c r="I7044" s="13"/>
      <c r="J7044" s="13"/>
      <c r="K7044" s="13"/>
      <c r="L7044" s="13"/>
      <c r="M7044" s="13"/>
      <c r="N7044" s="13"/>
      <c r="O7044" s="13"/>
      <c r="P7044" s="13"/>
      <c r="Q7044" s="13"/>
      <c r="R7044" s="13"/>
    </row>
    <row r="7045" spans="8:18" x14ac:dyDescent="0.35">
      <c r="H7045" s="13"/>
      <c r="I7045" s="13"/>
      <c r="J7045" s="13"/>
      <c r="K7045" s="13"/>
      <c r="L7045" s="13"/>
      <c r="M7045" s="13"/>
      <c r="N7045" s="13"/>
      <c r="O7045" s="13"/>
      <c r="P7045" s="13"/>
      <c r="Q7045" s="13"/>
      <c r="R7045" s="13"/>
    </row>
    <row r="7046" spans="8:18" x14ac:dyDescent="0.35">
      <c r="H7046" s="13"/>
      <c r="I7046" s="13"/>
      <c r="J7046" s="13"/>
      <c r="K7046" s="13"/>
      <c r="L7046" s="13"/>
      <c r="M7046" s="13"/>
      <c r="N7046" s="13"/>
      <c r="O7046" s="13"/>
      <c r="P7046" s="13"/>
      <c r="Q7046" s="13"/>
      <c r="R7046" s="13"/>
    </row>
    <row r="7047" spans="8:18" x14ac:dyDescent="0.35">
      <c r="H7047" s="13"/>
      <c r="I7047" s="13"/>
      <c r="J7047" s="13"/>
      <c r="K7047" s="13"/>
      <c r="L7047" s="13"/>
      <c r="M7047" s="13"/>
      <c r="N7047" s="13"/>
      <c r="O7047" s="13"/>
      <c r="P7047" s="13"/>
      <c r="Q7047" s="13"/>
      <c r="R7047" s="13"/>
    </row>
    <row r="7048" spans="8:18" x14ac:dyDescent="0.35"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</row>
    <row r="7049" spans="8:18" x14ac:dyDescent="0.35">
      <c r="H7049" s="13"/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</row>
    <row r="7050" spans="8:18" x14ac:dyDescent="0.35">
      <c r="H7050" s="13"/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</row>
    <row r="7051" spans="8:18" x14ac:dyDescent="0.35">
      <c r="H7051" s="13"/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</row>
    <row r="7052" spans="8:18" x14ac:dyDescent="0.35"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</row>
    <row r="7053" spans="8:18" x14ac:dyDescent="0.35"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</row>
    <row r="7054" spans="8:18" x14ac:dyDescent="0.35">
      <c r="H7054" s="13"/>
      <c r="I7054" s="13"/>
      <c r="J7054" s="13"/>
      <c r="K7054" s="13"/>
      <c r="L7054" s="13"/>
      <c r="M7054" s="13"/>
      <c r="N7054" s="13"/>
      <c r="O7054" s="13"/>
      <c r="P7054" s="13"/>
      <c r="Q7054" s="13"/>
      <c r="R7054" s="13"/>
    </row>
    <row r="7055" spans="8:18" x14ac:dyDescent="0.35"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</row>
    <row r="7056" spans="8:18" x14ac:dyDescent="0.35"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</row>
    <row r="7057" spans="8:18" x14ac:dyDescent="0.35"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</row>
    <row r="7058" spans="8:18" x14ac:dyDescent="0.35"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</row>
    <row r="7059" spans="8:18" x14ac:dyDescent="0.35"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</row>
    <row r="7060" spans="8:18" x14ac:dyDescent="0.35"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</row>
    <row r="7061" spans="8:18" x14ac:dyDescent="0.35"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</row>
    <row r="7062" spans="8:18" x14ac:dyDescent="0.35"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</row>
    <row r="7063" spans="8:18" x14ac:dyDescent="0.35"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</row>
    <row r="7064" spans="8:18" x14ac:dyDescent="0.35"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</row>
    <row r="7065" spans="8:18" x14ac:dyDescent="0.35"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</row>
    <row r="7066" spans="8:18" x14ac:dyDescent="0.35"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</row>
    <row r="7067" spans="8:18" x14ac:dyDescent="0.35"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</row>
    <row r="7068" spans="8:18" x14ac:dyDescent="0.35"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</row>
    <row r="7069" spans="8:18" x14ac:dyDescent="0.35"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</row>
    <row r="7070" spans="8:18" x14ac:dyDescent="0.35"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</row>
    <row r="7071" spans="8:18" x14ac:dyDescent="0.35"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</row>
    <row r="7072" spans="8:18" x14ac:dyDescent="0.35"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</row>
    <row r="7073" spans="8:18" x14ac:dyDescent="0.35"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</row>
    <row r="7074" spans="8:18" x14ac:dyDescent="0.35">
      <c r="H7074" s="13"/>
      <c r="I7074" s="13"/>
      <c r="J7074" s="13"/>
      <c r="K7074" s="13"/>
      <c r="L7074" s="13"/>
      <c r="M7074" s="13"/>
      <c r="N7074" s="13"/>
      <c r="O7074" s="13"/>
      <c r="P7074" s="13"/>
      <c r="Q7074" s="13"/>
      <c r="R7074" s="13"/>
    </row>
    <row r="7075" spans="8:18" x14ac:dyDescent="0.35"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</row>
    <row r="7076" spans="8:18" x14ac:dyDescent="0.35"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</row>
    <row r="7077" spans="8:18" x14ac:dyDescent="0.35"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</row>
    <row r="7078" spans="8:18" x14ac:dyDescent="0.35">
      <c r="H7078" s="13"/>
      <c r="I7078" s="13"/>
      <c r="J7078" s="13"/>
      <c r="K7078" s="13"/>
      <c r="L7078" s="13"/>
      <c r="M7078" s="13"/>
      <c r="N7078" s="13"/>
      <c r="O7078" s="13"/>
      <c r="P7078" s="13"/>
      <c r="Q7078" s="13"/>
      <c r="R7078" s="13"/>
    </row>
    <row r="7079" spans="8:18" x14ac:dyDescent="0.35">
      <c r="H7079" s="13"/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</row>
    <row r="7080" spans="8:18" x14ac:dyDescent="0.35"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</row>
    <row r="7081" spans="8:18" x14ac:dyDescent="0.35">
      <c r="H7081" s="13"/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</row>
    <row r="7082" spans="8:18" x14ac:dyDescent="0.35">
      <c r="H7082" s="13"/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</row>
    <row r="7083" spans="8:18" x14ac:dyDescent="0.35">
      <c r="H7083" s="13"/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</row>
    <row r="7084" spans="8:18" x14ac:dyDescent="0.35"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</row>
    <row r="7085" spans="8:18" x14ac:dyDescent="0.35">
      <c r="H7085" s="13"/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</row>
    <row r="7086" spans="8:18" x14ac:dyDescent="0.35">
      <c r="H7086" s="13"/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</row>
    <row r="7087" spans="8:18" x14ac:dyDescent="0.35">
      <c r="H7087" s="13"/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</row>
    <row r="7088" spans="8:18" x14ac:dyDescent="0.35">
      <c r="H7088" s="13"/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</row>
    <row r="7089" spans="8:18" x14ac:dyDescent="0.35">
      <c r="H7089" s="13"/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</row>
    <row r="7090" spans="8:18" x14ac:dyDescent="0.35"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</row>
    <row r="7091" spans="8:18" x14ac:dyDescent="0.35">
      <c r="H7091" s="13"/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</row>
    <row r="7092" spans="8:18" x14ac:dyDescent="0.35"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</row>
    <row r="7093" spans="8:18" x14ac:dyDescent="0.35"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</row>
    <row r="7094" spans="8:18" x14ac:dyDescent="0.35">
      <c r="H7094" s="13"/>
      <c r="I7094" s="13"/>
      <c r="J7094" s="13"/>
      <c r="K7094" s="13"/>
      <c r="L7094" s="13"/>
      <c r="M7094" s="13"/>
      <c r="N7094" s="13"/>
      <c r="O7094" s="13"/>
      <c r="P7094" s="13"/>
      <c r="Q7094" s="13"/>
      <c r="R7094" s="13"/>
    </row>
    <row r="7095" spans="8:18" x14ac:dyDescent="0.35">
      <c r="H7095" s="13"/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</row>
    <row r="7096" spans="8:18" x14ac:dyDescent="0.35"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</row>
    <row r="7097" spans="8:18" x14ac:dyDescent="0.35">
      <c r="H7097" s="13"/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</row>
    <row r="7098" spans="8:18" x14ac:dyDescent="0.35">
      <c r="H7098" s="13"/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</row>
    <row r="7099" spans="8:18" x14ac:dyDescent="0.35">
      <c r="H7099" s="13"/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</row>
    <row r="7100" spans="8:18" x14ac:dyDescent="0.35">
      <c r="H7100" s="13"/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</row>
    <row r="7101" spans="8:18" x14ac:dyDescent="0.35"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</row>
    <row r="7102" spans="8:18" x14ac:dyDescent="0.35">
      <c r="H7102" s="13"/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</row>
    <row r="7103" spans="8:18" x14ac:dyDescent="0.35">
      <c r="H7103" s="13"/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</row>
    <row r="7104" spans="8:18" x14ac:dyDescent="0.35"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</row>
    <row r="7105" spans="8:18" x14ac:dyDescent="0.35"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</row>
    <row r="7106" spans="8:18" x14ac:dyDescent="0.35"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</row>
    <row r="7107" spans="8:18" x14ac:dyDescent="0.35"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</row>
    <row r="7108" spans="8:18" x14ac:dyDescent="0.35"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</row>
    <row r="7109" spans="8:18" x14ac:dyDescent="0.35"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</row>
    <row r="7110" spans="8:18" x14ac:dyDescent="0.35"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</row>
    <row r="7111" spans="8:18" x14ac:dyDescent="0.35">
      <c r="H7111" s="13"/>
      <c r="I7111" s="13"/>
      <c r="J7111" s="13"/>
      <c r="K7111" s="13"/>
      <c r="L7111" s="13"/>
      <c r="M7111" s="13"/>
      <c r="N7111" s="13"/>
      <c r="O7111" s="13"/>
      <c r="P7111" s="13"/>
      <c r="Q7111" s="13"/>
      <c r="R7111" s="13"/>
    </row>
    <row r="7112" spans="8:18" x14ac:dyDescent="0.35"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</row>
    <row r="7113" spans="8:18" x14ac:dyDescent="0.35"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</row>
    <row r="7114" spans="8:18" x14ac:dyDescent="0.35"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</row>
    <row r="7115" spans="8:18" x14ac:dyDescent="0.35"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</row>
    <row r="7116" spans="8:18" x14ac:dyDescent="0.35"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</row>
    <row r="7117" spans="8:18" x14ac:dyDescent="0.35"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</row>
    <row r="7118" spans="8:18" x14ac:dyDescent="0.35"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</row>
    <row r="7119" spans="8:18" x14ac:dyDescent="0.35"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</row>
    <row r="7120" spans="8:18" x14ac:dyDescent="0.35">
      <c r="H7120" s="13"/>
      <c r="I7120" s="13"/>
      <c r="J7120" s="13"/>
      <c r="K7120" s="13"/>
      <c r="L7120" s="13"/>
      <c r="M7120" s="13"/>
      <c r="N7120" s="13"/>
      <c r="O7120" s="13"/>
      <c r="P7120" s="13"/>
      <c r="Q7120" s="13"/>
      <c r="R7120" s="13"/>
    </row>
    <row r="7121" spans="8:18" x14ac:dyDescent="0.35"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</row>
    <row r="7122" spans="8:18" x14ac:dyDescent="0.35"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</row>
    <row r="7123" spans="8:18" x14ac:dyDescent="0.35"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</row>
    <row r="7124" spans="8:18" x14ac:dyDescent="0.35"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</row>
    <row r="7125" spans="8:18" x14ac:dyDescent="0.35"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</row>
    <row r="7126" spans="8:18" x14ac:dyDescent="0.35"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</row>
    <row r="7127" spans="8:18" x14ac:dyDescent="0.35"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</row>
    <row r="7128" spans="8:18" x14ac:dyDescent="0.35"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</row>
    <row r="7129" spans="8:18" x14ac:dyDescent="0.35"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</row>
    <row r="7130" spans="8:18" x14ac:dyDescent="0.35"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</row>
    <row r="7131" spans="8:18" x14ac:dyDescent="0.35"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</row>
    <row r="7132" spans="8:18" x14ac:dyDescent="0.35"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</row>
    <row r="7133" spans="8:18" x14ac:dyDescent="0.35"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</row>
    <row r="7134" spans="8:18" x14ac:dyDescent="0.35"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</row>
    <row r="7135" spans="8:18" x14ac:dyDescent="0.35"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</row>
    <row r="7136" spans="8:18" x14ac:dyDescent="0.35"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</row>
    <row r="7137" spans="8:18" x14ac:dyDescent="0.35"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</row>
    <row r="7138" spans="8:18" x14ac:dyDescent="0.35"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</row>
    <row r="7139" spans="8:18" x14ac:dyDescent="0.35"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</row>
    <row r="7140" spans="8:18" x14ac:dyDescent="0.35"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</row>
    <row r="7141" spans="8:18" x14ac:dyDescent="0.35"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</row>
    <row r="7142" spans="8:18" x14ac:dyDescent="0.35"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</row>
    <row r="7143" spans="8:18" x14ac:dyDescent="0.35"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</row>
    <row r="7144" spans="8:18" x14ac:dyDescent="0.35"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</row>
    <row r="7145" spans="8:18" x14ac:dyDescent="0.35"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</row>
    <row r="7146" spans="8:18" x14ac:dyDescent="0.35"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</row>
    <row r="7147" spans="8:18" x14ac:dyDescent="0.35"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</row>
    <row r="7148" spans="8:18" x14ac:dyDescent="0.35"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</row>
    <row r="7149" spans="8:18" x14ac:dyDescent="0.35">
      <c r="H7149" s="13"/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</row>
    <row r="7150" spans="8:18" x14ac:dyDescent="0.35">
      <c r="H7150" s="13"/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</row>
    <row r="7151" spans="8:18" x14ac:dyDescent="0.35"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</row>
    <row r="7152" spans="8:18" x14ac:dyDescent="0.35">
      <c r="H7152" s="13"/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</row>
    <row r="7153" spans="8:18" x14ac:dyDescent="0.35">
      <c r="H7153" s="13"/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</row>
    <row r="7154" spans="8:18" x14ac:dyDescent="0.35">
      <c r="H7154" s="13"/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</row>
    <row r="7155" spans="8:18" x14ac:dyDescent="0.35">
      <c r="H7155" s="13"/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</row>
    <row r="7156" spans="8:18" x14ac:dyDescent="0.35"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</row>
    <row r="7157" spans="8:18" x14ac:dyDescent="0.35">
      <c r="H7157" s="13"/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</row>
    <row r="7158" spans="8:18" x14ac:dyDescent="0.35">
      <c r="H7158" s="13"/>
      <c r="I7158" s="13"/>
      <c r="J7158" s="13"/>
      <c r="K7158" s="13"/>
      <c r="L7158" s="13"/>
      <c r="M7158" s="13"/>
      <c r="N7158" s="13"/>
      <c r="O7158" s="13"/>
      <c r="P7158" s="13"/>
      <c r="Q7158" s="13"/>
      <c r="R7158" s="13"/>
    </row>
    <row r="7159" spans="8:18" x14ac:dyDescent="0.35"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</row>
    <row r="7160" spans="8:18" x14ac:dyDescent="0.35"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</row>
    <row r="7161" spans="8:18" x14ac:dyDescent="0.35"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</row>
    <row r="7162" spans="8:18" x14ac:dyDescent="0.35">
      <c r="H7162" s="13"/>
      <c r="I7162" s="13"/>
      <c r="J7162" s="13"/>
      <c r="K7162" s="13"/>
      <c r="L7162" s="13"/>
      <c r="M7162" s="13"/>
      <c r="N7162" s="13"/>
      <c r="O7162" s="13"/>
      <c r="P7162" s="13"/>
      <c r="Q7162" s="13"/>
      <c r="R7162" s="13"/>
    </row>
    <row r="7163" spans="8:18" x14ac:dyDescent="0.35"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</row>
    <row r="7164" spans="8:18" x14ac:dyDescent="0.35"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</row>
    <row r="7165" spans="8:18" x14ac:dyDescent="0.35"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</row>
    <row r="7166" spans="8:18" x14ac:dyDescent="0.35"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</row>
    <row r="7167" spans="8:18" x14ac:dyDescent="0.35"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</row>
    <row r="7168" spans="8:18" x14ac:dyDescent="0.35"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</row>
    <row r="7169" spans="8:18" x14ac:dyDescent="0.35">
      <c r="H7169" s="13"/>
      <c r="I7169" s="13"/>
      <c r="J7169" s="13"/>
      <c r="K7169" s="13"/>
      <c r="L7169" s="13"/>
      <c r="M7169" s="13"/>
      <c r="N7169" s="13"/>
      <c r="O7169" s="13"/>
      <c r="P7169" s="13"/>
      <c r="Q7169" s="13"/>
      <c r="R7169" s="13"/>
    </row>
    <row r="7170" spans="8:18" x14ac:dyDescent="0.35"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</row>
    <row r="7171" spans="8:18" x14ac:dyDescent="0.35"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</row>
    <row r="7172" spans="8:18" x14ac:dyDescent="0.35"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</row>
    <row r="7173" spans="8:18" x14ac:dyDescent="0.35"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</row>
    <row r="7174" spans="8:18" x14ac:dyDescent="0.35"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</row>
    <row r="7175" spans="8:18" x14ac:dyDescent="0.35"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</row>
    <row r="7176" spans="8:18" x14ac:dyDescent="0.35"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</row>
    <row r="7177" spans="8:18" x14ac:dyDescent="0.35"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</row>
    <row r="7178" spans="8:18" x14ac:dyDescent="0.35"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</row>
    <row r="7179" spans="8:18" x14ac:dyDescent="0.35"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</row>
    <row r="7180" spans="8:18" x14ac:dyDescent="0.35"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</row>
    <row r="7181" spans="8:18" x14ac:dyDescent="0.35"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</row>
    <row r="7182" spans="8:18" x14ac:dyDescent="0.35"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</row>
    <row r="7183" spans="8:18" x14ac:dyDescent="0.35"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</row>
    <row r="7184" spans="8:18" x14ac:dyDescent="0.35"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</row>
    <row r="7185" spans="8:18" x14ac:dyDescent="0.35"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</row>
    <row r="7186" spans="8:18" x14ac:dyDescent="0.35"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</row>
    <row r="7187" spans="8:18" x14ac:dyDescent="0.35"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</row>
    <row r="7188" spans="8:18" x14ac:dyDescent="0.35">
      <c r="H7188" s="13"/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</row>
    <row r="7189" spans="8:18" x14ac:dyDescent="0.35"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</row>
    <row r="7190" spans="8:18" x14ac:dyDescent="0.35">
      <c r="H7190" s="13"/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</row>
    <row r="7191" spans="8:18" x14ac:dyDescent="0.35">
      <c r="H7191" s="13"/>
      <c r="I7191" s="13"/>
      <c r="J7191" s="13"/>
      <c r="K7191" s="13"/>
      <c r="L7191" s="13"/>
      <c r="M7191" s="13"/>
      <c r="N7191" s="13"/>
      <c r="O7191" s="13"/>
      <c r="P7191" s="13"/>
      <c r="Q7191" s="13"/>
      <c r="R7191" s="13"/>
    </row>
    <row r="7192" spans="8:18" x14ac:dyDescent="0.35">
      <c r="H7192" s="13"/>
      <c r="I7192" s="13"/>
      <c r="J7192" s="13"/>
      <c r="K7192" s="13"/>
      <c r="L7192" s="13"/>
      <c r="M7192" s="13"/>
      <c r="N7192" s="13"/>
      <c r="O7192" s="13"/>
      <c r="P7192" s="13"/>
      <c r="Q7192" s="13"/>
      <c r="R7192" s="13"/>
    </row>
    <row r="7193" spans="8:18" x14ac:dyDescent="0.35">
      <c r="H7193" s="13"/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</row>
    <row r="7194" spans="8:18" x14ac:dyDescent="0.35">
      <c r="H7194" s="13"/>
      <c r="I7194" s="13"/>
      <c r="J7194" s="13"/>
      <c r="K7194" s="13"/>
      <c r="L7194" s="13"/>
      <c r="M7194" s="13"/>
      <c r="N7194" s="13"/>
      <c r="O7194" s="13"/>
      <c r="P7194" s="13"/>
      <c r="Q7194" s="13"/>
      <c r="R7194" s="13"/>
    </row>
    <row r="7195" spans="8:18" x14ac:dyDescent="0.35">
      <c r="H7195" s="13"/>
      <c r="I7195" s="13"/>
      <c r="J7195" s="13"/>
      <c r="K7195" s="13"/>
      <c r="L7195" s="13"/>
      <c r="M7195" s="13"/>
      <c r="N7195" s="13"/>
      <c r="O7195" s="13"/>
      <c r="P7195" s="13"/>
      <c r="Q7195" s="13"/>
      <c r="R7195" s="13"/>
    </row>
    <row r="7196" spans="8:18" x14ac:dyDescent="0.35">
      <c r="H7196" s="13"/>
      <c r="I7196" s="13"/>
      <c r="J7196" s="13"/>
      <c r="K7196" s="13"/>
      <c r="L7196" s="13"/>
      <c r="M7196" s="13"/>
      <c r="N7196" s="13"/>
      <c r="O7196" s="13"/>
      <c r="P7196" s="13"/>
      <c r="Q7196" s="13"/>
      <c r="R7196" s="13"/>
    </row>
    <row r="7197" spans="8:18" x14ac:dyDescent="0.35">
      <c r="H7197" s="13"/>
      <c r="I7197" s="13"/>
      <c r="J7197" s="13"/>
      <c r="K7197" s="13"/>
      <c r="L7197" s="13"/>
      <c r="M7197" s="13"/>
      <c r="N7197" s="13"/>
      <c r="O7197" s="13"/>
      <c r="P7197" s="13"/>
      <c r="Q7197" s="13"/>
      <c r="R7197" s="13"/>
    </row>
    <row r="7198" spans="8:18" x14ac:dyDescent="0.35">
      <c r="H7198" s="13"/>
      <c r="I7198" s="13"/>
      <c r="J7198" s="13"/>
      <c r="K7198" s="13"/>
      <c r="L7198" s="13"/>
      <c r="M7198" s="13"/>
      <c r="N7198" s="13"/>
      <c r="O7198" s="13"/>
      <c r="P7198" s="13"/>
      <c r="Q7198" s="13"/>
      <c r="R7198" s="13"/>
    </row>
    <row r="7199" spans="8:18" x14ac:dyDescent="0.35"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</row>
    <row r="7200" spans="8:18" x14ac:dyDescent="0.35">
      <c r="H7200" s="13"/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</row>
    <row r="7201" spans="8:18" x14ac:dyDescent="0.35">
      <c r="H7201" s="13"/>
      <c r="I7201" s="13"/>
      <c r="J7201" s="13"/>
      <c r="K7201" s="13"/>
      <c r="L7201" s="13"/>
      <c r="M7201" s="13"/>
      <c r="N7201" s="13"/>
      <c r="O7201" s="13"/>
      <c r="P7201" s="13"/>
      <c r="Q7201" s="13"/>
      <c r="R7201" s="13"/>
    </row>
    <row r="7202" spans="8:18" x14ac:dyDescent="0.35"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</row>
    <row r="7203" spans="8:18" x14ac:dyDescent="0.35"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</row>
    <row r="7204" spans="8:18" x14ac:dyDescent="0.35">
      <c r="H7204" s="13"/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</row>
    <row r="7205" spans="8:18" x14ac:dyDescent="0.35">
      <c r="H7205" s="13"/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</row>
    <row r="7206" spans="8:18" x14ac:dyDescent="0.35">
      <c r="H7206" s="13"/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</row>
    <row r="7207" spans="8:18" x14ac:dyDescent="0.35"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</row>
    <row r="7208" spans="8:18" x14ac:dyDescent="0.35">
      <c r="H7208" s="13"/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</row>
    <row r="7209" spans="8:18" x14ac:dyDescent="0.35"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</row>
    <row r="7210" spans="8:18" x14ac:dyDescent="0.35"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</row>
    <row r="7211" spans="8:18" x14ac:dyDescent="0.35"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</row>
    <row r="7212" spans="8:18" x14ac:dyDescent="0.35"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</row>
    <row r="7213" spans="8:18" x14ac:dyDescent="0.35"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</row>
    <row r="7214" spans="8:18" x14ac:dyDescent="0.35"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</row>
    <row r="7215" spans="8:18" x14ac:dyDescent="0.35"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</row>
    <row r="7216" spans="8:18" x14ac:dyDescent="0.35"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</row>
    <row r="7217" spans="8:18" x14ac:dyDescent="0.35"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</row>
    <row r="7218" spans="8:18" x14ac:dyDescent="0.35">
      <c r="H7218" s="13"/>
      <c r="I7218" s="13"/>
      <c r="J7218" s="13"/>
      <c r="K7218" s="13"/>
      <c r="L7218" s="13"/>
      <c r="M7218" s="13"/>
      <c r="N7218" s="13"/>
      <c r="O7218" s="13"/>
      <c r="P7218" s="13"/>
      <c r="Q7218" s="13"/>
      <c r="R7218" s="13"/>
    </row>
    <row r="7219" spans="8:18" x14ac:dyDescent="0.35"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</row>
    <row r="7220" spans="8:18" x14ac:dyDescent="0.35"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</row>
    <row r="7221" spans="8:18" x14ac:dyDescent="0.35"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</row>
    <row r="7222" spans="8:18" x14ac:dyDescent="0.35"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</row>
    <row r="7223" spans="8:18" x14ac:dyDescent="0.35"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</row>
    <row r="7224" spans="8:18" x14ac:dyDescent="0.35"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</row>
    <row r="7225" spans="8:18" x14ac:dyDescent="0.35"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</row>
    <row r="7226" spans="8:18" x14ac:dyDescent="0.35"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</row>
    <row r="7227" spans="8:18" x14ac:dyDescent="0.35"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</row>
    <row r="7228" spans="8:18" x14ac:dyDescent="0.35"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</row>
    <row r="7229" spans="8:18" x14ac:dyDescent="0.35"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</row>
    <row r="7230" spans="8:18" x14ac:dyDescent="0.35"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</row>
    <row r="7231" spans="8:18" x14ac:dyDescent="0.35"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</row>
    <row r="7232" spans="8:18" x14ac:dyDescent="0.35"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</row>
    <row r="7233" spans="8:18" x14ac:dyDescent="0.35"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</row>
    <row r="7234" spans="8:18" x14ac:dyDescent="0.35"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</row>
    <row r="7235" spans="8:18" x14ac:dyDescent="0.35"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</row>
    <row r="7236" spans="8:18" x14ac:dyDescent="0.35"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</row>
    <row r="7237" spans="8:18" x14ac:dyDescent="0.35"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</row>
    <row r="7238" spans="8:18" x14ac:dyDescent="0.35"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</row>
    <row r="7239" spans="8:18" x14ac:dyDescent="0.35"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</row>
    <row r="7240" spans="8:18" x14ac:dyDescent="0.35"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</row>
    <row r="7241" spans="8:18" x14ac:dyDescent="0.35"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</row>
    <row r="7242" spans="8:18" x14ac:dyDescent="0.35">
      <c r="H7242" s="13"/>
      <c r="I7242" s="13"/>
      <c r="J7242" s="13"/>
      <c r="K7242" s="13"/>
      <c r="L7242" s="13"/>
      <c r="M7242" s="13"/>
      <c r="N7242" s="13"/>
      <c r="O7242" s="13"/>
      <c r="P7242" s="13"/>
      <c r="Q7242" s="13"/>
      <c r="R7242" s="13"/>
    </row>
    <row r="7243" spans="8:18" x14ac:dyDescent="0.35"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</row>
    <row r="7244" spans="8:18" x14ac:dyDescent="0.35"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</row>
    <row r="7245" spans="8:18" x14ac:dyDescent="0.35"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</row>
    <row r="7246" spans="8:18" x14ac:dyDescent="0.35"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</row>
    <row r="7247" spans="8:18" x14ac:dyDescent="0.35"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</row>
    <row r="7248" spans="8:18" x14ac:dyDescent="0.35"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</row>
    <row r="7249" spans="8:18" x14ac:dyDescent="0.35"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</row>
    <row r="7250" spans="8:18" x14ac:dyDescent="0.35"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</row>
    <row r="7251" spans="8:18" x14ac:dyDescent="0.35"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</row>
    <row r="7252" spans="8:18" x14ac:dyDescent="0.35"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</row>
    <row r="7253" spans="8:18" x14ac:dyDescent="0.35"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</row>
    <row r="7254" spans="8:18" x14ac:dyDescent="0.35"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</row>
    <row r="7255" spans="8:18" x14ac:dyDescent="0.35">
      <c r="H7255" s="13"/>
      <c r="I7255" s="13"/>
      <c r="J7255" s="13"/>
      <c r="K7255" s="13"/>
      <c r="L7255" s="13"/>
      <c r="M7255" s="13"/>
      <c r="N7255" s="13"/>
      <c r="O7255" s="13"/>
      <c r="P7255" s="13"/>
      <c r="Q7255" s="13"/>
      <c r="R7255" s="13"/>
    </row>
    <row r="7256" spans="8:18" x14ac:dyDescent="0.35">
      <c r="H7256" s="13"/>
      <c r="I7256" s="13"/>
      <c r="J7256" s="13"/>
      <c r="K7256" s="13"/>
      <c r="L7256" s="13"/>
      <c r="M7256" s="13"/>
      <c r="N7256" s="13"/>
      <c r="O7256" s="13"/>
      <c r="P7256" s="13"/>
      <c r="Q7256" s="13"/>
      <c r="R7256" s="13"/>
    </row>
    <row r="7257" spans="8:18" x14ac:dyDescent="0.35"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</row>
    <row r="7258" spans="8:18" x14ac:dyDescent="0.35"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</row>
    <row r="7259" spans="8:18" x14ac:dyDescent="0.35"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</row>
    <row r="7260" spans="8:18" x14ac:dyDescent="0.35"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</row>
    <row r="7261" spans="8:18" x14ac:dyDescent="0.35"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</row>
    <row r="7262" spans="8:18" x14ac:dyDescent="0.35"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</row>
    <row r="7263" spans="8:18" x14ac:dyDescent="0.35"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</row>
    <row r="7264" spans="8:18" x14ac:dyDescent="0.35">
      <c r="H7264" s="13"/>
      <c r="I7264" s="13"/>
      <c r="J7264" s="13"/>
      <c r="K7264" s="13"/>
      <c r="L7264" s="13"/>
      <c r="M7264" s="13"/>
      <c r="N7264" s="13"/>
      <c r="O7264" s="13"/>
      <c r="P7264" s="13"/>
      <c r="Q7264" s="13"/>
      <c r="R7264" s="13"/>
    </row>
    <row r="7265" spans="8:18" x14ac:dyDescent="0.35"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</row>
    <row r="7266" spans="8:18" x14ac:dyDescent="0.35"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</row>
    <row r="7267" spans="8:18" x14ac:dyDescent="0.35"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</row>
    <row r="7268" spans="8:18" x14ac:dyDescent="0.35"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</row>
    <row r="7269" spans="8:18" x14ac:dyDescent="0.35"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</row>
    <row r="7270" spans="8:18" x14ac:dyDescent="0.35"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</row>
    <row r="7271" spans="8:18" x14ac:dyDescent="0.35"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</row>
    <row r="7272" spans="8:18" x14ac:dyDescent="0.35"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</row>
    <row r="7273" spans="8:18" x14ac:dyDescent="0.35">
      <c r="H7273" s="13"/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</row>
    <row r="7274" spans="8:18" x14ac:dyDescent="0.35"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</row>
    <row r="7275" spans="8:18" x14ac:dyDescent="0.35">
      <c r="H7275" s="13"/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</row>
    <row r="7276" spans="8:18" x14ac:dyDescent="0.35">
      <c r="H7276" s="13"/>
      <c r="I7276" s="13"/>
      <c r="J7276" s="13"/>
      <c r="K7276" s="13"/>
      <c r="L7276" s="13"/>
      <c r="M7276" s="13"/>
      <c r="N7276" s="13"/>
      <c r="O7276" s="13"/>
      <c r="P7276" s="13"/>
      <c r="Q7276" s="13"/>
      <c r="R7276" s="13"/>
    </row>
    <row r="7277" spans="8:18" x14ac:dyDescent="0.35">
      <c r="H7277" s="13"/>
      <c r="I7277" s="13"/>
      <c r="J7277" s="13"/>
      <c r="K7277" s="13"/>
      <c r="L7277" s="13"/>
      <c r="M7277" s="13"/>
      <c r="N7277" s="13"/>
      <c r="O7277" s="13"/>
      <c r="P7277" s="13"/>
      <c r="Q7277" s="13"/>
      <c r="R7277" s="13"/>
    </row>
    <row r="7278" spans="8:18" x14ac:dyDescent="0.35">
      <c r="H7278" s="13"/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</row>
    <row r="7279" spans="8:18" x14ac:dyDescent="0.35">
      <c r="H7279" s="13"/>
      <c r="I7279" s="13"/>
      <c r="J7279" s="13"/>
      <c r="K7279" s="13"/>
      <c r="L7279" s="13"/>
      <c r="M7279" s="13"/>
      <c r="N7279" s="13"/>
      <c r="O7279" s="13"/>
      <c r="P7279" s="13"/>
      <c r="Q7279" s="13"/>
      <c r="R7279" s="13"/>
    </row>
    <row r="7280" spans="8:18" x14ac:dyDescent="0.35">
      <c r="H7280" s="13"/>
      <c r="I7280" s="13"/>
      <c r="J7280" s="13"/>
      <c r="K7280" s="13"/>
      <c r="L7280" s="13"/>
      <c r="M7280" s="13"/>
      <c r="N7280" s="13"/>
      <c r="O7280" s="13"/>
      <c r="P7280" s="13"/>
      <c r="Q7280" s="13"/>
      <c r="R7280" s="13"/>
    </row>
    <row r="7281" spans="8:18" x14ac:dyDescent="0.35">
      <c r="H7281" s="13"/>
      <c r="I7281" s="13"/>
      <c r="J7281" s="13"/>
      <c r="K7281" s="13"/>
      <c r="L7281" s="13"/>
      <c r="M7281" s="13"/>
      <c r="N7281" s="13"/>
      <c r="O7281" s="13"/>
      <c r="P7281" s="13"/>
      <c r="Q7281" s="13"/>
      <c r="R7281" s="13"/>
    </row>
    <row r="7282" spans="8:18" x14ac:dyDescent="0.35">
      <c r="H7282" s="13"/>
      <c r="I7282" s="13"/>
      <c r="J7282" s="13"/>
      <c r="K7282" s="13"/>
      <c r="L7282" s="13"/>
      <c r="M7282" s="13"/>
      <c r="N7282" s="13"/>
      <c r="O7282" s="13"/>
      <c r="P7282" s="13"/>
      <c r="Q7282" s="13"/>
      <c r="R7282" s="13"/>
    </row>
    <row r="7283" spans="8:18" x14ac:dyDescent="0.35"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</row>
    <row r="7284" spans="8:18" x14ac:dyDescent="0.35"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</row>
    <row r="7285" spans="8:18" x14ac:dyDescent="0.35">
      <c r="H7285" s="13"/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</row>
    <row r="7286" spans="8:18" x14ac:dyDescent="0.35">
      <c r="H7286" s="13"/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</row>
    <row r="7287" spans="8:18" x14ac:dyDescent="0.35">
      <c r="H7287" s="13"/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</row>
    <row r="7288" spans="8:18" x14ac:dyDescent="0.35"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</row>
    <row r="7289" spans="8:18" x14ac:dyDescent="0.35">
      <c r="H7289" s="13"/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</row>
    <row r="7290" spans="8:18" x14ac:dyDescent="0.35">
      <c r="H7290" s="13"/>
      <c r="I7290" s="13"/>
      <c r="J7290" s="13"/>
      <c r="K7290" s="13"/>
      <c r="L7290" s="13"/>
      <c r="M7290" s="13"/>
      <c r="N7290" s="13"/>
      <c r="O7290" s="13"/>
      <c r="P7290" s="13"/>
      <c r="Q7290" s="13"/>
      <c r="R7290" s="13"/>
    </row>
    <row r="7291" spans="8:18" x14ac:dyDescent="0.35">
      <c r="H7291" s="13"/>
      <c r="I7291" s="13"/>
      <c r="J7291" s="13"/>
      <c r="K7291" s="13"/>
      <c r="L7291" s="13"/>
      <c r="M7291" s="13"/>
      <c r="N7291" s="13"/>
      <c r="O7291" s="13"/>
      <c r="P7291" s="13"/>
      <c r="Q7291" s="13"/>
      <c r="R7291" s="13"/>
    </row>
    <row r="7292" spans="8:18" x14ac:dyDescent="0.35">
      <c r="H7292" s="13"/>
      <c r="I7292" s="13"/>
      <c r="J7292" s="13"/>
      <c r="K7292" s="13"/>
      <c r="L7292" s="13"/>
      <c r="M7292" s="13"/>
      <c r="N7292" s="13"/>
      <c r="O7292" s="13"/>
      <c r="P7292" s="13"/>
      <c r="Q7292" s="13"/>
      <c r="R7292" s="13"/>
    </row>
    <row r="7293" spans="8:18" x14ac:dyDescent="0.35">
      <c r="H7293" s="13"/>
      <c r="I7293" s="13"/>
      <c r="J7293" s="13"/>
      <c r="K7293" s="13"/>
      <c r="L7293" s="13"/>
      <c r="M7293" s="13"/>
      <c r="N7293" s="13"/>
      <c r="O7293" s="13"/>
      <c r="P7293" s="13"/>
      <c r="Q7293" s="13"/>
      <c r="R7293" s="13"/>
    </row>
    <row r="7294" spans="8:18" x14ac:dyDescent="0.35">
      <c r="H7294" s="13"/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</row>
    <row r="7295" spans="8:18" x14ac:dyDescent="0.35">
      <c r="H7295" s="13"/>
      <c r="I7295" s="13"/>
      <c r="J7295" s="13"/>
      <c r="K7295" s="13"/>
      <c r="L7295" s="13"/>
      <c r="M7295" s="13"/>
      <c r="N7295" s="13"/>
      <c r="O7295" s="13"/>
      <c r="P7295" s="13"/>
      <c r="Q7295" s="13"/>
      <c r="R7295" s="13"/>
    </row>
    <row r="7296" spans="8:18" x14ac:dyDescent="0.35">
      <c r="H7296" s="13"/>
      <c r="I7296" s="13"/>
      <c r="J7296" s="13"/>
      <c r="K7296" s="13"/>
      <c r="L7296" s="13"/>
      <c r="M7296" s="13"/>
      <c r="N7296" s="13"/>
      <c r="O7296" s="13"/>
      <c r="P7296" s="13"/>
      <c r="Q7296" s="13"/>
      <c r="R7296" s="13"/>
    </row>
    <row r="7297" spans="8:18" x14ac:dyDescent="0.35">
      <c r="H7297" s="13"/>
      <c r="I7297" s="13"/>
      <c r="J7297" s="13"/>
      <c r="K7297" s="13"/>
      <c r="L7297" s="13"/>
      <c r="M7297" s="13"/>
      <c r="N7297" s="13"/>
      <c r="O7297" s="13"/>
      <c r="P7297" s="13"/>
      <c r="Q7297" s="13"/>
      <c r="R7297" s="13"/>
    </row>
    <row r="7298" spans="8:18" x14ac:dyDescent="0.35">
      <c r="H7298" s="13"/>
      <c r="I7298" s="13"/>
      <c r="J7298" s="13"/>
      <c r="K7298" s="13"/>
      <c r="L7298" s="13"/>
      <c r="M7298" s="13"/>
      <c r="N7298" s="13"/>
      <c r="O7298" s="13"/>
      <c r="P7298" s="13"/>
      <c r="Q7298" s="13"/>
      <c r="R7298" s="13"/>
    </row>
    <row r="7299" spans="8:18" x14ac:dyDescent="0.35">
      <c r="H7299" s="13"/>
      <c r="I7299" s="13"/>
      <c r="J7299" s="13"/>
      <c r="K7299" s="13"/>
      <c r="L7299" s="13"/>
      <c r="M7299" s="13"/>
      <c r="N7299" s="13"/>
      <c r="O7299" s="13"/>
      <c r="P7299" s="13"/>
      <c r="Q7299" s="13"/>
      <c r="R7299" s="13"/>
    </row>
    <row r="7300" spans="8:18" x14ac:dyDescent="0.35">
      <c r="H7300" s="13"/>
      <c r="I7300" s="13"/>
      <c r="J7300" s="13"/>
      <c r="K7300" s="13"/>
      <c r="L7300" s="13"/>
      <c r="M7300" s="13"/>
      <c r="N7300" s="13"/>
      <c r="O7300" s="13"/>
      <c r="P7300" s="13"/>
      <c r="Q7300" s="13"/>
      <c r="R7300" s="13"/>
    </row>
    <row r="7301" spans="8:18" x14ac:dyDescent="0.35">
      <c r="H7301" s="13"/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</row>
    <row r="7302" spans="8:18" x14ac:dyDescent="0.35">
      <c r="H7302" s="13"/>
      <c r="I7302" s="13"/>
      <c r="J7302" s="13"/>
      <c r="K7302" s="13"/>
      <c r="L7302" s="13"/>
      <c r="M7302" s="13"/>
      <c r="N7302" s="13"/>
      <c r="O7302" s="13"/>
      <c r="P7302" s="13"/>
      <c r="Q7302" s="13"/>
      <c r="R7302" s="13"/>
    </row>
    <row r="7303" spans="8:18" x14ac:dyDescent="0.35"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</row>
    <row r="7304" spans="8:18" x14ac:dyDescent="0.35">
      <c r="H7304" s="13"/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</row>
    <row r="7305" spans="8:18" x14ac:dyDescent="0.35">
      <c r="H7305" s="13"/>
      <c r="I7305" s="13"/>
      <c r="J7305" s="13"/>
      <c r="K7305" s="13"/>
      <c r="L7305" s="13"/>
      <c r="M7305" s="13"/>
      <c r="N7305" s="13"/>
      <c r="O7305" s="13"/>
      <c r="P7305" s="13"/>
      <c r="Q7305" s="13"/>
      <c r="R7305" s="13"/>
    </row>
    <row r="7306" spans="8:18" x14ac:dyDescent="0.35">
      <c r="H7306" s="13"/>
      <c r="I7306" s="13"/>
      <c r="J7306" s="13"/>
      <c r="K7306" s="13"/>
      <c r="L7306" s="13"/>
      <c r="M7306" s="13"/>
      <c r="N7306" s="13"/>
      <c r="O7306" s="13"/>
      <c r="P7306" s="13"/>
      <c r="Q7306" s="13"/>
      <c r="R7306" s="13"/>
    </row>
    <row r="7307" spans="8:18" x14ac:dyDescent="0.35">
      <c r="H7307" s="13"/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</row>
    <row r="7308" spans="8:18" x14ac:dyDescent="0.35">
      <c r="H7308" s="13"/>
      <c r="I7308" s="13"/>
      <c r="J7308" s="13"/>
      <c r="K7308" s="13"/>
      <c r="L7308" s="13"/>
      <c r="M7308" s="13"/>
      <c r="N7308" s="13"/>
      <c r="O7308" s="13"/>
      <c r="P7308" s="13"/>
      <c r="Q7308" s="13"/>
      <c r="R7308" s="13"/>
    </row>
    <row r="7309" spans="8:18" x14ac:dyDescent="0.35"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</row>
    <row r="7310" spans="8:18" x14ac:dyDescent="0.35"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</row>
    <row r="7311" spans="8:18" x14ac:dyDescent="0.35">
      <c r="H7311" s="13"/>
      <c r="I7311" s="13"/>
      <c r="J7311" s="13"/>
      <c r="K7311" s="13"/>
      <c r="L7311" s="13"/>
      <c r="M7311" s="13"/>
      <c r="N7311" s="13"/>
      <c r="O7311" s="13"/>
      <c r="P7311" s="13"/>
      <c r="Q7311" s="13"/>
      <c r="R7311" s="13"/>
    </row>
    <row r="7312" spans="8:18" x14ac:dyDescent="0.35">
      <c r="H7312" s="13"/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</row>
    <row r="7313" spans="8:18" x14ac:dyDescent="0.35"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</row>
    <row r="7314" spans="8:18" x14ac:dyDescent="0.35">
      <c r="H7314" s="13"/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</row>
    <row r="7315" spans="8:18" x14ac:dyDescent="0.35">
      <c r="H7315" s="13"/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</row>
    <row r="7316" spans="8:18" x14ac:dyDescent="0.35">
      <c r="H7316" s="13"/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</row>
    <row r="7317" spans="8:18" x14ac:dyDescent="0.35">
      <c r="H7317" s="13"/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</row>
    <row r="7318" spans="8:18" x14ac:dyDescent="0.35">
      <c r="H7318" s="13"/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</row>
    <row r="7319" spans="8:18" x14ac:dyDescent="0.35">
      <c r="H7319" s="13"/>
      <c r="I7319" s="13"/>
      <c r="J7319" s="13"/>
      <c r="K7319" s="13"/>
      <c r="L7319" s="13"/>
      <c r="M7319" s="13"/>
      <c r="N7319" s="13"/>
      <c r="O7319" s="13"/>
      <c r="P7319" s="13"/>
      <c r="Q7319" s="13"/>
      <c r="R7319" s="13"/>
    </row>
    <row r="7320" spans="8:18" x14ac:dyDescent="0.35"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</row>
    <row r="7321" spans="8:18" x14ac:dyDescent="0.35"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</row>
    <row r="7322" spans="8:18" x14ac:dyDescent="0.35"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</row>
    <row r="7323" spans="8:18" x14ac:dyDescent="0.35">
      <c r="H7323" s="13"/>
      <c r="I7323" s="13"/>
      <c r="J7323" s="13"/>
      <c r="K7323" s="13"/>
      <c r="L7323" s="13"/>
      <c r="M7323" s="13"/>
      <c r="N7323" s="13"/>
      <c r="O7323" s="13"/>
      <c r="P7323" s="13"/>
      <c r="Q7323" s="13"/>
      <c r="R7323" s="13"/>
    </row>
    <row r="7324" spans="8:18" x14ac:dyDescent="0.35"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</row>
    <row r="7325" spans="8:18" x14ac:dyDescent="0.35"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</row>
    <row r="7326" spans="8:18" x14ac:dyDescent="0.35"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</row>
    <row r="7327" spans="8:18" x14ac:dyDescent="0.35"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</row>
    <row r="7328" spans="8:18" x14ac:dyDescent="0.35"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</row>
    <row r="7329" spans="8:18" x14ac:dyDescent="0.35"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</row>
    <row r="7330" spans="8:18" x14ac:dyDescent="0.35"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</row>
    <row r="7331" spans="8:18" x14ac:dyDescent="0.35"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</row>
    <row r="7332" spans="8:18" x14ac:dyDescent="0.35"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</row>
    <row r="7333" spans="8:18" x14ac:dyDescent="0.35"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</row>
    <row r="7334" spans="8:18" x14ac:dyDescent="0.35"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</row>
    <row r="7335" spans="8:18" x14ac:dyDescent="0.35"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</row>
    <row r="7336" spans="8:18" x14ac:dyDescent="0.35"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</row>
    <row r="7337" spans="8:18" x14ac:dyDescent="0.35"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</row>
    <row r="7338" spans="8:18" x14ac:dyDescent="0.35">
      <c r="H7338" s="13"/>
      <c r="I7338" s="13"/>
      <c r="J7338" s="13"/>
      <c r="K7338" s="13"/>
      <c r="L7338" s="13"/>
      <c r="M7338" s="13"/>
      <c r="N7338" s="13"/>
      <c r="O7338" s="13"/>
      <c r="P7338" s="13"/>
      <c r="Q7338" s="13"/>
      <c r="R7338" s="13"/>
    </row>
    <row r="7339" spans="8:18" x14ac:dyDescent="0.35">
      <c r="H7339" s="13"/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</row>
    <row r="7340" spans="8:18" x14ac:dyDescent="0.35"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</row>
    <row r="7341" spans="8:18" x14ac:dyDescent="0.35">
      <c r="H7341" s="13"/>
      <c r="I7341" s="13"/>
      <c r="J7341" s="13"/>
      <c r="K7341" s="13"/>
      <c r="L7341" s="13"/>
      <c r="M7341" s="13"/>
      <c r="N7341" s="13"/>
      <c r="O7341" s="13"/>
      <c r="P7341" s="13"/>
      <c r="Q7341" s="13"/>
      <c r="R7341" s="13"/>
    </row>
    <row r="7342" spans="8:18" x14ac:dyDescent="0.35">
      <c r="H7342" s="13"/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</row>
    <row r="7343" spans="8:18" x14ac:dyDescent="0.35"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</row>
    <row r="7344" spans="8:18" x14ac:dyDescent="0.35"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</row>
    <row r="7345" spans="8:18" x14ac:dyDescent="0.35"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</row>
    <row r="7346" spans="8:18" x14ac:dyDescent="0.35"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</row>
    <row r="7347" spans="8:18" x14ac:dyDescent="0.35"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</row>
    <row r="7348" spans="8:18" x14ac:dyDescent="0.35"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</row>
    <row r="7349" spans="8:18" x14ac:dyDescent="0.35"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</row>
    <row r="7350" spans="8:18" x14ac:dyDescent="0.35"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</row>
    <row r="7351" spans="8:18" x14ac:dyDescent="0.35"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</row>
    <row r="7352" spans="8:18" x14ac:dyDescent="0.35">
      <c r="H7352" s="13"/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</row>
    <row r="7353" spans="8:18" x14ac:dyDescent="0.35">
      <c r="H7353" s="13"/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</row>
    <row r="7354" spans="8:18" x14ac:dyDescent="0.35">
      <c r="H7354" s="13"/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</row>
    <row r="7355" spans="8:18" x14ac:dyDescent="0.35">
      <c r="H7355" s="13"/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</row>
    <row r="7356" spans="8:18" x14ac:dyDescent="0.35"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</row>
    <row r="7357" spans="8:18" x14ac:dyDescent="0.35">
      <c r="H7357" s="13"/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</row>
    <row r="7358" spans="8:18" x14ac:dyDescent="0.35">
      <c r="H7358" s="13"/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</row>
    <row r="7359" spans="8:18" x14ac:dyDescent="0.35"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</row>
    <row r="7360" spans="8:18" x14ac:dyDescent="0.35">
      <c r="H7360" s="13"/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</row>
    <row r="7361" spans="8:18" x14ac:dyDescent="0.35">
      <c r="H7361" s="13"/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</row>
    <row r="7362" spans="8:18" x14ac:dyDescent="0.35"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</row>
    <row r="7363" spans="8:18" x14ac:dyDescent="0.35"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</row>
    <row r="7364" spans="8:18" x14ac:dyDescent="0.35"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</row>
    <row r="7365" spans="8:18" x14ac:dyDescent="0.35"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</row>
    <row r="7366" spans="8:18" x14ac:dyDescent="0.35"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</row>
    <row r="7367" spans="8:18" x14ac:dyDescent="0.35"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</row>
    <row r="7368" spans="8:18" x14ac:dyDescent="0.35"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</row>
    <row r="7369" spans="8:18" x14ac:dyDescent="0.35"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</row>
    <row r="7370" spans="8:18" x14ac:dyDescent="0.35">
      <c r="H7370" s="13"/>
      <c r="I7370" s="13"/>
      <c r="J7370" s="13"/>
      <c r="K7370" s="13"/>
      <c r="L7370" s="13"/>
      <c r="M7370" s="13"/>
      <c r="N7370" s="13"/>
      <c r="O7370" s="13"/>
      <c r="P7370" s="13"/>
      <c r="Q7370" s="13"/>
      <c r="R7370" s="13"/>
    </row>
    <row r="7371" spans="8:18" x14ac:dyDescent="0.35"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</row>
    <row r="7372" spans="8:18" x14ac:dyDescent="0.35"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</row>
    <row r="7373" spans="8:18" x14ac:dyDescent="0.35"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</row>
    <row r="7374" spans="8:18" x14ac:dyDescent="0.35"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</row>
    <row r="7375" spans="8:18" x14ac:dyDescent="0.35"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</row>
    <row r="7376" spans="8:18" x14ac:dyDescent="0.35"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</row>
    <row r="7377" spans="8:18" x14ac:dyDescent="0.35"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</row>
    <row r="7378" spans="8:18" x14ac:dyDescent="0.35"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</row>
    <row r="7379" spans="8:18" x14ac:dyDescent="0.35"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</row>
    <row r="7380" spans="8:18" x14ac:dyDescent="0.35"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</row>
    <row r="7381" spans="8:18" x14ac:dyDescent="0.35"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</row>
    <row r="7382" spans="8:18" x14ac:dyDescent="0.35"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</row>
    <row r="7383" spans="8:18" x14ac:dyDescent="0.35"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</row>
    <row r="7384" spans="8:18" x14ac:dyDescent="0.35"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</row>
    <row r="7385" spans="8:18" x14ac:dyDescent="0.35"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</row>
    <row r="7386" spans="8:18" x14ac:dyDescent="0.35"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</row>
    <row r="7387" spans="8:18" x14ac:dyDescent="0.35">
      <c r="H7387" s="13"/>
      <c r="I7387" s="13"/>
      <c r="J7387" s="13"/>
      <c r="K7387" s="13"/>
      <c r="L7387" s="13"/>
      <c r="M7387" s="13"/>
      <c r="N7387" s="13"/>
      <c r="O7387" s="13"/>
      <c r="P7387" s="13"/>
      <c r="Q7387" s="13"/>
      <c r="R7387" s="13"/>
    </row>
    <row r="7388" spans="8:18" x14ac:dyDescent="0.35"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</row>
    <row r="7389" spans="8:18" x14ac:dyDescent="0.35"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</row>
    <row r="7390" spans="8:18" x14ac:dyDescent="0.35">
      <c r="H7390" s="13"/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</row>
    <row r="7391" spans="8:18" x14ac:dyDescent="0.35">
      <c r="H7391" s="13"/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</row>
    <row r="7392" spans="8:18" x14ac:dyDescent="0.35"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</row>
    <row r="7393" spans="8:18" x14ac:dyDescent="0.35">
      <c r="H7393" s="13"/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</row>
    <row r="7394" spans="8:18" x14ac:dyDescent="0.35">
      <c r="H7394" s="13"/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</row>
    <row r="7395" spans="8:18" x14ac:dyDescent="0.35"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</row>
    <row r="7396" spans="8:18" x14ac:dyDescent="0.35">
      <c r="H7396" s="13"/>
      <c r="I7396" s="13"/>
      <c r="J7396" s="13"/>
      <c r="K7396" s="13"/>
      <c r="L7396" s="13"/>
      <c r="M7396" s="13"/>
      <c r="N7396" s="13"/>
      <c r="O7396" s="13"/>
      <c r="P7396" s="13"/>
      <c r="Q7396" s="13"/>
      <c r="R7396" s="13"/>
    </row>
    <row r="7397" spans="8:18" x14ac:dyDescent="0.35"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</row>
    <row r="7398" spans="8:18" x14ac:dyDescent="0.35">
      <c r="H7398" s="13"/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</row>
    <row r="7399" spans="8:18" x14ac:dyDescent="0.35"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</row>
    <row r="7400" spans="8:18" x14ac:dyDescent="0.35">
      <c r="H7400" s="13"/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</row>
    <row r="7401" spans="8:18" x14ac:dyDescent="0.35">
      <c r="H7401" s="13"/>
      <c r="I7401" s="13"/>
      <c r="J7401" s="13"/>
      <c r="K7401" s="13"/>
      <c r="L7401" s="13"/>
      <c r="M7401" s="13"/>
      <c r="N7401" s="13"/>
      <c r="O7401" s="13"/>
      <c r="P7401" s="13"/>
      <c r="Q7401" s="13"/>
      <c r="R7401" s="13"/>
    </row>
    <row r="7402" spans="8:18" x14ac:dyDescent="0.35">
      <c r="H7402" s="13"/>
      <c r="I7402" s="13"/>
      <c r="J7402" s="13"/>
      <c r="K7402" s="13"/>
      <c r="L7402" s="13"/>
      <c r="M7402" s="13"/>
      <c r="N7402" s="13"/>
      <c r="O7402" s="13"/>
      <c r="P7402" s="13"/>
      <c r="Q7402" s="13"/>
      <c r="R7402" s="13"/>
    </row>
    <row r="7403" spans="8:18" x14ac:dyDescent="0.35">
      <c r="H7403" s="13"/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</row>
    <row r="7404" spans="8:18" x14ac:dyDescent="0.35">
      <c r="H7404" s="13"/>
      <c r="I7404" s="13"/>
      <c r="J7404" s="13"/>
      <c r="K7404" s="13"/>
      <c r="L7404" s="13"/>
      <c r="M7404" s="13"/>
      <c r="N7404" s="13"/>
      <c r="O7404" s="13"/>
      <c r="P7404" s="13"/>
      <c r="Q7404" s="13"/>
      <c r="R7404" s="13"/>
    </row>
    <row r="7405" spans="8:18" x14ac:dyDescent="0.35">
      <c r="H7405" s="13"/>
      <c r="I7405" s="13"/>
      <c r="J7405" s="13"/>
      <c r="K7405" s="13"/>
      <c r="L7405" s="13"/>
      <c r="M7405" s="13"/>
      <c r="N7405" s="13"/>
      <c r="O7405" s="13"/>
      <c r="P7405" s="13"/>
      <c r="Q7405" s="13"/>
      <c r="R7405" s="13"/>
    </row>
    <row r="7406" spans="8:18" x14ac:dyDescent="0.35">
      <c r="H7406" s="13"/>
      <c r="I7406" s="13"/>
      <c r="J7406" s="13"/>
      <c r="K7406" s="13"/>
      <c r="L7406" s="13"/>
      <c r="M7406" s="13"/>
      <c r="N7406" s="13"/>
      <c r="O7406" s="13"/>
      <c r="P7406" s="13"/>
      <c r="Q7406" s="13"/>
      <c r="R7406" s="13"/>
    </row>
    <row r="7407" spans="8:18" x14ac:dyDescent="0.35">
      <c r="H7407" s="13"/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</row>
    <row r="7408" spans="8:18" x14ac:dyDescent="0.35">
      <c r="H7408" s="13"/>
      <c r="I7408" s="13"/>
      <c r="J7408" s="13"/>
      <c r="K7408" s="13"/>
      <c r="L7408" s="13"/>
      <c r="M7408" s="13"/>
      <c r="N7408" s="13"/>
      <c r="O7408" s="13"/>
      <c r="P7408" s="13"/>
      <c r="Q7408" s="13"/>
      <c r="R7408" s="13"/>
    </row>
    <row r="7409" spans="8:18" x14ac:dyDescent="0.35">
      <c r="H7409" s="13"/>
      <c r="I7409" s="13"/>
      <c r="J7409" s="13"/>
      <c r="K7409" s="13"/>
      <c r="L7409" s="13"/>
      <c r="M7409" s="13"/>
      <c r="N7409" s="13"/>
      <c r="O7409" s="13"/>
      <c r="P7409" s="13"/>
      <c r="Q7409" s="13"/>
      <c r="R7409" s="13"/>
    </row>
    <row r="7410" spans="8:18" x14ac:dyDescent="0.35">
      <c r="H7410" s="13"/>
      <c r="I7410" s="13"/>
      <c r="J7410" s="13"/>
      <c r="K7410" s="13"/>
      <c r="L7410" s="13"/>
      <c r="M7410" s="13"/>
      <c r="N7410" s="13"/>
      <c r="O7410" s="13"/>
      <c r="P7410" s="13"/>
      <c r="Q7410" s="13"/>
      <c r="R7410" s="13"/>
    </row>
    <row r="7411" spans="8:18" x14ac:dyDescent="0.35"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</row>
    <row r="7412" spans="8:18" x14ac:dyDescent="0.35">
      <c r="H7412" s="13"/>
      <c r="I7412" s="13"/>
      <c r="J7412" s="13"/>
      <c r="K7412" s="13"/>
      <c r="L7412" s="13"/>
      <c r="M7412" s="13"/>
      <c r="N7412" s="13"/>
      <c r="O7412" s="13"/>
      <c r="P7412" s="13"/>
      <c r="Q7412" s="13"/>
      <c r="R7412" s="13"/>
    </row>
    <row r="7413" spans="8:18" x14ac:dyDescent="0.35"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</row>
    <row r="7414" spans="8:18" x14ac:dyDescent="0.35">
      <c r="H7414" s="13"/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</row>
    <row r="7415" spans="8:18" x14ac:dyDescent="0.35">
      <c r="H7415" s="13"/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</row>
    <row r="7416" spans="8:18" x14ac:dyDescent="0.35"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</row>
    <row r="7417" spans="8:18" x14ac:dyDescent="0.35">
      <c r="H7417" s="13"/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</row>
    <row r="7418" spans="8:18" x14ac:dyDescent="0.35">
      <c r="H7418" s="13"/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</row>
    <row r="7419" spans="8:18" x14ac:dyDescent="0.35"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</row>
    <row r="7420" spans="8:18" x14ac:dyDescent="0.35"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</row>
    <row r="7421" spans="8:18" x14ac:dyDescent="0.35"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</row>
    <row r="7422" spans="8:18" x14ac:dyDescent="0.35"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</row>
    <row r="7423" spans="8:18" x14ac:dyDescent="0.35"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</row>
    <row r="7424" spans="8:18" x14ac:dyDescent="0.35"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</row>
    <row r="7425" spans="8:18" x14ac:dyDescent="0.35"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</row>
    <row r="7426" spans="8:18" x14ac:dyDescent="0.35"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</row>
    <row r="7427" spans="8:18" x14ac:dyDescent="0.35"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</row>
    <row r="7428" spans="8:18" x14ac:dyDescent="0.35"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</row>
    <row r="7429" spans="8:18" x14ac:dyDescent="0.35"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</row>
    <row r="7430" spans="8:18" x14ac:dyDescent="0.35"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</row>
    <row r="7431" spans="8:18" x14ac:dyDescent="0.35"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</row>
    <row r="7432" spans="8:18" x14ac:dyDescent="0.35"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</row>
    <row r="7433" spans="8:18" x14ac:dyDescent="0.35">
      <c r="H7433" s="13"/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</row>
    <row r="7434" spans="8:18" x14ac:dyDescent="0.35">
      <c r="H7434" s="13"/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</row>
    <row r="7435" spans="8:18" x14ac:dyDescent="0.35">
      <c r="H7435" s="13"/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</row>
    <row r="7436" spans="8:18" x14ac:dyDescent="0.35">
      <c r="H7436" s="13"/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</row>
    <row r="7437" spans="8:18" x14ac:dyDescent="0.35">
      <c r="H7437" s="13"/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</row>
    <row r="7438" spans="8:18" x14ac:dyDescent="0.35"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</row>
    <row r="7439" spans="8:18" x14ac:dyDescent="0.35">
      <c r="H7439" s="13"/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</row>
    <row r="7440" spans="8:18" x14ac:dyDescent="0.35">
      <c r="H7440" s="13"/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</row>
    <row r="7441" spans="8:18" x14ac:dyDescent="0.35">
      <c r="H7441" s="13"/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</row>
    <row r="7442" spans="8:18" x14ac:dyDescent="0.35">
      <c r="H7442" s="13"/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</row>
    <row r="7443" spans="8:18" x14ac:dyDescent="0.35">
      <c r="H7443" s="13"/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</row>
    <row r="7444" spans="8:18" x14ac:dyDescent="0.35"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</row>
    <row r="7445" spans="8:18" x14ac:dyDescent="0.35"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</row>
    <row r="7446" spans="8:18" x14ac:dyDescent="0.35">
      <c r="H7446" s="13"/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</row>
    <row r="7447" spans="8:18" x14ac:dyDescent="0.35">
      <c r="H7447" s="13"/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</row>
    <row r="7448" spans="8:18" x14ac:dyDescent="0.35">
      <c r="H7448" s="13"/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</row>
    <row r="7449" spans="8:18" x14ac:dyDescent="0.35">
      <c r="H7449" s="13"/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</row>
    <row r="7450" spans="8:18" x14ac:dyDescent="0.35"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</row>
    <row r="7451" spans="8:18" x14ac:dyDescent="0.35">
      <c r="H7451" s="13"/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</row>
    <row r="7452" spans="8:18" x14ac:dyDescent="0.35">
      <c r="H7452" s="13"/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</row>
    <row r="7453" spans="8:18" x14ac:dyDescent="0.35">
      <c r="H7453" s="13"/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</row>
    <row r="7454" spans="8:18" x14ac:dyDescent="0.35">
      <c r="H7454" s="13"/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</row>
    <row r="7455" spans="8:18" x14ac:dyDescent="0.35"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</row>
    <row r="7456" spans="8:18" x14ac:dyDescent="0.35"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</row>
    <row r="7457" spans="8:18" x14ac:dyDescent="0.35"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</row>
    <row r="7458" spans="8:18" x14ac:dyDescent="0.35"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</row>
    <row r="7459" spans="8:18" x14ac:dyDescent="0.35">
      <c r="H7459" s="13"/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</row>
    <row r="7460" spans="8:18" x14ac:dyDescent="0.35">
      <c r="H7460" s="13"/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</row>
    <row r="7461" spans="8:18" x14ac:dyDescent="0.35">
      <c r="H7461" s="13"/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</row>
    <row r="7462" spans="8:18" x14ac:dyDescent="0.35"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</row>
    <row r="7463" spans="8:18" x14ac:dyDescent="0.35">
      <c r="H7463" s="13"/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</row>
    <row r="7464" spans="8:18" x14ac:dyDescent="0.35">
      <c r="H7464" s="13"/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</row>
    <row r="7465" spans="8:18" x14ac:dyDescent="0.35">
      <c r="H7465" s="13"/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</row>
    <row r="7466" spans="8:18" x14ac:dyDescent="0.35">
      <c r="H7466" s="13"/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</row>
    <row r="7467" spans="8:18" x14ac:dyDescent="0.35">
      <c r="H7467" s="13"/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</row>
    <row r="7468" spans="8:18" x14ac:dyDescent="0.35">
      <c r="H7468" s="13"/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</row>
    <row r="7469" spans="8:18" x14ac:dyDescent="0.35">
      <c r="H7469" s="13"/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</row>
    <row r="7470" spans="8:18" x14ac:dyDescent="0.35">
      <c r="H7470" s="13"/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</row>
    <row r="7471" spans="8:18" x14ac:dyDescent="0.35">
      <c r="H7471" s="13"/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</row>
    <row r="7472" spans="8:18" x14ac:dyDescent="0.35">
      <c r="H7472" s="13"/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</row>
    <row r="7473" spans="8:18" x14ac:dyDescent="0.35"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</row>
    <row r="7474" spans="8:18" x14ac:dyDescent="0.35">
      <c r="H7474" s="13"/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</row>
    <row r="7475" spans="8:18" x14ac:dyDescent="0.35">
      <c r="H7475" s="13"/>
      <c r="I7475" s="13"/>
      <c r="J7475" s="13"/>
      <c r="K7475" s="13"/>
      <c r="L7475" s="13"/>
      <c r="M7475" s="13"/>
      <c r="N7475" s="13"/>
      <c r="O7475" s="13"/>
      <c r="P7475" s="13"/>
      <c r="Q7475" s="13"/>
      <c r="R7475" s="13"/>
    </row>
    <row r="7476" spans="8:18" x14ac:dyDescent="0.35">
      <c r="H7476" s="13"/>
      <c r="I7476" s="13"/>
      <c r="J7476" s="13"/>
      <c r="K7476" s="13"/>
      <c r="L7476" s="13"/>
      <c r="M7476" s="13"/>
      <c r="N7476" s="13"/>
      <c r="O7476" s="13"/>
      <c r="P7476" s="13"/>
      <c r="Q7476" s="13"/>
      <c r="R7476" s="13"/>
    </row>
    <row r="7477" spans="8:18" x14ac:dyDescent="0.35">
      <c r="H7477" s="13"/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</row>
    <row r="7478" spans="8:18" x14ac:dyDescent="0.35">
      <c r="H7478" s="13"/>
      <c r="I7478" s="13"/>
      <c r="J7478" s="13"/>
      <c r="K7478" s="13"/>
      <c r="L7478" s="13"/>
      <c r="M7478" s="13"/>
      <c r="N7478" s="13"/>
      <c r="O7478" s="13"/>
      <c r="P7478" s="13"/>
      <c r="Q7478" s="13"/>
      <c r="R7478" s="13"/>
    </row>
    <row r="7479" spans="8:18" x14ac:dyDescent="0.35">
      <c r="H7479" s="13"/>
      <c r="I7479" s="13"/>
      <c r="J7479" s="13"/>
      <c r="K7479" s="13"/>
      <c r="L7479" s="13"/>
      <c r="M7479" s="13"/>
      <c r="N7479" s="13"/>
      <c r="O7479" s="13"/>
      <c r="P7479" s="13"/>
      <c r="Q7479" s="13"/>
      <c r="R7479" s="13"/>
    </row>
    <row r="7480" spans="8:18" x14ac:dyDescent="0.35">
      <c r="H7480" s="13"/>
      <c r="I7480" s="13"/>
      <c r="J7480" s="13"/>
      <c r="K7480" s="13"/>
      <c r="L7480" s="13"/>
      <c r="M7480" s="13"/>
      <c r="N7480" s="13"/>
      <c r="O7480" s="13"/>
      <c r="P7480" s="13"/>
      <c r="Q7480" s="13"/>
      <c r="R7480" s="13"/>
    </row>
    <row r="7481" spans="8:18" x14ac:dyDescent="0.35">
      <c r="H7481" s="13"/>
      <c r="I7481" s="13"/>
      <c r="J7481" s="13"/>
      <c r="K7481" s="13"/>
      <c r="L7481" s="13"/>
      <c r="M7481" s="13"/>
      <c r="N7481" s="13"/>
      <c r="O7481" s="13"/>
      <c r="P7481" s="13"/>
      <c r="Q7481" s="13"/>
      <c r="R7481" s="13"/>
    </row>
    <row r="7482" spans="8:18" x14ac:dyDescent="0.35">
      <c r="H7482" s="13"/>
      <c r="I7482" s="13"/>
      <c r="J7482" s="13"/>
      <c r="K7482" s="13"/>
      <c r="L7482" s="13"/>
      <c r="M7482" s="13"/>
      <c r="N7482" s="13"/>
      <c r="O7482" s="13"/>
      <c r="P7482" s="13"/>
      <c r="Q7482" s="13"/>
      <c r="R7482" s="13"/>
    </row>
    <row r="7483" spans="8:18" x14ac:dyDescent="0.35">
      <c r="H7483" s="13"/>
      <c r="I7483" s="13"/>
      <c r="J7483" s="13"/>
      <c r="K7483" s="13"/>
      <c r="L7483" s="13"/>
      <c r="M7483" s="13"/>
      <c r="N7483" s="13"/>
      <c r="O7483" s="13"/>
      <c r="P7483" s="13"/>
      <c r="Q7483" s="13"/>
      <c r="R7483" s="13"/>
    </row>
    <row r="7484" spans="8:18" x14ac:dyDescent="0.35">
      <c r="H7484" s="13"/>
      <c r="I7484" s="13"/>
      <c r="J7484" s="13"/>
      <c r="K7484" s="13"/>
      <c r="L7484" s="13"/>
      <c r="M7484" s="13"/>
      <c r="N7484" s="13"/>
      <c r="O7484" s="13"/>
      <c r="P7484" s="13"/>
      <c r="Q7484" s="13"/>
      <c r="R7484" s="13"/>
    </row>
    <row r="7485" spans="8:18" x14ac:dyDescent="0.35">
      <c r="H7485" s="13"/>
      <c r="I7485" s="13"/>
      <c r="J7485" s="13"/>
      <c r="K7485" s="13"/>
      <c r="L7485" s="13"/>
      <c r="M7485" s="13"/>
      <c r="N7485" s="13"/>
      <c r="O7485" s="13"/>
      <c r="P7485" s="13"/>
      <c r="Q7485" s="13"/>
      <c r="R7485" s="13"/>
    </row>
    <row r="7486" spans="8:18" x14ac:dyDescent="0.35">
      <c r="H7486" s="13"/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</row>
    <row r="7487" spans="8:18" x14ac:dyDescent="0.35">
      <c r="H7487" s="13"/>
      <c r="I7487" s="13"/>
      <c r="J7487" s="13"/>
      <c r="K7487" s="13"/>
      <c r="L7487" s="13"/>
      <c r="M7487" s="13"/>
      <c r="N7487" s="13"/>
      <c r="O7487" s="13"/>
      <c r="P7487" s="13"/>
      <c r="Q7487" s="13"/>
      <c r="R7487" s="13"/>
    </row>
    <row r="7488" spans="8:18" x14ac:dyDescent="0.35">
      <c r="H7488" s="13"/>
      <c r="I7488" s="13"/>
      <c r="J7488" s="13"/>
      <c r="K7488" s="13"/>
      <c r="L7488" s="13"/>
      <c r="M7488" s="13"/>
      <c r="N7488" s="13"/>
      <c r="O7488" s="13"/>
      <c r="P7488" s="13"/>
      <c r="Q7488" s="13"/>
      <c r="R7488" s="13"/>
    </row>
    <row r="7489" spans="8:18" x14ac:dyDescent="0.35">
      <c r="H7489" s="13"/>
      <c r="I7489" s="13"/>
      <c r="J7489" s="13"/>
      <c r="K7489" s="13"/>
      <c r="L7489" s="13"/>
      <c r="M7489" s="13"/>
      <c r="N7489" s="13"/>
      <c r="O7489" s="13"/>
      <c r="P7489" s="13"/>
      <c r="Q7489" s="13"/>
      <c r="R7489" s="13"/>
    </row>
    <row r="7490" spans="8:18" x14ac:dyDescent="0.35">
      <c r="H7490" s="13"/>
      <c r="I7490" s="13"/>
      <c r="J7490" s="13"/>
      <c r="K7490" s="13"/>
      <c r="L7490" s="13"/>
      <c r="M7490" s="13"/>
      <c r="N7490" s="13"/>
      <c r="O7490" s="13"/>
      <c r="P7490" s="13"/>
      <c r="Q7490" s="13"/>
      <c r="R7490" s="13"/>
    </row>
    <row r="7491" spans="8:18" x14ac:dyDescent="0.35">
      <c r="H7491" s="13"/>
      <c r="I7491" s="13"/>
      <c r="J7491" s="13"/>
      <c r="K7491" s="13"/>
      <c r="L7491" s="13"/>
      <c r="M7491" s="13"/>
      <c r="N7491" s="13"/>
      <c r="O7491" s="13"/>
      <c r="P7491" s="13"/>
      <c r="Q7491" s="13"/>
      <c r="R7491" s="13"/>
    </row>
    <row r="7492" spans="8:18" x14ac:dyDescent="0.35">
      <c r="H7492" s="13"/>
      <c r="I7492" s="13"/>
      <c r="J7492" s="13"/>
      <c r="K7492" s="13"/>
      <c r="L7492" s="13"/>
      <c r="M7492" s="13"/>
      <c r="N7492" s="13"/>
      <c r="O7492" s="13"/>
      <c r="P7492" s="13"/>
      <c r="Q7492" s="13"/>
      <c r="R7492" s="13"/>
    </row>
    <row r="7493" spans="8:18" x14ac:dyDescent="0.35">
      <c r="H7493" s="13"/>
      <c r="I7493" s="13"/>
      <c r="J7493" s="13"/>
      <c r="K7493" s="13"/>
      <c r="L7493" s="13"/>
      <c r="M7493" s="13"/>
      <c r="N7493" s="13"/>
      <c r="O7493" s="13"/>
      <c r="P7493" s="13"/>
      <c r="Q7493" s="13"/>
      <c r="R7493" s="13"/>
    </row>
    <row r="7494" spans="8:18" x14ac:dyDescent="0.35">
      <c r="H7494" s="13"/>
      <c r="I7494" s="13"/>
      <c r="J7494" s="13"/>
      <c r="K7494" s="13"/>
      <c r="L7494" s="13"/>
      <c r="M7494" s="13"/>
      <c r="N7494" s="13"/>
      <c r="O7494" s="13"/>
      <c r="P7494" s="13"/>
      <c r="Q7494" s="13"/>
      <c r="R7494" s="13"/>
    </row>
    <row r="7495" spans="8:18" x14ac:dyDescent="0.35">
      <c r="H7495" s="13"/>
      <c r="I7495" s="13"/>
      <c r="J7495" s="13"/>
      <c r="K7495" s="13"/>
      <c r="L7495" s="13"/>
      <c r="M7495" s="13"/>
      <c r="N7495" s="13"/>
      <c r="O7495" s="13"/>
      <c r="P7495" s="13"/>
      <c r="Q7495" s="13"/>
      <c r="R7495" s="13"/>
    </row>
    <row r="7496" spans="8:18" x14ac:dyDescent="0.35">
      <c r="H7496" s="13"/>
      <c r="I7496" s="13"/>
      <c r="J7496" s="13"/>
      <c r="K7496" s="13"/>
      <c r="L7496" s="13"/>
      <c r="M7496" s="13"/>
      <c r="N7496" s="13"/>
      <c r="O7496" s="13"/>
      <c r="P7496" s="13"/>
      <c r="Q7496" s="13"/>
      <c r="R7496" s="13"/>
    </row>
    <row r="7497" spans="8:18" x14ac:dyDescent="0.35">
      <c r="H7497" s="13"/>
      <c r="I7497" s="13"/>
      <c r="J7497" s="13"/>
      <c r="K7497" s="13"/>
      <c r="L7497" s="13"/>
      <c r="M7497" s="13"/>
      <c r="N7497" s="13"/>
      <c r="O7497" s="13"/>
      <c r="P7497" s="13"/>
      <c r="Q7497" s="13"/>
      <c r="R7497" s="13"/>
    </row>
    <row r="7498" spans="8:18" x14ac:dyDescent="0.35">
      <c r="H7498" s="13"/>
      <c r="I7498" s="13"/>
      <c r="J7498" s="13"/>
      <c r="K7498" s="13"/>
      <c r="L7498" s="13"/>
      <c r="M7498" s="13"/>
      <c r="N7498" s="13"/>
      <c r="O7498" s="13"/>
      <c r="P7498" s="13"/>
      <c r="Q7498" s="13"/>
      <c r="R7498" s="13"/>
    </row>
    <row r="7499" spans="8:18" x14ac:dyDescent="0.35">
      <c r="H7499" s="13"/>
      <c r="I7499" s="13"/>
      <c r="J7499" s="13"/>
      <c r="K7499" s="13"/>
      <c r="L7499" s="13"/>
      <c r="M7499" s="13"/>
      <c r="N7499" s="13"/>
      <c r="O7499" s="13"/>
      <c r="P7499" s="13"/>
      <c r="Q7499" s="13"/>
      <c r="R7499" s="13"/>
    </row>
    <row r="7500" spans="8:18" x14ac:dyDescent="0.35"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</row>
    <row r="7501" spans="8:18" x14ac:dyDescent="0.35">
      <c r="H7501" s="13"/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</row>
    <row r="7502" spans="8:18" x14ac:dyDescent="0.35">
      <c r="H7502" s="13"/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</row>
    <row r="7503" spans="8:18" x14ac:dyDescent="0.35"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</row>
    <row r="7504" spans="8:18" x14ac:dyDescent="0.35"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</row>
    <row r="7505" spans="8:18" x14ac:dyDescent="0.35"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</row>
    <row r="7506" spans="8:18" x14ac:dyDescent="0.35"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</row>
    <row r="7507" spans="8:18" x14ac:dyDescent="0.35"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</row>
    <row r="7508" spans="8:18" x14ac:dyDescent="0.35"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</row>
    <row r="7509" spans="8:18" x14ac:dyDescent="0.35"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</row>
    <row r="7510" spans="8:18" x14ac:dyDescent="0.35"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</row>
    <row r="7511" spans="8:18" x14ac:dyDescent="0.35"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</row>
    <row r="7512" spans="8:18" x14ac:dyDescent="0.35"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</row>
    <row r="7513" spans="8:18" x14ac:dyDescent="0.35"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</row>
    <row r="7514" spans="8:18" x14ac:dyDescent="0.35"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</row>
    <row r="7515" spans="8:18" x14ac:dyDescent="0.35"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</row>
    <row r="7516" spans="8:18" x14ac:dyDescent="0.35"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</row>
    <row r="7517" spans="8:18" x14ac:dyDescent="0.35">
      <c r="H7517" s="13"/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</row>
    <row r="7518" spans="8:18" x14ac:dyDescent="0.35">
      <c r="H7518" s="13"/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</row>
    <row r="7519" spans="8:18" x14ac:dyDescent="0.35">
      <c r="H7519" s="13"/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</row>
    <row r="7520" spans="8:18" x14ac:dyDescent="0.35">
      <c r="H7520" s="13"/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</row>
    <row r="7521" spans="8:18" x14ac:dyDescent="0.35">
      <c r="H7521" s="13"/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</row>
    <row r="7522" spans="8:18" x14ac:dyDescent="0.35"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</row>
    <row r="7523" spans="8:18" x14ac:dyDescent="0.35">
      <c r="H7523" s="13"/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</row>
    <row r="7524" spans="8:18" x14ac:dyDescent="0.35">
      <c r="H7524" s="13"/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</row>
    <row r="7525" spans="8:18" x14ac:dyDescent="0.35">
      <c r="H7525" s="13"/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</row>
    <row r="7526" spans="8:18" x14ac:dyDescent="0.35">
      <c r="H7526" s="13"/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</row>
    <row r="7527" spans="8:18" x14ac:dyDescent="0.35">
      <c r="H7527" s="13"/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</row>
    <row r="7528" spans="8:18" x14ac:dyDescent="0.35">
      <c r="H7528" s="13"/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</row>
    <row r="7529" spans="8:18" x14ac:dyDescent="0.35"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</row>
    <row r="7530" spans="8:18" x14ac:dyDescent="0.35">
      <c r="H7530" s="13"/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</row>
    <row r="7531" spans="8:18" x14ac:dyDescent="0.35">
      <c r="H7531" s="13"/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</row>
    <row r="7532" spans="8:18" x14ac:dyDescent="0.35">
      <c r="H7532" s="13"/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</row>
    <row r="7533" spans="8:18" x14ac:dyDescent="0.35">
      <c r="H7533" s="13"/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</row>
    <row r="7534" spans="8:18" x14ac:dyDescent="0.35"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</row>
    <row r="7535" spans="8:18" x14ac:dyDescent="0.35"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</row>
    <row r="7536" spans="8:18" x14ac:dyDescent="0.35">
      <c r="H7536" s="13"/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</row>
    <row r="7537" spans="8:18" x14ac:dyDescent="0.35">
      <c r="H7537" s="13"/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</row>
    <row r="7538" spans="8:18" x14ac:dyDescent="0.35">
      <c r="H7538" s="13"/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</row>
    <row r="7539" spans="8:18" x14ac:dyDescent="0.35"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</row>
    <row r="7540" spans="8:18" x14ac:dyDescent="0.35">
      <c r="H7540" s="13"/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</row>
    <row r="7541" spans="8:18" x14ac:dyDescent="0.35">
      <c r="H7541" s="13"/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</row>
    <row r="7542" spans="8:18" x14ac:dyDescent="0.35">
      <c r="H7542" s="13"/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</row>
    <row r="7543" spans="8:18" x14ac:dyDescent="0.35"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</row>
    <row r="7544" spans="8:18" x14ac:dyDescent="0.35"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</row>
    <row r="7545" spans="8:18" x14ac:dyDescent="0.35"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</row>
    <row r="7546" spans="8:18" x14ac:dyDescent="0.35"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</row>
    <row r="7547" spans="8:18" x14ac:dyDescent="0.35">
      <c r="H7547" s="13"/>
      <c r="I7547" s="13"/>
      <c r="J7547" s="13"/>
      <c r="K7547" s="13"/>
      <c r="L7547" s="13"/>
      <c r="M7547" s="13"/>
      <c r="N7547" s="13"/>
      <c r="O7547" s="13"/>
      <c r="P7547" s="13"/>
      <c r="Q7547" s="13"/>
      <c r="R7547" s="13"/>
    </row>
    <row r="7548" spans="8:18" x14ac:dyDescent="0.35"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</row>
    <row r="7549" spans="8:18" x14ac:dyDescent="0.35"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</row>
    <row r="7550" spans="8:18" x14ac:dyDescent="0.35"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</row>
    <row r="7551" spans="8:18" x14ac:dyDescent="0.35"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</row>
    <row r="7552" spans="8:18" x14ac:dyDescent="0.35"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</row>
    <row r="7553" spans="8:18" x14ac:dyDescent="0.35"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</row>
    <row r="7554" spans="8:18" x14ac:dyDescent="0.35"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</row>
    <row r="7555" spans="8:18" x14ac:dyDescent="0.35"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</row>
    <row r="7556" spans="8:18" x14ac:dyDescent="0.35"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</row>
    <row r="7557" spans="8:18" x14ac:dyDescent="0.35"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</row>
    <row r="7558" spans="8:18" x14ac:dyDescent="0.35"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</row>
    <row r="7559" spans="8:18" x14ac:dyDescent="0.35"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</row>
    <row r="7560" spans="8:18" x14ac:dyDescent="0.35"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</row>
    <row r="7561" spans="8:18" x14ac:dyDescent="0.35"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</row>
    <row r="7562" spans="8:18" x14ac:dyDescent="0.35"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</row>
    <row r="7563" spans="8:18" x14ac:dyDescent="0.35"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</row>
    <row r="7564" spans="8:18" x14ac:dyDescent="0.35"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</row>
    <row r="7565" spans="8:18" x14ac:dyDescent="0.35"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</row>
    <row r="7566" spans="8:18" x14ac:dyDescent="0.35">
      <c r="H7566" s="13"/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</row>
    <row r="7567" spans="8:18" x14ac:dyDescent="0.35">
      <c r="H7567" s="13"/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</row>
    <row r="7568" spans="8:18" x14ac:dyDescent="0.35"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</row>
    <row r="7569" spans="8:18" x14ac:dyDescent="0.35">
      <c r="H7569" s="13"/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</row>
    <row r="7570" spans="8:18" x14ac:dyDescent="0.35">
      <c r="H7570" s="13"/>
      <c r="I7570" s="13"/>
      <c r="J7570" s="13"/>
      <c r="K7570" s="13"/>
      <c r="L7570" s="13"/>
      <c r="M7570" s="13"/>
      <c r="N7570" s="13"/>
      <c r="O7570" s="13"/>
      <c r="P7570" s="13"/>
      <c r="Q7570" s="13"/>
      <c r="R7570" s="13"/>
    </row>
    <row r="7571" spans="8:18" x14ac:dyDescent="0.35">
      <c r="H7571" s="13"/>
      <c r="I7571" s="13"/>
      <c r="J7571" s="13"/>
      <c r="K7571" s="13"/>
      <c r="L7571" s="13"/>
      <c r="M7571" s="13"/>
      <c r="N7571" s="13"/>
      <c r="O7571" s="13"/>
      <c r="P7571" s="13"/>
      <c r="Q7571" s="13"/>
      <c r="R7571" s="13"/>
    </row>
    <row r="7572" spans="8:18" x14ac:dyDescent="0.35">
      <c r="H7572" s="13"/>
      <c r="I7572" s="13"/>
      <c r="J7572" s="13"/>
      <c r="K7572" s="13"/>
      <c r="L7572" s="13"/>
      <c r="M7572" s="13"/>
      <c r="N7572" s="13"/>
      <c r="O7572" s="13"/>
      <c r="P7572" s="13"/>
      <c r="Q7572" s="13"/>
      <c r="R7572" s="13"/>
    </row>
    <row r="7573" spans="8:18" x14ac:dyDescent="0.35">
      <c r="H7573" s="13"/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</row>
    <row r="7574" spans="8:18" x14ac:dyDescent="0.35">
      <c r="H7574" s="13"/>
      <c r="I7574" s="13"/>
      <c r="J7574" s="13"/>
      <c r="K7574" s="13"/>
      <c r="L7574" s="13"/>
      <c r="M7574" s="13"/>
      <c r="N7574" s="13"/>
      <c r="O7574" s="13"/>
      <c r="P7574" s="13"/>
      <c r="Q7574" s="13"/>
      <c r="R7574" s="13"/>
    </row>
    <row r="7575" spans="8:18" x14ac:dyDescent="0.35">
      <c r="H7575" s="13"/>
      <c r="I7575" s="13"/>
      <c r="J7575" s="13"/>
      <c r="K7575" s="13"/>
      <c r="L7575" s="13"/>
      <c r="M7575" s="13"/>
      <c r="N7575" s="13"/>
      <c r="O7575" s="13"/>
      <c r="P7575" s="13"/>
      <c r="Q7575" s="13"/>
      <c r="R7575" s="13"/>
    </row>
    <row r="7576" spans="8:18" x14ac:dyDescent="0.35">
      <c r="H7576" s="13"/>
      <c r="I7576" s="13"/>
      <c r="J7576" s="13"/>
      <c r="K7576" s="13"/>
      <c r="L7576" s="13"/>
      <c r="M7576" s="13"/>
      <c r="N7576" s="13"/>
      <c r="O7576" s="13"/>
      <c r="P7576" s="13"/>
      <c r="Q7576" s="13"/>
      <c r="R7576" s="13"/>
    </row>
    <row r="7577" spans="8:18" x14ac:dyDescent="0.35">
      <c r="H7577" s="13"/>
      <c r="I7577" s="13"/>
      <c r="J7577" s="13"/>
      <c r="K7577" s="13"/>
      <c r="L7577" s="13"/>
      <c r="M7577" s="13"/>
      <c r="N7577" s="13"/>
      <c r="O7577" s="13"/>
      <c r="P7577" s="13"/>
      <c r="Q7577" s="13"/>
      <c r="R7577" s="13"/>
    </row>
    <row r="7578" spans="8:18" x14ac:dyDescent="0.35">
      <c r="H7578" s="13"/>
      <c r="I7578" s="13"/>
      <c r="J7578" s="13"/>
      <c r="K7578" s="13"/>
      <c r="L7578" s="13"/>
      <c r="M7578" s="13"/>
      <c r="N7578" s="13"/>
      <c r="O7578" s="13"/>
      <c r="P7578" s="13"/>
      <c r="Q7578" s="13"/>
      <c r="R7578" s="13"/>
    </row>
    <row r="7579" spans="8:18" x14ac:dyDescent="0.35">
      <c r="H7579" s="13"/>
      <c r="I7579" s="13"/>
      <c r="J7579" s="13"/>
      <c r="K7579" s="13"/>
      <c r="L7579" s="13"/>
      <c r="M7579" s="13"/>
      <c r="N7579" s="13"/>
      <c r="O7579" s="13"/>
      <c r="P7579" s="13"/>
      <c r="Q7579" s="13"/>
      <c r="R7579" s="13"/>
    </row>
    <row r="7580" spans="8:18" x14ac:dyDescent="0.35">
      <c r="H7580" s="13"/>
      <c r="I7580" s="13"/>
      <c r="J7580" s="13"/>
      <c r="K7580" s="13"/>
      <c r="L7580" s="13"/>
      <c r="M7580" s="13"/>
      <c r="N7580" s="13"/>
      <c r="O7580" s="13"/>
      <c r="P7580" s="13"/>
      <c r="Q7580" s="13"/>
      <c r="R7580" s="13"/>
    </row>
    <row r="7581" spans="8:18" x14ac:dyDescent="0.35">
      <c r="H7581" s="13"/>
      <c r="I7581" s="13"/>
      <c r="J7581" s="13"/>
      <c r="K7581" s="13"/>
      <c r="L7581" s="13"/>
      <c r="M7581" s="13"/>
      <c r="N7581" s="13"/>
      <c r="O7581" s="13"/>
      <c r="P7581" s="13"/>
      <c r="Q7581" s="13"/>
      <c r="R7581" s="13"/>
    </row>
    <row r="7582" spans="8:18" x14ac:dyDescent="0.35">
      <c r="H7582" s="13"/>
      <c r="I7582" s="13"/>
      <c r="J7582" s="13"/>
      <c r="K7582" s="13"/>
      <c r="L7582" s="13"/>
      <c r="M7582" s="13"/>
      <c r="N7582" s="13"/>
      <c r="O7582" s="13"/>
      <c r="P7582" s="13"/>
      <c r="Q7582" s="13"/>
      <c r="R7582" s="13"/>
    </row>
    <row r="7583" spans="8:18" x14ac:dyDescent="0.35">
      <c r="H7583" s="13"/>
      <c r="I7583" s="13"/>
      <c r="J7583" s="13"/>
      <c r="K7583" s="13"/>
      <c r="L7583" s="13"/>
      <c r="M7583" s="13"/>
      <c r="N7583" s="13"/>
      <c r="O7583" s="13"/>
      <c r="P7583" s="13"/>
      <c r="Q7583" s="13"/>
      <c r="R7583" s="13"/>
    </row>
    <row r="7584" spans="8:18" x14ac:dyDescent="0.35">
      <c r="H7584" s="13"/>
      <c r="I7584" s="13"/>
      <c r="J7584" s="13"/>
      <c r="K7584" s="13"/>
      <c r="L7584" s="13"/>
      <c r="M7584" s="13"/>
      <c r="N7584" s="13"/>
      <c r="O7584" s="13"/>
      <c r="P7584" s="13"/>
      <c r="Q7584" s="13"/>
      <c r="R7584" s="13"/>
    </row>
    <row r="7585" spans="8:18" x14ac:dyDescent="0.35"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</row>
    <row r="7586" spans="8:18" x14ac:dyDescent="0.35">
      <c r="H7586" s="13"/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</row>
    <row r="7587" spans="8:18" x14ac:dyDescent="0.35">
      <c r="H7587" s="13"/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</row>
    <row r="7588" spans="8:18" x14ac:dyDescent="0.35">
      <c r="H7588" s="13"/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</row>
    <row r="7589" spans="8:18" x14ac:dyDescent="0.35"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</row>
    <row r="7590" spans="8:18" x14ac:dyDescent="0.35"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</row>
    <row r="7591" spans="8:18" x14ac:dyDescent="0.35">
      <c r="H7591" s="13"/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</row>
    <row r="7592" spans="8:18" x14ac:dyDescent="0.35"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</row>
    <row r="7593" spans="8:18" x14ac:dyDescent="0.35">
      <c r="H7593" s="13"/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</row>
    <row r="7594" spans="8:18" x14ac:dyDescent="0.35">
      <c r="H7594" s="13"/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</row>
    <row r="7595" spans="8:18" x14ac:dyDescent="0.35"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</row>
    <row r="7596" spans="8:18" x14ac:dyDescent="0.35">
      <c r="H7596" s="13"/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</row>
    <row r="7597" spans="8:18" x14ac:dyDescent="0.35">
      <c r="H7597" s="13"/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</row>
    <row r="7598" spans="8:18" x14ac:dyDescent="0.35"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</row>
    <row r="7599" spans="8:18" x14ac:dyDescent="0.35"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</row>
    <row r="7600" spans="8:18" x14ac:dyDescent="0.35"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</row>
    <row r="7601" spans="8:18" x14ac:dyDescent="0.35">
      <c r="H7601" s="13"/>
      <c r="I7601" s="13"/>
      <c r="J7601" s="13"/>
      <c r="K7601" s="13"/>
      <c r="L7601" s="13"/>
      <c r="M7601" s="13"/>
      <c r="N7601" s="13"/>
      <c r="O7601" s="13"/>
      <c r="P7601" s="13"/>
      <c r="Q7601" s="13"/>
      <c r="R7601" s="13"/>
    </row>
    <row r="7602" spans="8:18" x14ac:dyDescent="0.35"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</row>
    <row r="7603" spans="8:18" x14ac:dyDescent="0.35"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</row>
    <row r="7604" spans="8:18" x14ac:dyDescent="0.35"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</row>
    <row r="7605" spans="8:18" x14ac:dyDescent="0.35">
      <c r="H7605" s="13"/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</row>
    <row r="7606" spans="8:18" x14ac:dyDescent="0.35"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</row>
    <row r="7607" spans="8:18" x14ac:dyDescent="0.35">
      <c r="H7607" s="13"/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</row>
    <row r="7608" spans="8:18" x14ac:dyDescent="0.35">
      <c r="H7608" s="13"/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</row>
    <row r="7609" spans="8:18" x14ac:dyDescent="0.35">
      <c r="H7609" s="13"/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</row>
    <row r="7610" spans="8:18" x14ac:dyDescent="0.35">
      <c r="H7610" s="13"/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</row>
    <row r="7611" spans="8:18" x14ac:dyDescent="0.35"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</row>
    <row r="7612" spans="8:18" x14ac:dyDescent="0.35">
      <c r="H7612" s="13"/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</row>
    <row r="7613" spans="8:18" x14ac:dyDescent="0.35">
      <c r="H7613" s="13"/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</row>
    <row r="7614" spans="8:18" x14ac:dyDescent="0.35"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</row>
    <row r="7615" spans="8:18" x14ac:dyDescent="0.35"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</row>
    <row r="7616" spans="8:18" x14ac:dyDescent="0.35"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</row>
    <row r="7617" spans="8:18" x14ac:dyDescent="0.35"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</row>
    <row r="7618" spans="8:18" x14ac:dyDescent="0.35"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</row>
    <row r="7619" spans="8:18" x14ac:dyDescent="0.35"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</row>
    <row r="7620" spans="8:18" x14ac:dyDescent="0.35">
      <c r="H7620" s="13"/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</row>
    <row r="7621" spans="8:18" x14ac:dyDescent="0.35"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</row>
    <row r="7622" spans="8:18" x14ac:dyDescent="0.35">
      <c r="H7622" s="13"/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</row>
    <row r="7623" spans="8:18" x14ac:dyDescent="0.35">
      <c r="H7623" s="13"/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</row>
    <row r="7624" spans="8:18" x14ac:dyDescent="0.35">
      <c r="H7624" s="13"/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</row>
    <row r="7625" spans="8:18" x14ac:dyDescent="0.35"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</row>
    <row r="7626" spans="8:18" x14ac:dyDescent="0.35"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</row>
    <row r="7627" spans="8:18" x14ac:dyDescent="0.35">
      <c r="H7627" s="13"/>
      <c r="I7627" s="13"/>
      <c r="J7627" s="13"/>
      <c r="K7627" s="13"/>
      <c r="L7627" s="13"/>
      <c r="M7627" s="13"/>
      <c r="N7627" s="13"/>
      <c r="O7627" s="13"/>
      <c r="P7627" s="13"/>
      <c r="Q7627" s="13"/>
      <c r="R7627" s="13"/>
    </row>
    <row r="7628" spans="8:18" x14ac:dyDescent="0.35"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</row>
    <row r="7629" spans="8:18" x14ac:dyDescent="0.35"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</row>
    <row r="7630" spans="8:18" x14ac:dyDescent="0.35"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</row>
    <row r="7631" spans="8:18" x14ac:dyDescent="0.35"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</row>
    <row r="7632" spans="8:18" x14ac:dyDescent="0.35">
      <c r="H7632" s="13"/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</row>
    <row r="7633" spans="8:18" x14ac:dyDescent="0.35">
      <c r="H7633" s="13"/>
      <c r="I7633" s="13"/>
      <c r="J7633" s="13"/>
      <c r="K7633" s="13"/>
      <c r="L7633" s="13"/>
      <c r="M7633" s="13"/>
      <c r="N7633" s="13"/>
      <c r="O7633" s="13"/>
      <c r="P7633" s="13"/>
      <c r="Q7633" s="13"/>
      <c r="R7633" s="13"/>
    </row>
    <row r="7634" spans="8:18" x14ac:dyDescent="0.35">
      <c r="H7634" s="13"/>
      <c r="I7634" s="13"/>
      <c r="J7634" s="13"/>
      <c r="K7634" s="13"/>
      <c r="L7634" s="13"/>
      <c r="M7634" s="13"/>
      <c r="N7634" s="13"/>
      <c r="O7634" s="13"/>
      <c r="P7634" s="13"/>
      <c r="Q7634" s="13"/>
      <c r="R7634" s="13"/>
    </row>
    <row r="7635" spans="8:18" x14ac:dyDescent="0.35">
      <c r="H7635" s="13"/>
      <c r="I7635" s="13"/>
      <c r="J7635" s="13"/>
      <c r="K7635" s="13"/>
      <c r="L7635" s="13"/>
      <c r="M7635" s="13"/>
      <c r="N7635" s="13"/>
      <c r="O7635" s="13"/>
      <c r="P7635" s="13"/>
      <c r="Q7635" s="13"/>
      <c r="R7635" s="13"/>
    </row>
    <row r="7636" spans="8:18" x14ac:dyDescent="0.35">
      <c r="H7636" s="13"/>
      <c r="I7636" s="13"/>
      <c r="J7636" s="13"/>
      <c r="K7636" s="13"/>
      <c r="L7636" s="13"/>
      <c r="M7636" s="13"/>
      <c r="N7636" s="13"/>
      <c r="O7636" s="13"/>
      <c r="P7636" s="13"/>
      <c r="Q7636" s="13"/>
      <c r="R7636" s="13"/>
    </row>
    <row r="7637" spans="8:18" x14ac:dyDescent="0.35">
      <c r="H7637" s="13"/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</row>
    <row r="7638" spans="8:18" x14ac:dyDescent="0.35">
      <c r="H7638" s="13"/>
      <c r="I7638" s="13"/>
      <c r="J7638" s="13"/>
      <c r="K7638" s="13"/>
      <c r="L7638" s="13"/>
      <c r="M7638" s="13"/>
      <c r="N7638" s="13"/>
      <c r="O7638" s="13"/>
      <c r="P7638" s="13"/>
      <c r="Q7638" s="13"/>
      <c r="R7638" s="13"/>
    </row>
    <row r="7639" spans="8:18" x14ac:dyDescent="0.35">
      <c r="H7639" s="13"/>
      <c r="I7639" s="13"/>
      <c r="J7639" s="13"/>
      <c r="K7639" s="13"/>
      <c r="L7639" s="13"/>
      <c r="M7639" s="13"/>
      <c r="N7639" s="13"/>
      <c r="O7639" s="13"/>
      <c r="P7639" s="13"/>
      <c r="Q7639" s="13"/>
      <c r="R7639" s="13"/>
    </row>
    <row r="7640" spans="8:18" x14ac:dyDescent="0.35">
      <c r="H7640" s="13"/>
      <c r="I7640" s="13"/>
      <c r="J7640" s="13"/>
      <c r="K7640" s="13"/>
      <c r="L7640" s="13"/>
      <c r="M7640" s="13"/>
      <c r="N7640" s="13"/>
      <c r="O7640" s="13"/>
      <c r="P7640" s="13"/>
      <c r="Q7640" s="13"/>
      <c r="R7640" s="13"/>
    </row>
    <row r="7641" spans="8:18" x14ac:dyDescent="0.35">
      <c r="H7641" s="13"/>
      <c r="I7641" s="13"/>
      <c r="J7641" s="13"/>
      <c r="K7641" s="13"/>
      <c r="L7641" s="13"/>
      <c r="M7641" s="13"/>
      <c r="N7641" s="13"/>
      <c r="O7641" s="13"/>
      <c r="P7641" s="13"/>
      <c r="Q7641" s="13"/>
      <c r="R7641" s="13"/>
    </row>
    <row r="7642" spans="8:18" x14ac:dyDescent="0.35">
      <c r="H7642" s="13"/>
      <c r="I7642" s="13"/>
      <c r="J7642" s="13"/>
      <c r="K7642" s="13"/>
      <c r="L7642" s="13"/>
      <c r="M7642" s="13"/>
      <c r="N7642" s="13"/>
      <c r="O7642" s="13"/>
      <c r="P7642" s="13"/>
      <c r="Q7642" s="13"/>
      <c r="R7642" s="13"/>
    </row>
    <row r="7643" spans="8:18" x14ac:dyDescent="0.35">
      <c r="H7643" s="13"/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</row>
    <row r="7644" spans="8:18" x14ac:dyDescent="0.35">
      <c r="H7644" s="13"/>
      <c r="I7644" s="13"/>
      <c r="J7644" s="13"/>
      <c r="K7644" s="13"/>
      <c r="L7644" s="13"/>
      <c r="M7644" s="13"/>
      <c r="N7644" s="13"/>
      <c r="O7644" s="13"/>
      <c r="P7644" s="13"/>
      <c r="Q7644" s="13"/>
      <c r="R7644" s="13"/>
    </row>
    <row r="7645" spans="8:18" x14ac:dyDescent="0.35">
      <c r="H7645" s="13"/>
      <c r="I7645" s="13"/>
      <c r="J7645" s="13"/>
      <c r="K7645" s="13"/>
      <c r="L7645" s="13"/>
      <c r="M7645" s="13"/>
      <c r="N7645" s="13"/>
      <c r="O7645" s="13"/>
      <c r="P7645" s="13"/>
      <c r="Q7645" s="13"/>
      <c r="R7645" s="13"/>
    </row>
    <row r="7646" spans="8:18" x14ac:dyDescent="0.35">
      <c r="H7646" s="13"/>
      <c r="I7646" s="13"/>
      <c r="J7646" s="13"/>
      <c r="K7646" s="13"/>
      <c r="L7646" s="13"/>
      <c r="M7646" s="13"/>
      <c r="N7646" s="13"/>
      <c r="O7646" s="13"/>
      <c r="P7646" s="13"/>
      <c r="Q7646" s="13"/>
      <c r="R7646" s="13"/>
    </row>
    <row r="7647" spans="8:18" x14ac:dyDescent="0.35">
      <c r="H7647" s="13"/>
      <c r="I7647" s="13"/>
      <c r="J7647" s="13"/>
      <c r="K7647" s="13"/>
      <c r="L7647" s="13"/>
      <c r="M7647" s="13"/>
      <c r="N7647" s="13"/>
      <c r="O7647" s="13"/>
      <c r="P7647" s="13"/>
      <c r="Q7647" s="13"/>
      <c r="R7647" s="13"/>
    </row>
    <row r="7648" spans="8:18" x14ac:dyDescent="0.35">
      <c r="H7648" s="13"/>
      <c r="I7648" s="13"/>
      <c r="J7648" s="13"/>
      <c r="K7648" s="13"/>
      <c r="L7648" s="13"/>
      <c r="M7648" s="13"/>
      <c r="N7648" s="13"/>
      <c r="O7648" s="13"/>
      <c r="P7648" s="13"/>
      <c r="Q7648" s="13"/>
      <c r="R7648" s="13"/>
    </row>
    <row r="7649" spans="8:18" x14ac:dyDescent="0.35">
      <c r="H7649" s="13"/>
      <c r="I7649" s="13"/>
      <c r="J7649" s="13"/>
      <c r="K7649" s="13"/>
      <c r="L7649" s="13"/>
      <c r="M7649" s="13"/>
      <c r="N7649" s="13"/>
      <c r="O7649" s="13"/>
      <c r="P7649" s="13"/>
      <c r="Q7649" s="13"/>
      <c r="R7649" s="13"/>
    </row>
    <row r="7650" spans="8:18" x14ac:dyDescent="0.35">
      <c r="H7650" s="13"/>
      <c r="I7650" s="13"/>
      <c r="J7650" s="13"/>
      <c r="K7650" s="13"/>
      <c r="L7650" s="13"/>
      <c r="M7650" s="13"/>
      <c r="N7650" s="13"/>
      <c r="O7650" s="13"/>
      <c r="P7650" s="13"/>
      <c r="Q7650" s="13"/>
      <c r="R7650" s="13"/>
    </row>
    <row r="7651" spans="8:18" x14ac:dyDescent="0.35">
      <c r="H7651" s="13"/>
      <c r="I7651" s="13"/>
      <c r="J7651" s="13"/>
      <c r="K7651" s="13"/>
      <c r="L7651" s="13"/>
      <c r="M7651" s="13"/>
      <c r="N7651" s="13"/>
      <c r="O7651" s="13"/>
      <c r="P7651" s="13"/>
      <c r="Q7651" s="13"/>
      <c r="R7651" s="13"/>
    </row>
    <row r="7652" spans="8:18" x14ac:dyDescent="0.35">
      <c r="H7652" s="13"/>
      <c r="I7652" s="13"/>
      <c r="J7652" s="13"/>
      <c r="K7652" s="13"/>
      <c r="L7652" s="13"/>
      <c r="M7652" s="13"/>
      <c r="N7652" s="13"/>
      <c r="O7652" s="13"/>
      <c r="P7652" s="13"/>
      <c r="Q7652" s="13"/>
      <c r="R7652" s="13"/>
    </row>
    <row r="7653" spans="8:18" x14ac:dyDescent="0.35">
      <c r="H7653" s="13"/>
      <c r="I7653" s="13"/>
      <c r="J7653" s="13"/>
      <c r="K7653" s="13"/>
      <c r="L7653" s="13"/>
      <c r="M7653" s="13"/>
      <c r="N7653" s="13"/>
      <c r="O7653" s="13"/>
      <c r="P7653" s="13"/>
      <c r="Q7653" s="13"/>
      <c r="R7653" s="13"/>
    </row>
    <row r="7654" spans="8:18" x14ac:dyDescent="0.35">
      <c r="H7654" s="13"/>
      <c r="I7654" s="13"/>
      <c r="J7654" s="13"/>
      <c r="K7654" s="13"/>
      <c r="L7654" s="13"/>
      <c r="M7654" s="13"/>
      <c r="N7654" s="13"/>
      <c r="O7654" s="13"/>
      <c r="P7654" s="13"/>
      <c r="Q7654" s="13"/>
      <c r="R7654" s="13"/>
    </row>
    <row r="7655" spans="8:18" x14ac:dyDescent="0.35">
      <c r="H7655" s="13"/>
      <c r="I7655" s="13"/>
      <c r="J7655" s="13"/>
      <c r="K7655" s="13"/>
      <c r="L7655" s="13"/>
      <c r="M7655" s="13"/>
      <c r="N7655" s="13"/>
      <c r="O7655" s="13"/>
      <c r="P7655" s="13"/>
      <c r="Q7655" s="13"/>
      <c r="R7655" s="13"/>
    </row>
    <row r="7656" spans="8:18" x14ac:dyDescent="0.35">
      <c r="H7656" s="13"/>
      <c r="I7656" s="13"/>
      <c r="J7656" s="13"/>
      <c r="K7656" s="13"/>
      <c r="L7656" s="13"/>
      <c r="M7656" s="13"/>
      <c r="N7656" s="13"/>
      <c r="O7656" s="13"/>
      <c r="P7656" s="13"/>
      <c r="Q7656" s="13"/>
      <c r="R7656" s="13"/>
    </row>
    <row r="7657" spans="8:18" x14ac:dyDescent="0.35">
      <c r="H7657" s="13"/>
      <c r="I7657" s="13"/>
      <c r="J7657" s="13"/>
      <c r="K7657" s="13"/>
      <c r="L7657" s="13"/>
      <c r="M7657" s="13"/>
      <c r="N7657" s="13"/>
      <c r="O7657" s="13"/>
      <c r="P7657" s="13"/>
      <c r="Q7657" s="13"/>
      <c r="R7657" s="13"/>
    </row>
    <row r="7658" spans="8:18" x14ac:dyDescent="0.35">
      <c r="H7658" s="13"/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</row>
    <row r="7659" spans="8:18" x14ac:dyDescent="0.35">
      <c r="H7659" s="13"/>
      <c r="I7659" s="13"/>
      <c r="J7659" s="13"/>
      <c r="K7659" s="13"/>
      <c r="L7659" s="13"/>
      <c r="M7659" s="13"/>
      <c r="N7659" s="13"/>
      <c r="O7659" s="13"/>
      <c r="P7659" s="13"/>
      <c r="Q7659" s="13"/>
      <c r="R7659" s="13"/>
    </row>
    <row r="7660" spans="8:18" x14ac:dyDescent="0.35">
      <c r="H7660" s="13"/>
      <c r="I7660" s="13"/>
      <c r="J7660" s="13"/>
      <c r="K7660" s="13"/>
      <c r="L7660" s="13"/>
      <c r="M7660" s="13"/>
      <c r="N7660" s="13"/>
      <c r="O7660" s="13"/>
      <c r="P7660" s="13"/>
      <c r="Q7660" s="13"/>
      <c r="R7660" s="13"/>
    </row>
    <row r="7661" spans="8:18" x14ac:dyDescent="0.35">
      <c r="H7661" s="13"/>
      <c r="I7661" s="13"/>
      <c r="J7661" s="13"/>
      <c r="K7661" s="13"/>
      <c r="L7661" s="13"/>
      <c r="M7661" s="13"/>
      <c r="N7661" s="13"/>
      <c r="O7661" s="13"/>
      <c r="P7661" s="13"/>
      <c r="Q7661" s="13"/>
      <c r="R7661" s="13"/>
    </row>
    <row r="7662" spans="8:18" x14ac:dyDescent="0.35">
      <c r="H7662" s="13"/>
      <c r="I7662" s="13"/>
      <c r="J7662" s="13"/>
      <c r="K7662" s="13"/>
      <c r="L7662" s="13"/>
      <c r="M7662" s="13"/>
      <c r="N7662" s="13"/>
      <c r="O7662" s="13"/>
      <c r="P7662" s="13"/>
      <c r="Q7662" s="13"/>
      <c r="R7662" s="13"/>
    </row>
    <row r="7663" spans="8:18" x14ac:dyDescent="0.35">
      <c r="H7663" s="13"/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</row>
    <row r="7664" spans="8:18" x14ac:dyDescent="0.35">
      <c r="H7664" s="13"/>
      <c r="I7664" s="13"/>
      <c r="J7664" s="13"/>
      <c r="K7664" s="13"/>
      <c r="L7664" s="13"/>
      <c r="M7664" s="13"/>
      <c r="N7664" s="13"/>
      <c r="O7664" s="13"/>
      <c r="P7664" s="13"/>
      <c r="Q7664" s="13"/>
      <c r="R7664" s="13"/>
    </row>
    <row r="7665" spans="8:18" x14ac:dyDescent="0.35">
      <c r="H7665" s="13"/>
      <c r="I7665" s="13"/>
      <c r="J7665" s="13"/>
      <c r="K7665" s="13"/>
      <c r="L7665" s="13"/>
      <c r="M7665" s="13"/>
      <c r="N7665" s="13"/>
      <c r="O7665" s="13"/>
      <c r="P7665" s="13"/>
      <c r="Q7665" s="13"/>
      <c r="R7665" s="13"/>
    </row>
    <row r="7666" spans="8:18" x14ac:dyDescent="0.35">
      <c r="H7666" s="13"/>
      <c r="I7666" s="13"/>
      <c r="J7666" s="13"/>
      <c r="K7666" s="13"/>
      <c r="L7666" s="13"/>
      <c r="M7666" s="13"/>
      <c r="N7666" s="13"/>
      <c r="O7666" s="13"/>
      <c r="P7666" s="13"/>
      <c r="Q7666" s="13"/>
      <c r="R7666" s="13"/>
    </row>
    <row r="7667" spans="8:18" x14ac:dyDescent="0.35">
      <c r="H7667" s="13"/>
      <c r="I7667" s="13"/>
      <c r="J7667" s="13"/>
      <c r="K7667" s="13"/>
      <c r="L7667" s="13"/>
      <c r="M7667" s="13"/>
      <c r="N7667" s="13"/>
      <c r="O7667" s="13"/>
      <c r="P7667" s="13"/>
      <c r="Q7667" s="13"/>
      <c r="R7667" s="13"/>
    </row>
    <row r="7668" spans="8:18" x14ac:dyDescent="0.35">
      <c r="H7668" s="13"/>
      <c r="I7668" s="13"/>
      <c r="J7668" s="13"/>
      <c r="K7668" s="13"/>
      <c r="L7668" s="13"/>
      <c r="M7668" s="13"/>
      <c r="N7668" s="13"/>
      <c r="O7668" s="13"/>
      <c r="P7668" s="13"/>
      <c r="Q7668" s="13"/>
      <c r="R7668" s="13"/>
    </row>
    <row r="7669" spans="8:18" x14ac:dyDescent="0.35">
      <c r="H7669" s="13"/>
      <c r="I7669" s="13"/>
      <c r="J7669" s="13"/>
      <c r="K7669" s="13"/>
      <c r="L7669" s="13"/>
      <c r="M7669" s="13"/>
      <c r="N7669" s="13"/>
      <c r="O7669" s="13"/>
      <c r="P7669" s="13"/>
      <c r="Q7669" s="13"/>
      <c r="R7669" s="13"/>
    </row>
    <row r="7670" spans="8:18" x14ac:dyDescent="0.35"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</row>
    <row r="7671" spans="8:18" x14ac:dyDescent="0.35">
      <c r="H7671" s="13"/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</row>
    <row r="7672" spans="8:18" x14ac:dyDescent="0.35">
      <c r="H7672" s="13"/>
      <c r="I7672" s="13"/>
      <c r="J7672" s="13"/>
      <c r="K7672" s="13"/>
      <c r="L7672" s="13"/>
      <c r="M7672" s="13"/>
      <c r="N7672" s="13"/>
      <c r="O7672" s="13"/>
      <c r="P7672" s="13"/>
      <c r="Q7672" s="13"/>
      <c r="R7672" s="13"/>
    </row>
    <row r="7673" spans="8:18" x14ac:dyDescent="0.35">
      <c r="H7673" s="13"/>
      <c r="I7673" s="13"/>
      <c r="J7673" s="13"/>
      <c r="K7673" s="13"/>
      <c r="L7673" s="13"/>
      <c r="M7673" s="13"/>
      <c r="N7673" s="13"/>
      <c r="O7673" s="13"/>
      <c r="P7673" s="13"/>
      <c r="Q7673" s="13"/>
      <c r="R7673" s="13"/>
    </row>
    <row r="7674" spans="8:18" x14ac:dyDescent="0.35">
      <c r="H7674" s="13"/>
      <c r="I7674" s="13"/>
      <c r="J7674" s="13"/>
      <c r="K7674" s="13"/>
      <c r="L7674" s="13"/>
      <c r="M7674" s="13"/>
      <c r="N7674" s="13"/>
      <c r="O7674" s="13"/>
      <c r="P7674" s="13"/>
      <c r="Q7674" s="13"/>
      <c r="R7674" s="13"/>
    </row>
    <row r="7675" spans="8:18" x14ac:dyDescent="0.35">
      <c r="H7675" s="13"/>
      <c r="I7675" s="13"/>
      <c r="J7675" s="13"/>
      <c r="K7675" s="13"/>
      <c r="L7675" s="13"/>
      <c r="M7675" s="13"/>
      <c r="N7675" s="13"/>
      <c r="O7675" s="13"/>
      <c r="P7675" s="13"/>
      <c r="Q7675" s="13"/>
      <c r="R7675" s="13"/>
    </row>
    <row r="7676" spans="8:18" x14ac:dyDescent="0.35">
      <c r="H7676" s="13"/>
      <c r="I7676" s="13"/>
      <c r="J7676" s="13"/>
      <c r="K7676" s="13"/>
      <c r="L7676" s="13"/>
      <c r="M7676" s="13"/>
      <c r="N7676" s="13"/>
      <c r="O7676" s="13"/>
      <c r="P7676" s="13"/>
      <c r="Q7676" s="13"/>
      <c r="R7676" s="13"/>
    </row>
    <row r="7677" spans="8:18" x14ac:dyDescent="0.35">
      <c r="H7677" s="13"/>
      <c r="I7677" s="13"/>
      <c r="J7677" s="13"/>
      <c r="K7677" s="13"/>
      <c r="L7677" s="13"/>
      <c r="M7677" s="13"/>
      <c r="N7677" s="13"/>
      <c r="O7677" s="13"/>
      <c r="P7677" s="13"/>
      <c r="Q7677" s="13"/>
      <c r="R7677" s="13"/>
    </row>
    <row r="7678" spans="8:18" x14ac:dyDescent="0.35">
      <c r="H7678" s="13"/>
      <c r="I7678" s="13"/>
      <c r="J7678" s="13"/>
      <c r="K7678" s="13"/>
      <c r="L7678" s="13"/>
      <c r="M7678" s="13"/>
      <c r="N7678" s="13"/>
      <c r="O7678" s="13"/>
      <c r="P7678" s="13"/>
      <c r="Q7678" s="13"/>
      <c r="R7678" s="13"/>
    </row>
    <row r="7679" spans="8:18" x14ac:dyDescent="0.35">
      <c r="H7679" s="13"/>
      <c r="I7679" s="13"/>
      <c r="J7679" s="13"/>
      <c r="K7679" s="13"/>
      <c r="L7679" s="13"/>
      <c r="M7679" s="13"/>
      <c r="N7679" s="13"/>
      <c r="O7679" s="13"/>
      <c r="P7679" s="13"/>
      <c r="Q7679" s="13"/>
      <c r="R7679" s="13"/>
    </row>
    <row r="7680" spans="8:18" x14ac:dyDescent="0.35">
      <c r="H7680" s="13"/>
      <c r="I7680" s="13"/>
      <c r="J7680" s="13"/>
      <c r="K7680" s="13"/>
      <c r="L7680" s="13"/>
      <c r="M7680" s="13"/>
      <c r="N7680" s="13"/>
      <c r="O7680" s="13"/>
      <c r="P7680" s="13"/>
      <c r="Q7680" s="13"/>
      <c r="R7680" s="13"/>
    </row>
    <row r="7681" spans="8:18" x14ac:dyDescent="0.35">
      <c r="H7681" s="13"/>
      <c r="I7681" s="13"/>
      <c r="J7681" s="13"/>
      <c r="K7681" s="13"/>
      <c r="L7681" s="13"/>
      <c r="M7681" s="13"/>
      <c r="N7681" s="13"/>
      <c r="O7681" s="13"/>
      <c r="P7681" s="13"/>
      <c r="Q7681" s="13"/>
      <c r="R7681" s="13"/>
    </row>
    <row r="7682" spans="8:18" x14ac:dyDescent="0.35">
      <c r="H7682" s="13"/>
      <c r="I7682" s="13"/>
      <c r="J7682" s="13"/>
      <c r="K7682" s="13"/>
      <c r="L7682" s="13"/>
      <c r="M7682" s="13"/>
      <c r="N7682" s="13"/>
      <c r="O7682" s="13"/>
      <c r="P7682" s="13"/>
      <c r="Q7682" s="13"/>
      <c r="R7682" s="13"/>
    </row>
    <row r="7683" spans="8:18" x14ac:dyDescent="0.35">
      <c r="H7683" s="13"/>
      <c r="I7683" s="13"/>
      <c r="J7683" s="13"/>
      <c r="K7683" s="13"/>
      <c r="L7683" s="13"/>
      <c r="M7683" s="13"/>
      <c r="N7683" s="13"/>
      <c r="O7683" s="13"/>
      <c r="P7683" s="13"/>
      <c r="Q7683" s="13"/>
      <c r="R7683" s="13"/>
    </row>
    <row r="7684" spans="8:18" x14ac:dyDescent="0.35">
      <c r="H7684" s="13"/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</row>
    <row r="7685" spans="8:18" x14ac:dyDescent="0.35">
      <c r="H7685" s="13"/>
      <c r="I7685" s="13"/>
      <c r="J7685" s="13"/>
      <c r="K7685" s="13"/>
      <c r="L7685" s="13"/>
      <c r="M7685" s="13"/>
      <c r="N7685" s="13"/>
      <c r="O7685" s="13"/>
      <c r="P7685" s="13"/>
      <c r="Q7685" s="13"/>
      <c r="R7685" s="13"/>
    </row>
    <row r="7686" spans="8:18" x14ac:dyDescent="0.35">
      <c r="H7686" s="13"/>
      <c r="I7686" s="13"/>
      <c r="J7686" s="13"/>
      <c r="K7686" s="13"/>
      <c r="L7686" s="13"/>
      <c r="M7686" s="13"/>
      <c r="N7686" s="13"/>
      <c r="O7686" s="13"/>
      <c r="P7686" s="13"/>
      <c r="Q7686" s="13"/>
      <c r="R7686" s="13"/>
    </row>
    <row r="7687" spans="8:18" x14ac:dyDescent="0.35">
      <c r="H7687" s="13"/>
      <c r="I7687" s="13"/>
      <c r="J7687" s="13"/>
      <c r="K7687" s="13"/>
      <c r="L7687" s="13"/>
      <c r="M7687" s="13"/>
      <c r="N7687" s="13"/>
      <c r="O7687" s="13"/>
      <c r="P7687" s="13"/>
      <c r="Q7687" s="13"/>
      <c r="R7687" s="13"/>
    </row>
    <row r="7688" spans="8:18" x14ac:dyDescent="0.35">
      <c r="H7688" s="13"/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</row>
    <row r="7689" spans="8:18" x14ac:dyDescent="0.35">
      <c r="H7689" s="13"/>
      <c r="I7689" s="13"/>
      <c r="J7689" s="13"/>
      <c r="K7689" s="13"/>
      <c r="L7689" s="13"/>
      <c r="M7689" s="13"/>
      <c r="N7689" s="13"/>
      <c r="O7689" s="13"/>
      <c r="P7689" s="13"/>
      <c r="Q7689" s="13"/>
      <c r="R7689" s="13"/>
    </row>
    <row r="7690" spans="8:18" x14ac:dyDescent="0.35">
      <c r="H7690" s="13"/>
      <c r="I7690" s="13"/>
      <c r="J7690" s="13"/>
      <c r="K7690" s="13"/>
      <c r="L7690" s="13"/>
      <c r="M7690" s="13"/>
      <c r="N7690" s="13"/>
      <c r="O7690" s="13"/>
      <c r="P7690" s="13"/>
      <c r="Q7690" s="13"/>
      <c r="R7690" s="13"/>
    </row>
    <row r="7691" spans="8:18" x14ac:dyDescent="0.35">
      <c r="H7691" s="13"/>
      <c r="I7691" s="13"/>
      <c r="J7691" s="13"/>
      <c r="K7691" s="13"/>
      <c r="L7691" s="13"/>
      <c r="M7691" s="13"/>
      <c r="N7691" s="13"/>
      <c r="O7691" s="13"/>
      <c r="P7691" s="13"/>
      <c r="Q7691" s="13"/>
      <c r="R7691" s="13"/>
    </row>
    <row r="7692" spans="8:18" x14ac:dyDescent="0.35">
      <c r="H7692" s="13"/>
      <c r="I7692" s="13"/>
      <c r="J7692" s="13"/>
      <c r="K7692" s="13"/>
      <c r="L7692" s="13"/>
      <c r="M7692" s="13"/>
      <c r="N7692" s="13"/>
      <c r="O7692" s="13"/>
      <c r="P7692" s="13"/>
      <c r="Q7692" s="13"/>
      <c r="R7692" s="13"/>
    </row>
    <row r="7693" spans="8:18" x14ac:dyDescent="0.35">
      <c r="H7693" s="13"/>
      <c r="I7693" s="13"/>
      <c r="J7693" s="13"/>
      <c r="K7693" s="13"/>
      <c r="L7693" s="13"/>
      <c r="M7693" s="13"/>
      <c r="N7693" s="13"/>
      <c r="O7693" s="13"/>
      <c r="P7693" s="13"/>
      <c r="Q7693" s="13"/>
      <c r="R7693" s="13"/>
    </row>
    <row r="7694" spans="8:18" x14ac:dyDescent="0.35"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</row>
    <row r="7695" spans="8:18" x14ac:dyDescent="0.35"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</row>
    <row r="7696" spans="8:18" x14ac:dyDescent="0.35">
      <c r="H7696" s="13"/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</row>
    <row r="7697" spans="8:18" x14ac:dyDescent="0.35">
      <c r="H7697" s="13"/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</row>
    <row r="7698" spans="8:18" x14ac:dyDescent="0.35">
      <c r="H7698" s="13"/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</row>
    <row r="7699" spans="8:18" x14ac:dyDescent="0.35">
      <c r="H7699" s="13"/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</row>
    <row r="7700" spans="8:18" x14ac:dyDescent="0.35"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</row>
    <row r="7701" spans="8:18" x14ac:dyDescent="0.35">
      <c r="H7701" s="13"/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</row>
    <row r="7702" spans="8:18" x14ac:dyDescent="0.35">
      <c r="H7702" s="13"/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</row>
    <row r="7703" spans="8:18" x14ac:dyDescent="0.35"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</row>
    <row r="7704" spans="8:18" x14ac:dyDescent="0.35">
      <c r="H7704" s="13"/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</row>
    <row r="7705" spans="8:18" x14ac:dyDescent="0.35">
      <c r="H7705" s="13"/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</row>
    <row r="7706" spans="8:18" x14ac:dyDescent="0.35"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</row>
    <row r="7707" spans="8:18" x14ac:dyDescent="0.35">
      <c r="H7707" s="13"/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</row>
    <row r="7708" spans="8:18" x14ac:dyDescent="0.35">
      <c r="H7708" s="13"/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</row>
    <row r="7709" spans="8:18" x14ac:dyDescent="0.35">
      <c r="H7709" s="13"/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</row>
    <row r="7710" spans="8:18" x14ac:dyDescent="0.35">
      <c r="H7710" s="13"/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</row>
    <row r="7711" spans="8:18" x14ac:dyDescent="0.35"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</row>
    <row r="7712" spans="8:18" x14ac:dyDescent="0.35"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</row>
    <row r="7713" spans="8:18" x14ac:dyDescent="0.35"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</row>
    <row r="7714" spans="8:18" x14ac:dyDescent="0.35"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</row>
    <row r="7715" spans="8:18" x14ac:dyDescent="0.35"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</row>
    <row r="7716" spans="8:18" x14ac:dyDescent="0.35">
      <c r="H7716" s="13"/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</row>
    <row r="7717" spans="8:18" x14ac:dyDescent="0.35"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</row>
    <row r="7718" spans="8:18" x14ac:dyDescent="0.35">
      <c r="H7718" s="13"/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</row>
    <row r="7719" spans="8:18" x14ac:dyDescent="0.35">
      <c r="H7719" s="13"/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</row>
    <row r="7720" spans="8:18" x14ac:dyDescent="0.35">
      <c r="H7720" s="13"/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</row>
    <row r="7721" spans="8:18" x14ac:dyDescent="0.35"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</row>
    <row r="7722" spans="8:18" x14ac:dyDescent="0.35"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</row>
    <row r="7723" spans="8:18" x14ac:dyDescent="0.35"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</row>
    <row r="7724" spans="8:18" x14ac:dyDescent="0.35"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</row>
    <row r="7725" spans="8:18" x14ac:dyDescent="0.35"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</row>
    <row r="7726" spans="8:18" x14ac:dyDescent="0.35"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</row>
    <row r="7727" spans="8:18" x14ac:dyDescent="0.35"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</row>
    <row r="7728" spans="8:18" x14ac:dyDescent="0.35"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</row>
    <row r="7729" spans="8:18" x14ac:dyDescent="0.35"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</row>
    <row r="7730" spans="8:18" x14ac:dyDescent="0.35"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</row>
    <row r="7731" spans="8:18" x14ac:dyDescent="0.35"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</row>
    <row r="7732" spans="8:18" x14ac:dyDescent="0.35"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</row>
    <row r="7733" spans="8:18" x14ac:dyDescent="0.35"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</row>
    <row r="7734" spans="8:18" x14ac:dyDescent="0.35">
      <c r="H7734" s="13"/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</row>
    <row r="7735" spans="8:18" x14ac:dyDescent="0.35">
      <c r="H7735" s="13"/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</row>
    <row r="7736" spans="8:18" x14ac:dyDescent="0.35">
      <c r="H7736" s="13"/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</row>
    <row r="7737" spans="8:18" x14ac:dyDescent="0.35">
      <c r="H7737" s="13"/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</row>
    <row r="7738" spans="8:18" x14ac:dyDescent="0.35"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</row>
    <row r="7739" spans="8:18" x14ac:dyDescent="0.35">
      <c r="H7739" s="13"/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</row>
    <row r="7740" spans="8:18" x14ac:dyDescent="0.35">
      <c r="H7740" s="13"/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</row>
    <row r="7741" spans="8:18" x14ac:dyDescent="0.35"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</row>
    <row r="7742" spans="8:18" x14ac:dyDescent="0.35"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</row>
    <row r="7743" spans="8:18" x14ac:dyDescent="0.35"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</row>
    <row r="7744" spans="8:18" x14ac:dyDescent="0.35"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</row>
    <row r="7745" spans="8:18" x14ac:dyDescent="0.35"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</row>
    <row r="7746" spans="8:18" x14ac:dyDescent="0.35"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</row>
    <row r="7747" spans="8:18" x14ac:dyDescent="0.35"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</row>
    <row r="7748" spans="8:18" x14ac:dyDescent="0.35"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</row>
    <row r="7749" spans="8:18" x14ac:dyDescent="0.35"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</row>
    <row r="7750" spans="8:18" x14ac:dyDescent="0.35"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</row>
    <row r="7751" spans="8:18" x14ac:dyDescent="0.35"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</row>
    <row r="7752" spans="8:18" x14ac:dyDescent="0.35"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</row>
    <row r="7753" spans="8:18" x14ac:dyDescent="0.35"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</row>
    <row r="7754" spans="8:18" x14ac:dyDescent="0.35"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</row>
    <row r="7755" spans="8:18" x14ac:dyDescent="0.35"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</row>
    <row r="7756" spans="8:18" x14ac:dyDescent="0.35"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</row>
    <row r="7757" spans="8:18" x14ac:dyDescent="0.35"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</row>
    <row r="7758" spans="8:18" x14ac:dyDescent="0.35"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</row>
    <row r="7759" spans="8:18" x14ac:dyDescent="0.35"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</row>
    <row r="7760" spans="8:18" x14ac:dyDescent="0.35"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</row>
    <row r="7761" spans="8:18" x14ac:dyDescent="0.35"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</row>
    <row r="7762" spans="8:18" x14ac:dyDescent="0.35"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</row>
    <row r="7763" spans="8:18" x14ac:dyDescent="0.35"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</row>
    <row r="7764" spans="8:18" x14ac:dyDescent="0.35"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</row>
    <row r="7765" spans="8:18" x14ac:dyDescent="0.35"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</row>
    <row r="7766" spans="8:18" x14ac:dyDescent="0.35">
      <c r="H7766" s="13"/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</row>
    <row r="7767" spans="8:18" x14ac:dyDescent="0.35">
      <c r="H7767" s="13"/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</row>
    <row r="7768" spans="8:18" x14ac:dyDescent="0.35"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</row>
    <row r="7769" spans="8:18" x14ac:dyDescent="0.35">
      <c r="H7769" s="13"/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</row>
    <row r="7770" spans="8:18" x14ac:dyDescent="0.35">
      <c r="H7770" s="13"/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</row>
    <row r="7771" spans="8:18" x14ac:dyDescent="0.35"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</row>
    <row r="7772" spans="8:18" x14ac:dyDescent="0.35"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</row>
    <row r="7773" spans="8:18" x14ac:dyDescent="0.35">
      <c r="H7773" s="13"/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</row>
    <row r="7774" spans="8:18" x14ac:dyDescent="0.35">
      <c r="H7774" s="13"/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</row>
    <row r="7775" spans="8:18" x14ac:dyDescent="0.35">
      <c r="H7775" s="13"/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</row>
    <row r="7776" spans="8:18" x14ac:dyDescent="0.35"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</row>
    <row r="7777" spans="8:18" x14ac:dyDescent="0.35">
      <c r="H7777" s="13"/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</row>
    <row r="7778" spans="8:18" x14ac:dyDescent="0.35">
      <c r="H7778" s="13"/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</row>
    <row r="7779" spans="8:18" x14ac:dyDescent="0.35"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</row>
    <row r="7780" spans="8:18" x14ac:dyDescent="0.35">
      <c r="H7780" s="13"/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</row>
    <row r="7781" spans="8:18" x14ac:dyDescent="0.35">
      <c r="H7781" s="13"/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</row>
    <row r="7782" spans="8:18" x14ac:dyDescent="0.35"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</row>
    <row r="7783" spans="8:18" x14ac:dyDescent="0.35"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</row>
    <row r="7784" spans="8:18" x14ac:dyDescent="0.35">
      <c r="H7784" s="13"/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</row>
    <row r="7785" spans="8:18" x14ac:dyDescent="0.35">
      <c r="H7785" s="13"/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</row>
    <row r="7786" spans="8:18" x14ac:dyDescent="0.35"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</row>
    <row r="7787" spans="8:18" x14ac:dyDescent="0.35">
      <c r="H7787" s="13"/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</row>
    <row r="7788" spans="8:18" x14ac:dyDescent="0.35">
      <c r="H7788" s="13"/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</row>
    <row r="7789" spans="8:18" x14ac:dyDescent="0.35">
      <c r="H7789" s="13"/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</row>
    <row r="7790" spans="8:18" x14ac:dyDescent="0.35">
      <c r="H7790" s="13"/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</row>
    <row r="7791" spans="8:18" x14ac:dyDescent="0.35"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</row>
    <row r="7792" spans="8:18" x14ac:dyDescent="0.35">
      <c r="H7792" s="13"/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</row>
    <row r="7793" spans="8:18" x14ac:dyDescent="0.35">
      <c r="H7793" s="13"/>
      <c r="I7793" s="13"/>
      <c r="J7793" s="13"/>
      <c r="K7793" s="13"/>
      <c r="L7793" s="13"/>
      <c r="M7793" s="13"/>
      <c r="N7793" s="13"/>
      <c r="O7793" s="13"/>
      <c r="P7793" s="13"/>
      <c r="Q7793" s="13"/>
      <c r="R7793" s="13"/>
    </row>
    <row r="7794" spans="8:18" x14ac:dyDescent="0.35">
      <c r="H7794" s="13"/>
      <c r="I7794" s="13"/>
      <c r="J7794" s="13"/>
      <c r="K7794" s="13"/>
      <c r="L7794" s="13"/>
      <c r="M7794" s="13"/>
      <c r="N7794" s="13"/>
      <c r="O7794" s="13"/>
      <c r="P7794" s="13"/>
      <c r="Q7794" s="13"/>
      <c r="R7794" s="13"/>
    </row>
    <row r="7795" spans="8:18" x14ac:dyDescent="0.35">
      <c r="H7795" s="13"/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</row>
    <row r="7796" spans="8:18" x14ac:dyDescent="0.35">
      <c r="H7796" s="13"/>
      <c r="I7796" s="13"/>
      <c r="J7796" s="13"/>
      <c r="K7796" s="13"/>
      <c r="L7796" s="13"/>
      <c r="M7796" s="13"/>
      <c r="N7796" s="13"/>
      <c r="O7796" s="13"/>
      <c r="P7796" s="13"/>
      <c r="Q7796" s="13"/>
      <c r="R7796" s="13"/>
    </row>
    <row r="7797" spans="8:18" x14ac:dyDescent="0.35">
      <c r="H7797" s="13"/>
      <c r="I7797" s="13"/>
      <c r="J7797" s="13"/>
      <c r="K7797" s="13"/>
      <c r="L7797" s="13"/>
      <c r="M7797" s="13"/>
      <c r="N7797" s="13"/>
      <c r="O7797" s="13"/>
      <c r="P7797" s="13"/>
      <c r="Q7797" s="13"/>
      <c r="R7797" s="13"/>
    </row>
    <row r="7798" spans="8:18" x14ac:dyDescent="0.35"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</row>
    <row r="7799" spans="8:18" x14ac:dyDescent="0.35"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</row>
    <row r="7800" spans="8:18" x14ac:dyDescent="0.35"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</row>
    <row r="7801" spans="8:18" x14ac:dyDescent="0.35"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</row>
    <row r="7802" spans="8:18" x14ac:dyDescent="0.35"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</row>
    <row r="7803" spans="8:18" x14ac:dyDescent="0.35"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</row>
    <row r="7804" spans="8:18" x14ac:dyDescent="0.35"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</row>
    <row r="7805" spans="8:18" x14ac:dyDescent="0.35"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</row>
    <row r="7806" spans="8:18" x14ac:dyDescent="0.35">
      <c r="H7806" s="13"/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</row>
    <row r="7807" spans="8:18" x14ac:dyDescent="0.35">
      <c r="H7807" s="13"/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</row>
    <row r="7808" spans="8:18" x14ac:dyDescent="0.35"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</row>
    <row r="7809" spans="8:18" x14ac:dyDescent="0.35">
      <c r="H7809" s="13"/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</row>
    <row r="7810" spans="8:18" x14ac:dyDescent="0.35">
      <c r="H7810" s="13"/>
      <c r="I7810" s="13"/>
      <c r="J7810" s="13"/>
      <c r="K7810" s="13"/>
      <c r="L7810" s="13"/>
      <c r="M7810" s="13"/>
      <c r="N7810" s="13"/>
      <c r="O7810" s="13"/>
      <c r="P7810" s="13"/>
      <c r="Q7810" s="13"/>
      <c r="R7810" s="13"/>
    </row>
    <row r="7811" spans="8:18" x14ac:dyDescent="0.35">
      <c r="H7811" s="13"/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</row>
    <row r="7812" spans="8:18" x14ac:dyDescent="0.35"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</row>
    <row r="7813" spans="8:18" x14ac:dyDescent="0.35"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</row>
    <row r="7814" spans="8:18" x14ac:dyDescent="0.35"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</row>
    <row r="7815" spans="8:18" x14ac:dyDescent="0.35"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</row>
    <row r="7816" spans="8:18" x14ac:dyDescent="0.35"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</row>
    <row r="7817" spans="8:18" x14ac:dyDescent="0.35"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</row>
    <row r="7818" spans="8:18" x14ac:dyDescent="0.35"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</row>
    <row r="7819" spans="8:18" x14ac:dyDescent="0.35"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</row>
    <row r="7820" spans="8:18" x14ac:dyDescent="0.35"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</row>
    <row r="7821" spans="8:18" x14ac:dyDescent="0.35"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</row>
    <row r="7822" spans="8:18" x14ac:dyDescent="0.35"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</row>
    <row r="7823" spans="8:18" x14ac:dyDescent="0.35"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</row>
    <row r="7824" spans="8:18" x14ac:dyDescent="0.35"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</row>
    <row r="7825" spans="8:18" x14ac:dyDescent="0.35"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</row>
    <row r="7826" spans="8:18" x14ac:dyDescent="0.35"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</row>
    <row r="7827" spans="8:18" x14ac:dyDescent="0.35">
      <c r="H7827" s="13"/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</row>
    <row r="7828" spans="8:18" x14ac:dyDescent="0.35">
      <c r="H7828" s="13"/>
      <c r="I7828" s="13"/>
      <c r="J7828" s="13"/>
      <c r="K7828" s="13"/>
      <c r="L7828" s="13"/>
      <c r="M7828" s="13"/>
      <c r="N7828" s="13"/>
      <c r="O7828" s="13"/>
      <c r="P7828" s="13"/>
      <c r="Q7828" s="13"/>
      <c r="R7828" s="13"/>
    </row>
    <row r="7829" spans="8:18" x14ac:dyDescent="0.35">
      <c r="H7829" s="13"/>
      <c r="I7829" s="13"/>
      <c r="J7829" s="13"/>
      <c r="K7829" s="13"/>
      <c r="L7829" s="13"/>
      <c r="M7829" s="13"/>
      <c r="N7829" s="13"/>
      <c r="O7829" s="13"/>
      <c r="P7829" s="13"/>
      <c r="Q7829" s="13"/>
      <c r="R7829" s="13"/>
    </row>
    <row r="7830" spans="8:18" x14ac:dyDescent="0.35">
      <c r="H7830" s="13"/>
      <c r="I7830" s="13"/>
      <c r="J7830" s="13"/>
      <c r="K7830" s="13"/>
      <c r="L7830" s="13"/>
      <c r="M7830" s="13"/>
      <c r="N7830" s="13"/>
      <c r="O7830" s="13"/>
      <c r="P7830" s="13"/>
      <c r="Q7830" s="13"/>
      <c r="R7830" s="13"/>
    </row>
    <row r="7831" spans="8:18" x14ac:dyDescent="0.35">
      <c r="H7831" s="13"/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</row>
    <row r="7832" spans="8:18" x14ac:dyDescent="0.35">
      <c r="H7832" s="13"/>
      <c r="I7832" s="13"/>
      <c r="J7832" s="13"/>
      <c r="K7832" s="13"/>
      <c r="L7832" s="13"/>
      <c r="M7832" s="13"/>
      <c r="N7832" s="13"/>
      <c r="O7832" s="13"/>
      <c r="P7832" s="13"/>
      <c r="Q7832" s="13"/>
      <c r="R7832" s="13"/>
    </row>
    <row r="7833" spans="8:18" x14ac:dyDescent="0.35">
      <c r="H7833" s="13"/>
      <c r="I7833" s="13"/>
      <c r="J7833" s="13"/>
      <c r="K7833" s="13"/>
      <c r="L7833" s="13"/>
      <c r="M7833" s="13"/>
      <c r="N7833" s="13"/>
      <c r="O7833" s="13"/>
      <c r="P7833" s="13"/>
      <c r="Q7833" s="13"/>
      <c r="R7833" s="13"/>
    </row>
    <row r="7834" spans="8:18" x14ac:dyDescent="0.35"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</row>
    <row r="7835" spans="8:18" x14ac:dyDescent="0.35">
      <c r="H7835" s="13"/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</row>
    <row r="7836" spans="8:18" x14ac:dyDescent="0.35">
      <c r="H7836" s="13"/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</row>
    <row r="7837" spans="8:18" x14ac:dyDescent="0.35">
      <c r="H7837" s="13"/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</row>
    <row r="7838" spans="8:18" x14ac:dyDescent="0.35"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</row>
    <row r="7839" spans="8:18" x14ac:dyDescent="0.35"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</row>
    <row r="7840" spans="8:18" x14ac:dyDescent="0.35"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</row>
    <row r="7841" spans="8:18" x14ac:dyDescent="0.35"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</row>
    <row r="7842" spans="8:18" x14ac:dyDescent="0.35"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</row>
    <row r="7843" spans="8:18" x14ac:dyDescent="0.35"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</row>
    <row r="7844" spans="8:18" x14ac:dyDescent="0.35"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</row>
    <row r="7845" spans="8:18" x14ac:dyDescent="0.35"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</row>
    <row r="7846" spans="8:18" x14ac:dyDescent="0.35"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</row>
    <row r="7847" spans="8:18" x14ac:dyDescent="0.35"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</row>
    <row r="7848" spans="8:18" x14ac:dyDescent="0.35"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</row>
    <row r="7849" spans="8:18" x14ac:dyDescent="0.35"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</row>
    <row r="7850" spans="8:18" x14ac:dyDescent="0.35"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</row>
    <row r="7851" spans="8:18" x14ac:dyDescent="0.35"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</row>
    <row r="7852" spans="8:18" x14ac:dyDescent="0.35"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</row>
    <row r="7853" spans="8:18" x14ac:dyDescent="0.35"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</row>
    <row r="7854" spans="8:18" x14ac:dyDescent="0.35"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</row>
    <row r="7855" spans="8:18" x14ac:dyDescent="0.35"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</row>
    <row r="7856" spans="8:18" x14ac:dyDescent="0.35"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</row>
    <row r="7857" spans="8:18" x14ac:dyDescent="0.35"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</row>
    <row r="7858" spans="8:18" x14ac:dyDescent="0.35"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</row>
    <row r="7859" spans="8:18" x14ac:dyDescent="0.35"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</row>
    <row r="7860" spans="8:18" x14ac:dyDescent="0.35"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</row>
    <row r="7861" spans="8:18" x14ac:dyDescent="0.35"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</row>
    <row r="7862" spans="8:18" x14ac:dyDescent="0.35"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</row>
    <row r="7863" spans="8:18" x14ac:dyDescent="0.35"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</row>
    <row r="7864" spans="8:18" x14ac:dyDescent="0.35"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</row>
    <row r="7865" spans="8:18" x14ac:dyDescent="0.35"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</row>
    <row r="7866" spans="8:18" x14ac:dyDescent="0.35"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</row>
    <row r="7867" spans="8:18" x14ac:dyDescent="0.35"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</row>
    <row r="7868" spans="8:18" x14ac:dyDescent="0.35">
      <c r="H7868" s="13"/>
      <c r="I7868" s="13"/>
      <c r="J7868" s="13"/>
      <c r="K7868" s="13"/>
      <c r="L7868" s="13"/>
      <c r="M7868" s="13"/>
      <c r="N7868" s="13"/>
      <c r="O7868" s="13"/>
      <c r="P7868" s="13"/>
      <c r="Q7868" s="13"/>
      <c r="R7868" s="13"/>
    </row>
    <row r="7869" spans="8:18" x14ac:dyDescent="0.35"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</row>
    <row r="7870" spans="8:18" x14ac:dyDescent="0.35"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</row>
    <row r="7871" spans="8:18" x14ac:dyDescent="0.35"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</row>
    <row r="7872" spans="8:18" x14ac:dyDescent="0.35">
      <c r="H7872" s="13"/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</row>
    <row r="7873" spans="8:18" x14ac:dyDescent="0.35">
      <c r="H7873" s="13"/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</row>
    <row r="7874" spans="8:18" x14ac:dyDescent="0.35"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</row>
    <row r="7875" spans="8:18" x14ac:dyDescent="0.35">
      <c r="H7875" s="13"/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</row>
    <row r="7876" spans="8:18" x14ac:dyDescent="0.35">
      <c r="H7876" s="13"/>
      <c r="I7876" s="13"/>
      <c r="J7876" s="13"/>
      <c r="K7876" s="13"/>
      <c r="L7876" s="13"/>
      <c r="M7876" s="13"/>
      <c r="N7876" s="13"/>
      <c r="O7876" s="13"/>
      <c r="P7876" s="13"/>
      <c r="Q7876" s="13"/>
      <c r="R7876" s="13"/>
    </row>
    <row r="7877" spans="8:18" x14ac:dyDescent="0.35">
      <c r="H7877" s="13"/>
      <c r="I7877" s="13"/>
      <c r="J7877" s="13"/>
      <c r="K7877" s="13"/>
      <c r="L7877" s="13"/>
      <c r="M7877" s="13"/>
      <c r="N7877" s="13"/>
      <c r="O7877" s="13"/>
      <c r="P7877" s="13"/>
      <c r="Q7877" s="13"/>
      <c r="R7877" s="13"/>
    </row>
    <row r="7878" spans="8:18" x14ac:dyDescent="0.35">
      <c r="H7878" s="13"/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</row>
    <row r="7879" spans="8:18" x14ac:dyDescent="0.35">
      <c r="H7879" s="13"/>
      <c r="I7879" s="13"/>
      <c r="J7879" s="13"/>
      <c r="K7879" s="13"/>
      <c r="L7879" s="13"/>
      <c r="M7879" s="13"/>
      <c r="N7879" s="13"/>
      <c r="O7879" s="13"/>
      <c r="P7879" s="13"/>
      <c r="Q7879" s="13"/>
      <c r="R7879" s="13"/>
    </row>
    <row r="7880" spans="8:18" x14ac:dyDescent="0.35">
      <c r="H7880" s="13"/>
      <c r="I7880" s="13"/>
      <c r="J7880" s="13"/>
      <c r="K7880" s="13"/>
      <c r="L7880" s="13"/>
      <c r="M7880" s="13"/>
      <c r="N7880" s="13"/>
      <c r="O7880" s="13"/>
      <c r="P7880" s="13"/>
      <c r="Q7880" s="13"/>
      <c r="R7880" s="13"/>
    </row>
    <row r="7881" spans="8:18" x14ac:dyDescent="0.35">
      <c r="H7881" s="13"/>
      <c r="I7881" s="13"/>
      <c r="J7881" s="13"/>
      <c r="K7881" s="13"/>
      <c r="L7881" s="13"/>
      <c r="M7881" s="13"/>
      <c r="N7881" s="13"/>
      <c r="O7881" s="13"/>
      <c r="P7881" s="13"/>
      <c r="Q7881" s="13"/>
      <c r="R7881" s="13"/>
    </row>
    <row r="7882" spans="8:18" x14ac:dyDescent="0.35">
      <c r="H7882" s="13"/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</row>
    <row r="7883" spans="8:18" x14ac:dyDescent="0.35">
      <c r="H7883" s="13"/>
      <c r="I7883" s="13"/>
      <c r="J7883" s="13"/>
      <c r="K7883" s="13"/>
      <c r="L7883" s="13"/>
      <c r="M7883" s="13"/>
      <c r="N7883" s="13"/>
      <c r="O7883" s="13"/>
      <c r="P7883" s="13"/>
      <c r="Q7883" s="13"/>
      <c r="R7883" s="13"/>
    </row>
    <row r="7884" spans="8:18" x14ac:dyDescent="0.35">
      <c r="H7884" s="13"/>
      <c r="I7884" s="13"/>
      <c r="J7884" s="13"/>
      <c r="K7884" s="13"/>
      <c r="L7884" s="13"/>
      <c r="M7884" s="13"/>
      <c r="N7884" s="13"/>
      <c r="O7884" s="13"/>
      <c r="P7884" s="13"/>
      <c r="Q7884" s="13"/>
      <c r="R7884" s="13"/>
    </row>
    <row r="7885" spans="8:18" x14ac:dyDescent="0.35"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</row>
    <row r="7886" spans="8:18" x14ac:dyDescent="0.35"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</row>
    <row r="7887" spans="8:18" x14ac:dyDescent="0.35"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</row>
    <row r="7888" spans="8:18" x14ac:dyDescent="0.35"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</row>
    <row r="7889" spans="8:18" x14ac:dyDescent="0.35"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</row>
    <row r="7890" spans="8:18" x14ac:dyDescent="0.35"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</row>
    <row r="7891" spans="8:18" x14ac:dyDescent="0.35"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</row>
    <row r="7892" spans="8:18" x14ac:dyDescent="0.35"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</row>
    <row r="7893" spans="8:18" x14ac:dyDescent="0.35"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</row>
    <row r="7894" spans="8:18" x14ac:dyDescent="0.35"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</row>
    <row r="7895" spans="8:18" x14ac:dyDescent="0.35"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</row>
    <row r="7896" spans="8:18" x14ac:dyDescent="0.35"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</row>
    <row r="7897" spans="8:18" x14ac:dyDescent="0.35">
      <c r="H7897" s="13"/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</row>
    <row r="7898" spans="8:18" x14ac:dyDescent="0.35">
      <c r="H7898" s="13"/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</row>
    <row r="7899" spans="8:18" x14ac:dyDescent="0.35">
      <c r="H7899" s="13"/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</row>
    <row r="7900" spans="8:18" x14ac:dyDescent="0.35"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</row>
    <row r="7901" spans="8:18" x14ac:dyDescent="0.35">
      <c r="H7901" s="13"/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</row>
    <row r="7902" spans="8:18" x14ac:dyDescent="0.35"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</row>
    <row r="7903" spans="8:18" x14ac:dyDescent="0.35">
      <c r="H7903" s="13"/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</row>
    <row r="7904" spans="8:18" x14ac:dyDescent="0.35"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</row>
    <row r="7905" spans="8:18" x14ac:dyDescent="0.35"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</row>
    <row r="7906" spans="8:18" x14ac:dyDescent="0.35">
      <c r="H7906" s="13"/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</row>
    <row r="7907" spans="8:18" x14ac:dyDescent="0.35">
      <c r="H7907" s="13"/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</row>
    <row r="7908" spans="8:18" x14ac:dyDescent="0.35"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</row>
    <row r="7909" spans="8:18" x14ac:dyDescent="0.35">
      <c r="H7909" s="13"/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</row>
    <row r="7910" spans="8:18" x14ac:dyDescent="0.35">
      <c r="H7910" s="13"/>
      <c r="I7910" s="13"/>
      <c r="J7910" s="13"/>
      <c r="K7910" s="13"/>
      <c r="L7910" s="13"/>
      <c r="M7910" s="13"/>
      <c r="N7910" s="13"/>
      <c r="O7910" s="13"/>
      <c r="P7910" s="13"/>
      <c r="Q7910" s="13"/>
      <c r="R7910" s="13"/>
    </row>
    <row r="7911" spans="8:18" x14ac:dyDescent="0.35">
      <c r="H7911" s="13"/>
      <c r="I7911" s="13"/>
      <c r="J7911" s="13"/>
      <c r="K7911" s="13"/>
      <c r="L7911" s="13"/>
      <c r="M7911" s="13"/>
      <c r="N7911" s="13"/>
      <c r="O7911" s="13"/>
      <c r="P7911" s="13"/>
      <c r="Q7911" s="13"/>
      <c r="R7911" s="13"/>
    </row>
    <row r="7912" spans="8:18" x14ac:dyDescent="0.35">
      <c r="H7912" s="13"/>
      <c r="I7912" s="13"/>
      <c r="J7912" s="13"/>
      <c r="K7912" s="13"/>
      <c r="L7912" s="13"/>
      <c r="M7912" s="13"/>
      <c r="N7912" s="13"/>
      <c r="O7912" s="13"/>
      <c r="P7912" s="13"/>
      <c r="Q7912" s="13"/>
      <c r="R7912" s="13"/>
    </row>
    <row r="7913" spans="8:18" x14ac:dyDescent="0.35">
      <c r="H7913" s="13"/>
      <c r="I7913" s="13"/>
      <c r="J7913" s="13"/>
      <c r="K7913" s="13"/>
      <c r="L7913" s="13"/>
      <c r="M7913" s="13"/>
      <c r="N7913" s="13"/>
      <c r="O7913" s="13"/>
      <c r="P7913" s="13"/>
      <c r="Q7913" s="13"/>
      <c r="R7913" s="13"/>
    </row>
    <row r="7914" spans="8:18" x14ac:dyDescent="0.35">
      <c r="H7914" s="13"/>
      <c r="I7914" s="13"/>
      <c r="J7914" s="13"/>
      <c r="K7914" s="13"/>
      <c r="L7914" s="13"/>
      <c r="M7914" s="13"/>
      <c r="N7914" s="13"/>
      <c r="O7914" s="13"/>
      <c r="P7914" s="13"/>
      <c r="Q7914" s="13"/>
      <c r="R7914" s="13"/>
    </row>
    <row r="7915" spans="8:18" x14ac:dyDescent="0.35">
      <c r="H7915" s="13"/>
      <c r="I7915" s="13"/>
      <c r="J7915" s="13"/>
      <c r="K7915" s="13"/>
      <c r="L7915" s="13"/>
      <c r="M7915" s="13"/>
      <c r="N7915" s="13"/>
      <c r="O7915" s="13"/>
      <c r="P7915" s="13"/>
      <c r="Q7915" s="13"/>
      <c r="R7915" s="13"/>
    </row>
    <row r="7916" spans="8:18" x14ac:dyDescent="0.35">
      <c r="H7916" s="13"/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</row>
    <row r="7917" spans="8:18" x14ac:dyDescent="0.35">
      <c r="H7917" s="13"/>
      <c r="I7917" s="13"/>
      <c r="J7917" s="13"/>
      <c r="K7917" s="13"/>
      <c r="L7917" s="13"/>
      <c r="M7917" s="13"/>
      <c r="N7917" s="13"/>
      <c r="O7917" s="13"/>
      <c r="P7917" s="13"/>
      <c r="Q7917" s="13"/>
      <c r="R7917" s="13"/>
    </row>
    <row r="7918" spans="8:18" x14ac:dyDescent="0.35">
      <c r="H7918" s="13"/>
      <c r="I7918" s="13"/>
      <c r="J7918" s="13"/>
      <c r="K7918" s="13"/>
      <c r="L7918" s="13"/>
      <c r="M7918" s="13"/>
      <c r="N7918" s="13"/>
      <c r="O7918" s="13"/>
      <c r="P7918" s="13"/>
      <c r="Q7918" s="13"/>
      <c r="R7918" s="13"/>
    </row>
    <row r="7919" spans="8:18" x14ac:dyDescent="0.35">
      <c r="H7919" s="13"/>
      <c r="I7919" s="13"/>
      <c r="J7919" s="13"/>
      <c r="K7919" s="13"/>
      <c r="L7919" s="13"/>
      <c r="M7919" s="13"/>
      <c r="N7919" s="13"/>
      <c r="O7919" s="13"/>
      <c r="P7919" s="13"/>
      <c r="Q7919" s="13"/>
      <c r="R7919" s="13"/>
    </row>
    <row r="7920" spans="8:18" x14ac:dyDescent="0.35">
      <c r="H7920" s="13"/>
      <c r="I7920" s="13"/>
      <c r="J7920" s="13"/>
      <c r="K7920" s="13"/>
      <c r="L7920" s="13"/>
      <c r="M7920" s="13"/>
      <c r="N7920" s="13"/>
      <c r="O7920" s="13"/>
      <c r="P7920" s="13"/>
      <c r="Q7920" s="13"/>
      <c r="R7920" s="13"/>
    </row>
    <row r="7921" spans="8:18" x14ac:dyDescent="0.35">
      <c r="H7921" s="13"/>
      <c r="I7921" s="13"/>
      <c r="J7921" s="13"/>
      <c r="K7921" s="13"/>
      <c r="L7921" s="13"/>
      <c r="M7921" s="13"/>
      <c r="N7921" s="13"/>
      <c r="O7921" s="13"/>
      <c r="P7921" s="13"/>
      <c r="Q7921" s="13"/>
      <c r="R7921" s="13"/>
    </row>
    <row r="7922" spans="8:18" x14ac:dyDescent="0.35">
      <c r="H7922" s="13"/>
      <c r="I7922" s="13"/>
      <c r="J7922" s="13"/>
      <c r="K7922" s="13"/>
      <c r="L7922" s="13"/>
      <c r="M7922" s="13"/>
      <c r="N7922" s="13"/>
      <c r="O7922" s="13"/>
      <c r="P7922" s="13"/>
      <c r="Q7922" s="13"/>
      <c r="R7922" s="13"/>
    </row>
    <row r="7923" spans="8:18" x14ac:dyDescent="0.35">
      <c r="H7923" s="13"/>
      <c r="I7923" s="13"/>
      <c r="J7923" s="13"/>
      <c r="K7923" s="13"/>
      <c r="L7923" s="13"/>
      <c r="M7923" s="13"/>
      <c r="N7923" s="13"/>
      <c r="O7923" s="13"/>
      <c r="P7923" s="13"/>
      <c r="Q7923" s="13"/>
      <c r="R7923" s="13"/>
    </row>
    <row r="7924" spans="8:18" x14ac:dyDescent="0.35"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</row>
    <row r="7925" spans="8:18" x14ac:dyDescent="0.35"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</row>
    <row r="7926" spans="8:18" x14ac:dyDescent="0.35"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</row>
    <row r="7927" spans="8:18" x14ac:dyDescent="0.35"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</row>
    <row r="7928" spans="8:18" x14ac:dyDescent="0.35"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</row>
    <row r="7929" spans="8:18" x14ac:dyDescent="0.35"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</row>
    <row r="7930" spans="8:18" x14ac:dyDescent="0.35"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</row>
    <row r="7931" spans="8:18" x14ac:dyDescent="0.35"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</row>
    <row r="7932" spans="8:18" x14ac:dyDescent="0.35"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</row>
    <row r="7933" spans="8:18" x14ac:dyDescent="0.35"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</row>
    <row r="7934" spans="8:18" x14ac:dyDescent="0.35"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</row>
    <row r="7935" spans="8:18" x14ac:dyDescent="0.35"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</row>
    <row r="7936" spans="8:18" x14ac:dyDescent="0.35"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</row>
    <row r="7937" spans="8:18" x14ac:dyDescent="0.35"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</row>
    <row r="7938" spans="8:18" x14ac:dyDescent="0.35"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</row>
    <row r="7939" spans="8:18" x14ac:dyDescent="0.35"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</row>
    <row r="7940" spans="8:18" x14ac:dyDescent="0.35"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</row>
    <row r="7941" spans="8:18" x14ac:dyDescent="0.35"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</row>
    <row r="7942" spans="8:18" x14ac:dyDescent="0.35"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</row>
    <row r="7943" spans="8:18" x14ac:dyDescent="0.35"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</row>
    <row r="7944" spans="8:18" x14ac:dyDescent="0.35"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</row>
    <row r="7945" spans="8:18" x14ac:dyDescent="0.35"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</row>
    <row r="7946" spans="8:18" x14ac:dyDescent="0.35"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</row>
    <row r="7947" spans="8:18" x14ac:dyDescent="0.35"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</row>
    <row r="7948" spans="8:18" x14ac:dyDescent="0.35">
      <c r="H7948" s="13"/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</row>
    <row r="7949" spans="8:18" x14ac:dyDescent="0.35">
      <c r="H7949" s="13"/>
      <c r="I7949" s="13"/>
      <c r="J7949" s="13"/>
      <c r="K7949" s="13"/>
      <c r="L7949" s="13"/>
      <c r="M7949" s="13"/>
      <c r="N7949" s="13"/>
      <c r="O7949" s="13"/>
      <c r="P7949" s="13"/>
      <c r="Q7949" s="13"/>
      <c r="R7949" s="13"/>
    </row>
    <row r="7950" spans="8:18" x14ac:dyDescent="0.35">
      <c r="H7950" s="13"/>
      <c r="I7950" s="13"/>
      <c r="J7950" s="13"/>
      <c r="K7950" s="13"/>
      <c r="L7950" s="13"/>
      <c r="M7950" s="13"/>
      <c r="N7950" s="13"/>
      <c r="O7950" s="13"/>
      <c r="P7950" s="13"/>
      <c r="Q7950" s="13"/>
      <c r="R7950" s="13"/>
    </row>
    <row r="7951" spans="8:18" x14ac:dyDescent="0.35">
      <c r="H7951" s="13"/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</row>
    <row r="7952" spans="8:18" x14ac:dyDescent="0.35">
      <c r="H7952" s="13"/>
      <c r="I7952" s="13"/>
      <c r="J7952" s="13"/>
      <c r="K7952" s="13"/>
      <c r="L7952" s="13"/>
      <c r="M7952" s="13"/>
      <c r="N7952" s="13"/>
      <c r="O7952" s="13"/>
      <c r="P7952" s="13"/>
      <c r="Q7952" s="13"/>
      <c r="R7952" s="13"/>
    </row>
    <row r="7953" spans="8:18" x14ac:dyDescent="0.35"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</row>
    <row r="7954" spans="8:18" x14ac:dyDescent="0.35">
      <c r="H7954" s="13"/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</row>
    <row r="7955" spans="8:18" x14ac:dyDescent="0.35">
      <c r="H7955" s="13"/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</row>
    <row r="7956" spans="8:18" x14ac:dyDescent="0.35"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</row>
    <row r="7957" spans="8:18" x14ac:dyDescent="0.35"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</row>
    <row r="7958" spans="8:18" x14ac:dyDescent="0.35"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</row>
    <row r="7959" spans="8:18" x14ac:dyDescent="0.35"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</row>
    <row r="7960" spans="8:18" x14ac:dyDescent="0.35"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</row>
    <row r="7961" spans="8:18" x14ac:dyDescent="0.35"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</row>
    <row r="7962" spans="8:18" x14ac:dyDescent="0.35"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</row>
    <row r="7963" spans="8:18" x14ac:dyDescent="0.35"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</row>
    <row r="7964" spans="8:18" x14ac:dyDescent="0.35"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</row>
    <row r="7965" spans="8:18" x14ac:dyDescent="0.35"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</row>
    <row r="7966" spans="8:18" x14ac:dyDescent="0.35"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</row>
    <row r="7967" spans="8:18" x14ac:dyDescent="0.35">
      <c r="H7967" s="13"/>
      <c r="I7967" s="13"/>
      <c r="J7967" s="13"/>
      <c r="K7967" s="13"/>
      <c r="L7967" s="13"/>
      <c r="M7967" s="13"/>
      <c r="N7967" s="13"/>
      <c r="O7967" s="13"/>
      <c r="P7967" s="13"/>
      <c r="Q7967" s="13"/>
      <c r="R7967" s="13"/>
    </row>
    <row r="7968" spans="8:18" x14ac:dyDescent="0.35">
      <c r="H7968" s="13"/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</row>
    <row r="7969" spans="8:18" x14ac:dyDescent="0.35">
      <c r="H7969" s="13"/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</row>
    <row r="7970" spans="8:18" x14ac:dyDescent="0.35">
      <c r="H7970" s="13"/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</row>
    <row r="7971" spans="8:18" x14ac:dyDescent="0.35">
      <c r="H7971" s="13"/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</row>
    <row r="7972" spans="8:18" x14ac:dyDescent="0.35"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</row>
    <row r="7973" spans="8:18" x14ac:dyDescent="0.35">
      <c r="H7973" s="13"/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</row>
    <row r="7974" spans="8:18" x14ac:dyDescent="0.35">
      <c r="H7974" s="13"/>
      <c r="I7974" s="13"/>
      <c r="J7974" s="13"/>
      <c r="K7974" s="13"/>
      <c r="L7974" s="13"/>
      <c r="M7974" s="13"/>
      <c r="N7974" s="13"/>
      <c r="O7974" s="13"/>
      <c r="P7974" s="13"/>
      <c r="Q7974" s="13"/>
      <c r="R7974" s="13"/>
    </row>
    <row r="7975" spans="8:18" x14ac:dyDescent="0.35">
      <c r="H7975" s="13"/>
      <c r="I7975" s="13"/>
      <c r="J7975" s="13"/>
      <c r="K7975" s="13"/>
      <c r="L7975" s="13"/>
      <c r="M7975" s="13"/>
      <c r="N7975" s="13"/>
      <c r="O7975" s="13"/>
      <c r="P7975" s="13"/>
      <c r="Q7975" s="13"/>
      <c r="R7975" s="13"/>
    </row>
    <row r="7976" spans="8:18" x14ac:dyDescent="0.35">
      <c r="H7976" s="13"/>
      <c r="I7976" s="13"/>
      <c r="J7976" s="13"/>
      <c r="K7976" s="13"/>
      <c r="L7976" s="13"/>
      <c r="M7976" s="13"/>
      <c r="N7976" s="13"/>
      <c r="O7976" s="13"/>
      <c r="P7976" s="13"/>
      <c r="Q7976" s="13"/>
      <c r="R7976" s="13"/>
    </row>
    <row r="7977" spans="8:18" x14ac:dyDescent="0.35">
      <c r="H7977" s="13"/>
      <c r="I7977" s="13"/>
      <c r="J7977" s="13"/>
      <c r="K7977" s="13"/>
      <c r="L7977" s="13"/>
      <c r="M7977" s="13"/>
      <c r="N7977" s="13"/>
      <c r="O7977" s="13"/>
      <c r="P7977" s="13"/>
      <c r="Q7977" s="13"/>
      <c r="R7977" s="13"/>
    </row>
    <row r="7978" spans="8:18" x14ac:dyDescent="0.35">
      <c r="H7978" s="13"/>
      <c r="I7978" s="13"/>
      <c r="J7978" s="13"/>
      <c r="K7978" s="13"/>
      <c r="L7978" s="13"/>
      <c r="M7978" s="13"/>
      <c r="N7978" s="13"/>
      <c r="O7978" s="13"/>
      <c r="P7978" s="13"/>
      <c r="Q7978" s="13"/>
      <c r="R7978" s="13"/>
    </row>
    <row r="7979" spans="8:18" x14ac:dyDescent="0.35">
      <c r="H7979" s="13"/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</row>
    <row r="7980" spans="8:18" x14ac:dyDescent="0.35">
      <c r="H7980" s="13"/>
      <c r="I7980" s="13"/>
      <c r="J7980" s="13"/>
      <c r="K7980" s="13"/>
      <c r="L7980" s="13"/>
      <c r="M7980" s="13"/>
      <c r="N7980" s="13"/>
      <c r="O7980" s="13"/>
      <c r="P7980" s="13"/>
      <c r="Q7980" s="13"/>
      <c r="R7980" s="13"/>
    </row>
    <row r="7981" spans="8:18" x14ac:dyDescent="0.35">
      <c r="H7981" s="13"/>
      <c r="I7981" s="13"/>
      <c r="J7981" s="13"/>
      <c r="K7981" s="13"/>
      <c r="L7981" s="13"/>
      <c r="M7981" s="13"/>
      <c r="N7981" s="13"/>
      <c r="O7981" s="13"/>
      <c r="P7981" s="13"/>
      <c r="Q7981" s="13"/>
      <c r="R7981" s="13"/>
    </row>
    <row r="7982" spans="8:18" x14ac:dyDescent="0.35">
      <c r="H7982" s="13"/>
      <c r="I7982" s="13"/>
      <c r="J7982" s="13"/>
      <c r="K7982" s="13"/>
      <c r="L7982" s="13"/>
      <c r="M7982" s="13"/>
      <c r="N7982" s="13"/>
      <c r="O7982" s="13"/>
      <c r="P7982" s="13"/>
      <c r="Q7982" s="13"/>
      <c r="R7982" s="13"/>
    </row>
    <row r="7983" spans="8:18" x14ac:dyDescent="0.35"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</row>
    <row r="7984" spans="8:18" x14ac:dyDescent="0.35">
      <c r="H7984" s="13"/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</row>
    <row r="7985" spans="8:18" x14ac:dyDescent="0.35">
      <c r="H7985" s="13"/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</row>
    <row r="7986" spans="8:18" x14ac:dyDescent="0.35"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</row>
    <row r="7987" spans="8:18" x14ac:dyDescent="0.35">
      <c r="H7987" s="13"/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</row>
    <row r="7988" spans="8:18" x14ac:dyDescent="0.35">
      <c r="H7988" s="13"/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</row>
    <row r="7989" spans="8:18" x14ac:dyDescent="0.35"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</row>
    <row r="7990" spans="8:18" x14ac:dyDescent="0.35"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</row>
    <row r="7991" spans="8:18" x14ac:dyDescent="0.35">
      <c r="H7991" s="13"/>
      <c r="I7991" s="13"/>
      <c r="J7991" s="13"/>
      <c r="K7991" s="13"/>
      <c r="L7991" s="13"/>
      <c r="M7991" s="13"/>
      <c r="N7991" s="13"/>
      <c r="O7991" s="13"/>
      <c r="P7991" s="13"/>
      <c r="Q7991" s="13"/>
      <c r="R7991" s="13"/>
    </row>
    <row r="7992" spans="8:18" x14ac:dyDescent="0.35">
      <c r="H7992" s="13"/>
      <c r="I7992" s="13"/>
      <c r="J7992" s="13"/>
      <c r="K7992" s="13"/>
      <c r="L7992" s="13"/>
      <c r="M7992" s="13"/>
      <c r="N7992" s="13"/>
      <c r="O7992" s="13"/>
      <c r="P7992" s="13"/>
      <c r="Q7992" s="13"/>
      <c r="R7992" s="13"/>
    </row>
    <row r="7993" spans="8:18" x14ac:dyDescent="0.35">
      <c r="H7993" s="13"/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</row>
    <row r="7994" spans="8:18" x14ac:dyDescent="0.35">
      <c r="H7994" s="13"/>
      <c r="I7994" s="13"/>
      <c r="J7994" s="13"/>
      <c r="K7994" s="13"/>
      <c r="L7994" s="13"/>
      <c r="M7994" s="13"/>
      <c r="N7994" s="13"/>
      <c r="O7994" s="13"/>
      <c r="P7994" s="13"/>
      <c r="Q7994" s="13"/>
      <c r="R7994" s="13"/>
    </row>
    <row r="7995" spans="8:18" x14ac:dyDescent="0.35">
      <c r="H7995" s="13"/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</row>
    <row r="7996" spans="8:18" x14ac:dyDescent="0.35"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</row>
    <row r="7997" spans="8:18" x14ac:dyDescent="0.35">
      <c r="H7997" s="13"/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</row>
    <row r="7998" spans="8:18" x14ac:dyDescent="0.35">
      <c r="H7998" s="13"/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</row>
    <row r="7999" spans="8:18" x14ac:dyDescent="0.35">
      <c r="H7999" s="13"/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</row>
    <row r="8000" spans="8:18" x14ac:dyDescent="0.35">
      <c r="H8000" s="13"/>
      <c r="I8000" s="13"/>
      <c r="J8000" s="13"/>
      <c r="K8000" s="13"/>
      <c r="L8000" s="13"/>
      <c r="M8000" s="13"/>
      <c r="N8000" s="13"/>
      <c r="O8000" s="13"/>
      <c r="P8000" s="13"/>
      <c r="Q8000" s="13"/>
      <c r="R8000" s="13"/>
    </row>
    <row r="8001" spans="8:18" x14ac:dyDescent="0.35">
      <c r="H8001" s="13"/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</row>
    <row r="8002" spans="8:18" x14ac:dyDescent="0.35">
      <c r="H8002" s="13"/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</row>
    <row r="8003" spans="8:18" x14ac:dyDescent="0.35">
      <c r="H8003" s="13"/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</row>
    <row r="8004" spans="8:18" x14ac:dyDescent="0.35"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</row>
    <row r="8005" spans="8:18" x14ac:dyDescent="0.35">
      <c r="H8005" s="13"/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</row>
    <row r="8006" spans="8:18" x14ac:dyDescent="0.35">
      <c r="H8006" s="13"/>
      <c r="I8006" s="13"/>
      <c r="J8006" s="13"/>
      <c r="K8006" s="13"/>
      <c r="L8006" s="13"/>
      <c r="M8006" s="13"/>
      <c r="N8006" s="13"/>
      <c r="O8006" s="13"/>
      <c r="P8006" s="13"/>
      <c r="Q8006" s="13"/>
      <c r="R8006" s="13"/>
    </row>
    <row r="8007" spans="8:18" x14ac:dyDescent="0.35">
      <c r="H8007" s="13"/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</row>
    <row r="8008" spans="8:18" x14ac:dyDescent="0.35">
      <c r="H8008" s="13"/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</row>
    <row r="8009" spans="8:18" x14ac:dyDescent="0.35">
      <c r="H8009" s="13"/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</row>
    <row r="8010" spans="8:18" x14ac:dyDescent="0.35"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</row>
    <row r="8011" spans="8:18" x14ac:dyDescent="0.35">
      <c r="H8011" s="13"/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</row>
    <row r="8012" spans="8:18" x14ac:dyDescent="0.35">
      <c r="H8012" s="13"/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</row>
    <row r="8013" spans="8:18" x14ac:dyDescent="0.35">
      <c r="H8013" s="13"/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</row>
    <row r="8014" spans="8:18" x14ac:dyDescent="0.35"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</row>
    <row r="8015" spans="8:18" x14ac:dyDescent="0.35"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</row>
    <row r="8016" spans="8:18" x14ac:dyDescent="0.35">
      <c r="H8016" s="13"/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</row>
    <row r="8017" spans="8:18" x14ac:dyDescent="0.35">
      <c r="H8017" s="13"/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</row>
    <row r="8018" spans="8:18" x14ac:dyDescent="0.35">
      <c r="H8018" s="13"/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</row>
    <row r="8019" spans="8:18" x14ac:dyDescent="0.35">
      <c r="H8019" s="13"/>
      <c r="I8019" s="13"/>
      <c r="J8019" s="13"/>
      <c r="K8019" s="13"/>
      <c r="L8019" s="13"/>
      <c r="M8019" s="13"/>
      <c r="N8019" s="13"/>
      <c r="O8019" s="13"/>
      <c r="P8019" s="13"/>
      <c r="Q8019" s="13"/>
      <c r="R8019" s="13"/>
    </row>
    <row r="8020" spans="8:18" x14ac:dyDescent="0.35">
      <c r="H8020" s="13"/>
      <c r="I8020" s="13"/>
      <c r="J8020" s="13"/>
      <c r="K8020" s="13"/>
      <c r="L8020" s="13"/>
      <c r="M8020" s="13"/>
      <c r="N8020" s="13"/>
      <c r="O8020" s="13"/>
      <c r="P8020" s="13"/>
      <c r="Q8020" s="13"/>
      <c r="R8020" s="13"/>
    </row>
    <row r="8021" spans="8:18" x14ac:dyDescent="0.35">
      <c r="H8021" s="13"/>
      <c r="I8021" s="13"/>
      <c r="J8021" s="13"/>
      <c r="K8021" s="13"/>
      <c r="L8021" s="13"/>
      <c r="M8021" s="13"/>
      <c r="N8021" s="13"/>
      <c r="O8021" s="13"/>
      <c r="P8021" s="13"/>
      <c r="Q8021" s="13"/>
      <c r="R8021" s="13"/>
    </row>
    <row r="8022" spans="8:18" x14ac:dyDescent="0.35">
      <c r="H8022" s="13"/>
      <c r="I8022" s="13"/>
      <c r="J8022" s="13"/>
      <c r="K8022" s="13"/>
      <c r="L8022" s="13"/>
      <c r="M8022" s="13"/>
      <c r="N8022" s="13"/>
      <c r="O8022" s="13"/>
      <c r="P8022" s="13"/>
      <c r="Q8022" s="13"/>
      <c r="R8022" s="13"/>
    </row>
    <row r="8023" spans="8:18" x14ac:dyDescent="0.35">
      <c r="H8023" s="13"/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</row>
    <row r="8024" spans="8:18" x14ac:dyDescent="0.35">
      <c r="H8024" s="13"/>
      <c r="I8024" s="13"/>
      <c r="J8024" s="13"/>
      <c r="K8024" s="13"/>
      <c r="L8024" s="13"/>
      <c r="M8024" s="13"/>
      <c r="N8024" s="13"/>
      <c r="O8024" s="13"/>
      <c r="P8024" s="13"/>
      <c r="Q8024" s="13"/>
      <c r="R8024" s="13"/>
    </row>
    <row r="8025" spans="8:18" x14ac:dyDescent="0.35">
      <c r="H8025" s="13"/>
      <c r="I8025" s="13"/>
      <c r="J8025" s="13"/>
      <c r="K8025" s="13"/>
      <c r="L8025" s="13"/>
      <c r="M8025" s="13"/>
      <c r="N8025" s="13"/>
      <c r="O8025" s="13"/>
      <c r="P8025" s="13"/>
      <c r="Q8025" s="13"/>
      <c r="R8025" s="13"/>
    </row>
    <row r="8026" spans="8:18" x14ac:dyDescent="0.35">
      <c r="H8026" s="13"/>
      <c r="I8026" s="13"/>
      <c r="J8026" s="13"/>
      <c r="K8026" s="13"/>
      <c r="L8026" s="13"/>
      <c r="M8026" s="13"/>
      <c r="N8026" s="13"/>
      <c r="O8026" s="13"/>
      <c r="P8026" s="13"/>
      <c r="Q8026" s="13"/>
      <c r="R8026" s="13"/>
    </row>
    <row r="8027" spans="8:18" x14ac:dyDescent="0.35">
      <c r="H8027" s="13"/>
      <c r="I8027" s="13"/>
      <c r="J8027" s="13"/>
      <c r="K8027" s="13"/>
      <c r="L8027" s="13"/>
      <c r="M8027" s="13"/>
      <c r="N8027" s="13"/>
      <c r="O8027" s="13"/>
      <c r="P8027" s="13"/>
      <c r="Q8027" s="13"/>
      <c r="R8027" s="13"/>
    </row>
    <row r="8028" spans="8:18" x14ac:dyDescent="0.35">
      <c r="H8028" s="13"/>
      <c r="I8028" s="13"/>
      <c r="J8028" s="13"/>
      <c r="K8028" s="13"/>
      <c r="L8028" s="13"/>
      <c r="M8028" s="13"/>
      <c r="N8028" s="13"/>
      <c r="O8028" s="13"/>
      <c r="P8028" s="13"/>
      <c r="Q8028" s="13"/>
      <c r="R8028" s="13"/>
    </row>
    <row r="8029" spans="8:18" x14ac:dyDescent="0.35">
      <c r="H8029" s="13"/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</row>
    <row r="8030" spans="8:18" x14ac:dyDescent="0.35">
      <c r="H8030" s="13"/>
      <c r="I8030" s="13"/>
      <c r="J8030" s="13"/>
      <c r="K8030" s="13"/>
      <c r="L8030" s="13"/>
      <c r="M8030" s="13"/>
      <c r="N8030" s="13"/>
      <c r="O8030" s="13"/>
      <c r="P8030" s="13"/>
      <c r="Q8030" s="13"/>
      <c r="R8030" s="13"/>
    </row>
    <row r="8031" spans="8:18" x14ac:dyDescent="0.35">
      <c r="H8031" s="13"/>
      <c r="I8031" s="13"/>
      <c r="J8031" s="13"/>
      <c r="K8031" s="13"/>
      <c r="L8031" s="13"/>
      <c r="M8031" s="13"/>
      <c r="N8031" s="13"/>
      <c r="O8031" s="13"/>
      <c r="P8031" s="13"/>
      <c r="Q8031" s="13"/>
      <c r="R8031" s="13"/>
    </row>
    <row r="8032" spans="8:18" x14ac:dyDescent="0.35"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</row>
    <row r="8033" spans="8:18" x14ac:dyDescent="0.35">
      <c r="H8033" s="13"/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</row>
    <row r="8034" spans="8:18" x14ac:dyDescent="0.35">
      <c r="H8034" s="13"/>
      <c r="I8034" s="13"/>
      <c r="J8034" s="13"/>
      <c r="K8034" s="13"/>
      <c r="L8034" s="13"/>
      <c r="M8034" s="13"/>
      <c r="N8034" s="13"/>
      <c r="O8034" s="13"/>
      <c r="P8034" s="13"/>
      <c r="Q8034" s="13"/>
      <c r="R8034" s="13"/>
    </row>
    <row r="8035" spans="8:18" x14ac:dyDescent="0.35">
      <c r="H8035" s="13"/>
      <c r="I8035" s="13"/>
      <c r="J8035" s="13"/>
      <c r="K8035" s="13"/>
      <c r="L8035" s="13"/>
      <c r="M8035" s="13"/>
      <c r="N8035" s="13"/>
      <c r="O8035" s="13"/>
      <c r="P8035" s="13"/>
      <c r="Q8035" s="13"/>
      <c r="R8035" s="13"/>
    </row>
    <row r="8036" spans="8:18" x14ac:dyDescent="0.35">
      <c r="H8036" s="13"/>
      <c r="I8036" s="13"/>
      <c r="J8036" s="13"/>
      <c r="K8036" s="13"/>
      <c r="L8036" s="13"/>
      <c r="M8036" s="13"/>
      <c r="N8036" s="13"/>
      <c r="O8036" s="13"/>
      <c r="P8036" s="13"/>
      <c r="Q8036" s="13"/>
      <c r="R8036" s="13"/>
    </row>
    <row r="8037" spans="8:18" x14ac:dyDescent="0.35">
      <c r="H8037" s="13"/>
      <c r="I8037" s="13"/>
      <c r="J8037" s="13"/>
      <c r="K8037" s="13"/>
      <c r="L8037" s="13"/>
      <c r="M8037" s="13"/>
      <c r="N8037" s="13"/>
      <c r="O8037" s="13"/>
      <c r="P8037" s="13"/>
      <c r="Q8037" s="13"/>
      <c r="R8037" s="13"/>
    </row>
    <row r="8038" spans="8:18" x14ac:dyDescent="0.35">
      <c r="H8038" s="13"/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</row>
    <row r="8039" spans="8:18" x14ac:dyDescent="0.35">
      <c r="H8039" s="13"/>
      <c r="I8039" s="13"/>
      <c r="J8039" s="13"/>
      <c r="K8039" s="13"/>
      <c r="L8039" s="13"/>
      <c r="M8039" s="13"/>
      <c r="N8039" s="13"/>
      <c r="O8039" s="13"/>
      <c r="P8039" s="13"/>
      <c r="Q8039" s="13"/>
      <c r="R8039" s="13"/>
    </row>
    <row r="8040" spans="8:18" x14ac:dyDescent="0.35">
      <c r="H8040" s="13"/>
      <c r="I8040" s="13"/>
      <c r="J8040" s="13"/>
      <c r="K8040" s="13"/>
      <c r="L8040" s="13"/>
      <c r="M8040" s="13"/>
      <c r="N8040" s="13"/>
      <c r="O8040" s="13"/>
      <c r="P8040" s="13"/>
      <c r="Q8040" s="13"/>
      <c r="R8040" s="13"/>
    </row>
    <row r="8041" spans="8:18" x14ac:dyDescent="0.35"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</row>
    <row r="8042" spans="8:18" x14ac:dyDescent="0.35"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</row>
    <row r="8043" spans="8:18" x14ac:dyDescent="0.35"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</row>
    <row r="8044" spans="8:18" x14ac:dyDescent="0.35"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</row>
    <row r="8045" spans="8:18" x14ac:dyDescent="0.35"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</row>
    <row r="8046" spans="8:18" x14ac:dyDescent="0.35"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</row>
    <row r="8047" spans="8:18" x14ac:dyDescent="0.35"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</row>
    <row r="8048" spans="8:18" x14ac:dyDescent="0.35">
      <c r="H8048" s="13"/>
      <c r="I8048" s="13"/>
      <c r="J8048" s="13"/>
      <c r="K8048" s="13"/>
      <c r="L8048" s="13"/>
      <c r="M8048" s="13"/>
      <c r="N8048" s="13"/>
      <c r="O8048" s="13"/>
      <c r="P8048" s="13"/>
      <c r="Q8048" s="13"/>
      <c r="R8048" s="13"/>
    </row>
    <row r="8049" spans="8:18" x14ac:dyDescent="0.35"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</row>
    <row r="8050" spans="8:18" x14ac:dyDescent="0.35"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</row>
    <row r="8051" spans="8:18" x14ac:dyDescent="0.35"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</row>
    <row r="8052" spans="8:18" x14ac:dyDescent="0.35"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</row>
    <row r="8053" spans="8:18" x14ac:dyDescent="0.35"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</row>
    <row r="8054" spans="8:18" x14ac:dyDescent="0.35"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</row>
    <row r="8055" spans="8:18" x14ac:dyDescent="0.35"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</row>
    <row r="8056" spans="8:18" x14ac:dyDescent="0.35"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</row>
    <row r="8057" spans="8:18" x14ac:dyDescent="0.35"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</row>
    <row r="8058" spans="8:18" x14ac:dyDescent="0.35"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</row>
    <row r="8059" spans="8:18" x14ac:dyDescent="0.35"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</row>
    <row r="8060" spans="8:18" x14ac:dyDescent="0.35"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</row>
    <row r="8061" spans="8:18" x14ac:dyDescent="0.35"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</row>
    <row r="8062" spans="8:18" x14ac:dyDescent="0.35"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</row>
    <row r="8063" spans="8:18" x14ac:dyDescent="0.35"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</row>
    <row r="8064" spans="8:18" x14ac:dyDescent="0.35"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</row>
    <row r="8065" spans="8:18" x14ac:dyDescent="0.35"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</row>
    <row r="8066" spans="8:18" x14ac:dyDescent="0.35"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</row>
    <row r="8067" spans="8:18" x14ac:dyDescent="0.35"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</row>
    <row r="8068" spans="8:18" x14ac:dyDescent="0.35"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</row>
    <row r="8069" spans="8:18" x14ac:dyDescent="0.35"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</row>
    <row r="8070" spans="8:18" x14ac:dyDescent="0.35"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</row>
    <row r="8071" spans="8:18" x14ac:dyDescent="0.35"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</row>
    <row r="8072" spans="8:18" x14ac:dyDescent="0.35"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</row>
    <row r="8073" spans="8:18" x14ac:dyDescent="0.35"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</row>
    <row r="8074" spans="8:18" x14ac:dyDescent="0.35"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</row>
    <row r="8075" spans="8:18" x14ac:dyDescent="0.35"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</row>
    <row r="8076" spans="8:18" x14ac:dyDescent="0.35">
      <c r="H8076" s="13"/>
      <c r="I8076" s="13"/>
      <c r="J8076" s="13"/>
      <c r="K8076" s="13"/>
      <c r="L8076" s="13"/>
      <c r="M8076" s="13"/>
      <c r="N8076" s="13"/>
      <c r="O8076" s="13"/>
      <c r="P8076" s="13"/>
      <c r="Q8076" s="13"/>
      <c r="R8076" s="13"/>
    </row>
    <row r="8077" spans="8:18" x14ac:dyDescent="0.35">
      <c r="H8077" s="13"/>
      <c r="I8077" s="13"/>
      <c r="J8077" s="13"/>
      <c r="K8077" s="13"/>
      <c r="L8077" s="13"/>
      <c r="M8077" s="13"/>
      <c r="N8077" s="13"/>
      <c r="O8077" s="13"/>
      <c r="P8077" s="13"/>
      <c r="Q8077" s="13"/>
      <c r="R8077" s="13"/>
    </row>
    <row r="8078" spans="8:18" x14ac:dyDescent="0.35"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</row>
    <row r="8079" spans="8:18" x14ac:dyDescent="0.35"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</row>
    <row r="8080" spans="8:18" x14ac:dyDescent="0.35"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</row>
    <row r="8081" spans="8:18" x14ac:dyDescent="0.35"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</row>
    <row r="8082" spans="8:18" x14ac:dyDescent="0.35"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</row>
    <row r="8083" spans="8:18" x14ac:dyDescent="0.35"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</row>
    <row r="8084" spans="8:18" x14ac:dyDescent="0.35"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</row>
    <row r="8085" spans="8:18" x14ac:dyDescent="0.35"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</row>
    <row r="8086" spans="8:18" x14ac:dyDescent="0.35"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</row>
    <row r="8087" spans="8:18" x14ac:dyDescent="0.35"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</row>
    <row r="8088" spans="8:18" x14ac:dyDescent="0.35"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</row>
    <row r="8089" spans="8:18" x14ac:dyDescent="0.35"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</row>
    <row r="8090" spans="8:18" x14ac:dyDescent="0.35"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</row>
    <row r="8091" spans="8:18" x14ac:dyDescent="0.35"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</row>
    <row r="8092" spans="8:18" x14ac:dyDescent="0.35"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</row>
    <row r="8093" spans="8:18" x14ac:dyDescent="0.35"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</row>
    <row r="8094" spans="8:18" x14ac:dyDescent="0.35"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</row>
    <row r="8095" spans="8:18" x14ac:dyDescent="0.35"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</row>
    <row r="8096" spans="8:18" x14ac:dyDescent="0.35"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</row>
    <row r="8097" spans="8:18" x14ac:dyDescent="0.35"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</row>
    <row r="8098" spans="8:18" x14ac:dyDescent="0.35"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</row>
    <row r="8099" spans="8:18" x14ac:dyDescent="0.35"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</row>
    <row r="8100" spans="8:18" x14ac:dyDescent="0.35"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</row>
    <row r="8101" spans="8:18" x14ac:dyDescent="0.35"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</row>
    <row r="8102" spans="8:18" x14ac:dyDescent="0.35"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</row>
    <row r="8103" spans="8:18" x14ac:dyDescent="0.35"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</row>
    <row r="8104" spans="8:18" x14ac:dyDescent="0.35"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</row>
    <row r="8105" spans="8:18" x14ac:dyDescent="0.35">
      <c r="H8105" s="13"/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</row>
    <row r="8106" spans="8:18" x14ac:dyDescent="0.35">
      <c r="H8106" s="13"/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</row>
    <row r="8107" spans="8:18" x14ac:dyDescent="0.35">
      <c r="H8107" s="13"/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</row>
    <row r="8108" spans="8:18" x14ac:dyDescent="0.35"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</row>
    <row r="8109" spans="8:18" x14ac:dyDescent="0.35">
      <c r="H8109" s="13"/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</row>
    <row r="8110" spans="8:18" x14ac:dyDescent="0.35">
      <c r="H8110" s="13"/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</row>
    <row r="8111" spans="8:18" x14ac:dyDescent="0.35">
      <c r="H8111" s="13"/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</row>
    <row r="8112" spans="8:18" x14ac:dyDescent="0.35">
      <c r="H8112" s="13"/>
      <c r="I8112" s="13"/>
      <c r="J8112" s="13"/>
      <c r="K8112" s="13"/>
      <c r="L8112" s="13"/>
      <c r="M8112" s="13"/>
      <c r="N8112" s="13"/>
      <c r="O8112" s="13"/>
      <c r="P8112" s="13"/>
      <c r="Q8112" s="13"/>
      <c r="R8112" s="13"/>
    </row>
    <row r="8113" spans="8:18" x14ac:dyDescent="0.35">
      <c r="H8113" s="13"/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</row>
    <row r="8114" spans="8:18" x14ac:dyDescent="0.35"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</row>
    <row r="8115" spans="8:18" x14ac:dyDescent="0.35">
      <c r="H8115" s="13"/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</row>
    <row r="8116" spans="8:18" x14ac:dyDescent="0.35">
      <c r="H8116" s="13"/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</row>
    <row r="8117" spans="8:18" x14ac:dyDescent="0.35"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</row>
    <row r="8118" spans="8:18" x14ac:dyDescent="0.35"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</row>
    <row r="8119" spans="8:18" x14ac:dyDescent="0.35">
      <c r="H8119" s="13"/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</row>
    <row r="8120" spans="8:18" x14ac:dyDescent="0.35">
      <c r="H8120" s="13"/>
      <c r="I8120" s="13"/>
      <c r="J8120" s="13"/>
      <c r="K8120" s="13"/>
      <c r="L8120" s="13"/>
      <c r="M8120" s="13"/>
      <c r="N8120" s="13"/>
      <c r="O8120" s="13"/>
      <c r="P8120" s="13"/>
      <c r="Q8120" s="13"/>
      <c r="R8120" s="13"/>
    </row>
    <row r="8121" spans="8:18" x14ac:dyDescent="0.35"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</row>
    <row r="8122" spans="8:18" x14ac:dyDescent="0.35">
      <c r="H8122" s="13"/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</row>
    <row r="8123" spans="8:18" x14ac:dyDescent="0.35">
      <c r="H8123" s="13"/>
      <c r="I8123" s="13"/>
      <c r="J8123" s="13"/>
      <c r="K8123" s="13"/>
      <c r="L8123" s="13"/>
      <c r="M8123" s="13"/>
      <c r="N8123" s="13"/>
      <c r="O8123" s="13"/>
      <c r="P8123" s="13"/>
      <c r="Q8123" s="13"/>
      <c r="R8123" s="13"/>
    </row>
    <row r="8124" spans="8:18" x14ac:dyDescent="0.35"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</row>
    <row r="8125" spans="8:18" x14ac:dyDescent="0.35">
      <c r="H8125" s="13"/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</row>
    <row r="8126" spans="8:18" x14ac:dyDescent="0.35">
      <c r="H8126" s="13"/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</row>
    <row r="8127" spans="8:18" x14ac:dyDescent="0.35">
      <c r="H8127" s="13"/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</row>
    <row r="8128" spans="8:18" x14ac:dyDescent="0.35">
      <c r="H8128" s="13"/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</row>
    <row r="8129" spans="8:18" x14ac:dyDescent="0.35">
      <c r="H8129" s="13"/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</row>
    <row r="8130" spans="8:18" x14ac:dyDescent="0.35">
      <c r="H8130" s="13"/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</row>
    <row r="8131" spans="8:18" x14ac:dyDescent="0.35"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</row>
    <row r="8132" spans="8:18" x14ac:dyDescent="0.35"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</row>
    <row r="8133" spans="8:18" x14ac:dyDescent="0.35">
      <c r="H8133" s="13"/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</row>
    <row r="8134" spans="8:18" x14ac:dyDescent="0.35">
      <c r="H8134" s="13"/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</row>
    <row r="8135" spans="8:18" x14ac:dyDescent="0.35">
      <c r="H8135" s="13"/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</row>
    <row r="8136" spans="8:18" x14ac:dyDescent="0.35">
      <c r="H8136" s="13"/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</row>
    <row r="8137" spans="8:18" x14ac:dyDescent="0.35">
      <c r="H8137" s="13"/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</row>
    <row r="8138" spans="8:18" x14ac:dyDescent="0.35"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</row>
    <row r="8139" spans="8:18" x14ac:dyDescent="0.35">
      <c r="H8139" s="13"/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</row>
    <row r="8140" spans="8:18" x14ac:dyDescent="0.35">
      <c r="H8140" s="13"/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</row>
    <row r="8141" spans="8:18" x14ac:dyDescent="0.35">
      <c r="H8141" s="13"/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</row>
    <row r="8142" spans="8:18" x14ac:dyDescent="0.35">
      <c r="H8142" s="13"/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</row>
    <row r="8143" spans="8:18" x14ac:dyDescent="0.35">
      <c r="H8143" s="13"/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</row>
    <row r="8144" spans="8:18" x14ac:dyDescent="0.35">
      <c r="H8144" s="13"/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</row>
    <row r="8145" spans="8:18" x14ac:dyDescent="0.35"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</row>
    <row r="8146" spans="8:18" x14ac:dyDescent="0.35"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</row>
    <row r="8147" spans="8:18" x14ac:dyDescent="0.35"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</row>
    <row r="8148" spans="8:18" x14ac:dyDescent="0.35"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</row>
    <row r="8149" spans="8:18" x14ac:dyDescent="0.35"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</row>
    <row r="8150" spans="8:18" x14ac:dyDescent="0.35"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</row>
    <row r="8151" spans="8:18" x14ac:dyDescent="0.35"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</row>
    <row r="8152" spans="8:18" x14ac:dyDescent="0.35"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</row>
    <row r="8153" spans="8:18" x14ac:dyDescent="0.35"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</row>
    <row r="8154" spans="8:18" x14ac:dyDescent="0.35"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</row>
    <row r="8155" spans="8:18" x14ac:dyDescent="0.35"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</row>
    <row r="8156" spans="8:18" x14ac:dyDescent="0.35"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</row>
    <row r="8157" spans="8:18" x14ac:dyDescent="0.35"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</row>
    <row r="8158" spans="8:18" x14ac:dyDescent="0.35"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</row>
    <row r="8159" spans="8:18" x14ac:dyDescent="0.35"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</row>
    <row r="8160" spans="8:18" x14ac:dyDescent="0.35"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</row>
    <row r="8161" spans="8:18" x14ac:dyDescent="0.35"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</row>
    <row r="8162" spans="8:18" x14ac:dyDescent="0.35"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</row>
    <row r="8163" spans="8:18" x14ac:dyDescent="0.35"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</row>
    <row r="8164" spans="8:18" x14ac:dyDescent="0.35"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</row>
    <row r="8165" spans="8:18" x14ac:dyDescent="0.35"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</row>
    <row r="8166" spans="8:18" x14ac:dyDescent="0.35"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</row>
    <row r="8167" spans="8:18" x14ac:dyDescent="0.35"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</row>
    <row r="8168" spans="8:18" x14ac:dyDescent="0.35"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</row>
    <row r="8169" spans="8:18" x14ac:dyDescent="0.35"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</row>
    <row r="8170" spans="8:18" x14ac:dyDescent="0.35"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</row>
    <row r="8171" spans="8:18" x14ac:dyDescent="0.35">
      <c r="H8171" s="13"/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</row>
    <row r="8172" spans="8:18" x14ac:dyDescent="0.35">
      <c r="H8172" s="13"/>
      <c r="I8172" s="13"/>
      <c r="J8172" s="13"/>
      <c r="K8172" s="13"/>
      <c r="L8172" s="13"/>
      <c r="M8172" s="13"/>
      <c r="N8172" s="13"/>
      <c r="O8172" s="13"/>
      <c r="P8172" s="13"/>
      <c r="Q8172" s="13"/>
      <c r="R8172" s="13"/>
    </row>
    <row r="8173" spans="8:18" x14ac:dyDescent="0.35">
      <c r="H8173" s="13"/>
      <c r="I8173" s="13"/>
      <c r="J8173" s="13"/>
      <c r="K8173" s="13"/>
      <c r="L8173" s="13"/>
      <c r="M8173" s="13"/>
      <c r="N8173" s="13"/>
      <c r="O8173" s="13"/>
      <c r="P8173" s="13"/>
      <c r="Q8173" s="13"/>
      <c r="R8173" s="13"/>
    </row>
    <row r="8174" spans="8:18" x14ac:dyDescent="0.35">
      <c r="H8174" s="13"/>
      <c r="I8174" s="13"/>
      <c r="J8174" s="13"/>
      <c r="K8174" s="13"/>
      <c r="L8174" s="13"/>
      <c r="M8174" s="13"/>
      <c r="N8174" s="13"/>
      <c r="O8174" s="13"/>
      <c r="P8174" s="13"/>
      <c r="Q8174" s="13"/>
      <c r="R8174" s="13"/>
    </row>
    <row r="8175" spans="8:18" x14ac:dyDescent="0.35">
      <c r="H8175" s="13"/>
      <c r="I8175" s="13"/>
      <c r="J8175" s="13"/>
      <c r="K8175" s="13"/>
      <c r="L8175" s="13"/>
      <c r="M8175" s="13"/>
      <c r="N8175" s="13"/>
      <c r="O8175" s="13"/>
      <c r="P8175" s="13"/>
      <c r="Q8175" s="13"/>
      <c r="R8175" s="13"/>
    </row>
    <row r="8176" spans="8:18" x14ac:dyDescent="0.35">
      <c r="H8176" s="13"/>
      <c r="I8176" s="13"/>
      <c r="J8176" s="13"/>
      <c r="K8176" s="13"/>
      <c r="L8176" s="13"/>
      <c r="M8176" s="13"/>
      <c r="N8176" s="13"/>
      <c r="O8176" s="13"/>
      <c r="P8176" s="13"/>
      <c r="Q8176" s="13"/>
      <c r="R8176" s="13"/>
    </row>
    <row r="8177" spans="8:18" x14ac:dyDescent="0.35">
      <c r="H8177" s="13"/>
      <c r="I8177" s="13"/>
      <c r="J8177" s="13"/>
      <c r="K8177" s="13"/>
      <c r="L8177" s="13"/>
      <c r="M8177" s="13"/>
      <c r="N8177" s="13"/>
      <c r="O8177" s="13"/>
      <c r="P8177" s="13"/>
      <c r="Q8177" s="13"/>
      <c r="R8177" s="13"/>
    </row>
    <row r="8178" spans="8:18" x14ac:dyDescent="0.35">
      <c r="H8178" s="13"/>
      <c r="I8178" s="13"/>
      <c r="J8178" s="13"/>
      <c r="K8178" s="13"/>
      <c r="L8178" s="13"/>
      <c r="M8178" s="13"/>
      <c r="N8178" s="13"/>
      <c r="O8178" s="13"/>
      <c r="P8178" s="13"/>
      <c r="Q8178" s="13"/>
      <c r="R8178" s="13"/>
    </row>
    <row r="8179" spans="8:18" x14ac:dyDescent="0.35">
      <c r="H8179" s="13"/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</row>
    <row r="8180" spans="8:18" x14ac:dyDescent="0.35">
      <c r="H8180" s="13"/>
      <c r="I8180" s="13"/>
      <c r="J8180" s="13"/>
      <c r="K8180" s="13"/>
      <c r="L8180" s="13"/>
      <c r="M8180" s="13"/>
      <c r="N8180" s="13"/>
      <c r="O8180" s="13"/>
      <c r="P8180" s="13"/>
      <c r="Q8180" s="13"/>
      <c r="R8180" s="13"/>
    </row>
    <row r="8181" spans="8:18" x14ac:dyDescent="0.35">
      <c r="H8181" s="13"/>
      <c r="I8181" s="13"/>
      <c r="J8181" s="13"/>
      <c r="K8181" s="13"/>
      <c r="L8181" s="13"/>
      <c r="M8181" s="13"/>
      <c r="N8181" s="13"/>
      <c r="O8181" s="13"/>
      <c r="P8181" s="13"/>
      <c r="Q8181" s="13"/>
      <c r="R8181" s="13"/>
    </row>
    <row r="8182" spans="8:18" x14ac:dyDescent="0.35"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3"/>
    </row>
    <row r="8183" spans="8:18" x14ac:dyDescent="0.35">
      <c r="H8183" s="13"/>
      <c r="I8183" s="13"/>
      <c r="J8183" s="13"/>
      <c r="K8183" s="13"/>
      <c r="L8183" s="13"/>
      <c r="M8183" s="13"/>
      <c r="N8183" s="13"/>
      <c r="O8183" s="13"/>
      <c r="P8183" s="13"/>
      <c r="Q8183" s="13"/>
      <c r="R8183" s="13"/>
    </row>
    <row r="8184" spans="8:18" x14ac:dyDescent="0.35">
      <c r="H8184" s="13"/>
      <c r="I8184" s="13"/>
      <c r="J8184" s="13"/>
      <c r="K8184" s="13"/>
      <c r="L8184" s="13"/>
      <c r="M8184" s="13"/>
      <c r="N8184" s="13"/>
      <c r="O8184" s="13"/>
      <c r="P8184" s="13"/>
      <c r="Q8184" s="13"/>
      <c r="R8184" s="13"/>
    </row>
    <row r="8185" spans="8:18" x14ac:dyDescent="0.35"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</row>
    <row r="8186" spans="8:18" x14ac:dyDescent="0.35">
      <c r="H8186" s="13"/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</row>
    <row r="8187" spans="8:18" x14ac:dyDescent="0.35">
      <c r="H8187" s="13"/>
      <c r="I8187" s="13"/>
      <c r="J8187" s="13"/>
      <c r="K8187" s="13"/>
      <c r="L8187" s="13"/>
      <c r="M8187" s="13"/>
      <c r="N8187" s="13"/>
      <c r="O8187" s="13"/>
      <c r="P8187" s="13"/>
      <c r="Q8187" s="13"/>
      <c r="R8187" s="13"/>
    </row>
    <row r="8188" spans="8:18" x14ac:dyDescent="0.35">
      <c r="H8188" s="13"/>
      <c r="I8188" s="13"/>
      <c r="J8188" s="13"/>
      <c r="K8188" s="13"/>
      <c r="L8188" s="13"/>
      <c r="M8188" s="13"/>
      <c r="N8188" s="13"/>
      <c r="O8188" s="13"/>
      <c r="P8188" s="13"/>
      <c r="Q8188" s="13"/>
      <c r="R8188" s="13"/>
    </row>
    <row r="8189" spans="8:18" x14ac:dyDescent="0.35">
      <c r="H8189" s="13"/>
      <c r="I8189" s="13"/>
      <c r="J8189" s="13"/>
      <c r="K8189" s="13"/>
      <c r="L8189" s="13"/>
      <c r="M8189" s="13"/>
      <c r="N8189" s="13"/>
      <c r="O8189" s="13"/>
      <c r="P8189" s="13"/>
      <c r="Q8189" s="13"/>
      <c r="R8189" s="13"/>
    </row>
    <row r="8190" spans="8:18" x14ac:dyDescent="0.35">
      <c r="H8190" s="13"/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</row>
    <row r="8191" spans="8:18" x14ac:dyDescent="0.35">
      <c r="H8191" s="13"/>
      <c r="I8191" s="13"/>
      <c r="J8191" s="13"/>
      <c r="K8191" s="13"/>
      <c r="L8191" s="13"/>
      <c r="M8191" s="13"/>
      <c r="N8191" s="13"/>
      <c r="O8191" s="13"/>
      <c r="P8191" s="13"/>
      <c r="Q8191" s="13"/>
      <c r="R8191" s="13"/>
    </row>
    <row r="8192" spans="8:18" x14ac:dyDescent="0.35">
      <c r="H8192" s="13"/>
      <c r="I8192" s="13"/>
      <c r="J8192" s="13"/>
      <c r="K8192" s="13"/>
      <c r="L8192" s="13"/>
      <c r="M8192" s="13"/>
      <c r="N8192" s="13"/>
      <c r="O8192" s="13"/>
      <c r="P8192" s="13"/>
      <c r="Q8192" s="13"/>
      <c r="R8192" s="13"/>
    </row>
    <row r="8193" spans="8:18" x14ac:dyDescent="0.35">
      <c r="H8193" s="13"/>
      <c r="I8193" s="13"/>
      <c r="J8193" s="13"/>
      <c r="K8193" s="13"/>
      <c r="L8193" s="13"/>
      <c r="M8193" s="13"/>
      <c r="N8193" s="13"/>
      <c r="O8193" s="13"/>
      <c r="P8193" s="13"/>
      <c r="Q8193" s="13"/>
      <c r="R8193" s="13"/>
    </row>
    <row r="8194" spans="8:18" x14ac:dyDescent="0.35">
      <c r="H8194" s="13"/>
      <c r="I8194" s="13"/>
      <c r="J8194" s="13"/>
      <c r="K8194" s="13"/>
      <c r="L8194" s="13"/>
      <c r="M8194" s="13"/>
      <c r="N8194" s="13"/>
      <c r="O8194" s="13"/>
      <c r="P8194" s="13"/>
      <c r="Q8194" s="13"/>
      <c r="R8194" s="13"/>
    </row>
    <row r="8195" spans="8:18" x14ac:dyDescent="0.35">
      <c r="H8195" s="13"/>
      <c r="I8195" s="13"/>
      <c r="J8195" s="13"/>
      <c r="K8195" s="13"/>
      <c r="L8195" s="13"/>
      <c r="M8195" s="13"/>
      <c r="N8195" s="13"/>
      <c r="O8195" s="13"/>
      <c r="P8195" s="13"/>
      <c r="Q8195" s="13"/>
      <c r="R8195" s="13"/>
    </row>
    <row r="8196" spans="8:18" x14ac:dyDescent="0.35"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</row>
    <row r="8197" spans="8:18" x14ac:dyDescent="0.35">
      <c r="H8197" s="13"/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</row>
    <row r="8198" spans="8:18" x14ac:dyDescent="0.35">
      <c r="H8198" s="13"/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</row>
    <row r="8199" spans="8:18" x14ac:dyDescent="0.35">
      <c r="H8199" s="13"/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</row>
    <row r="8200" spans="8:18" x14ac:dyDescent="0.35">
      <c r="H8200" s="13"/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</row>
    <row r="8201" spans="8:18" x14ac:dyDescent="0.35"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</row>
    <row r="8202" spans="8:18" x14ac:dyDescent="0.35">
      <c r="H8202" s="13"/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</row>
    <row r="8203" spans="8:18" x14ac:dyDescent="0.35">
      <c r="H8203" s="13"/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</row>
    <row r="8204" spans="8:18" x14ac:dyDescent="0.35">
      <c r="H8204" s="13"/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</row>
    <row r="8205" spans="8:18" x14ac:dyDescent="0.35">
      <c r="H8205" s="13"/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</row>
    <row r="8206" spans="8:18" x14ac:dyDescent="0.35"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</row>
    <row r="8207" spans="8:18" x14ac:dyDescent="0.35"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</row>
    <row r="8208" spans="8:18" x14ac:dyDescent="0.35"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</row>
    <row r="8209" spans="8:18" x14ac:dyDescent="0.35"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</row>
    <row r="8210" spans="8:18" x14ac:dyDescent="0.35"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</row>
    <row r="8211" spans="8:18" x14ac:dyDescent="0.35"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</row>
    <row r="8212" spans="8:18" x14ac:dyDescent="0.35"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</row>
    <row r="8213" spans="8:18" x14ac:dyDescent="0.35"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</row>
    <row r="8214" spans="8:18" x14ac:dyDescent="0.35">
      <c r="H8214" s="13"/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</row>
    <row r="8215" spans="8:18" x14ac:dyDescent="0.35">
      <c r="H8215" s="13"/>
      <c r="I8215" s="13"/>
      <c r="J8215" s="13"/>
      <c r="K8215" s="13"/>
      <c r="L8215" s="13"/>
      <c r="M8215" s="13"/>
      <c r="N8215" s="13"/>
      <c r="O8215" s="13"/>
      <c r="P8215" s="13"/>
      <c r="Q8215" s="13"/>
      <c r="R8215" s="13"/>
    </row>
    <row r="8216" spans="8:18" x14ac:dyDescent="0.35"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</row>
    <row r="8217" spans="8:18" x14ac:dyDescent="0.35">
      <c r="H8217" s="13"/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</row>
    <row r="8218" spans="8:18" x14ac:dyDescent="0.35">
      <c r="H8218" s="13"/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</row>
    <row r="8219" spans="8:18" x14ac:dyDescent="0.35"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</row>
    <row r="8220" spans="8:18" x14ac:dyDescent="0.35">
      <c r="H8220" s="13"/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</row>
    <row r="8221" spans="8:18" x14ac:dyDescent="0.35">
      <c r="H8221" s="13"/>
      <c r="I8221" s="13"/>
      <c r="J8221" s="13"/>
      <c r="K8221" s="13"/>
      <c r="L8221" s="13"/>
      <c r="M8221" s="13"/>
      <c r="N8221" s="13"/>
      <c r="O8221" s="13"/>
      <c r="P8221" s="13"/>
      <c r="Q8221" s="13"/>
      <c r="R8221" s="13"/>
    </row>
    <row r="8222" spans="8:18" x14ac:dyDescent="0.35">
      <c r="H8222" s="13"/>
      <c r="I8222" s="13"/>
      <c r="J8222" s="13"/>
      <c r="K8222" s="13"/>
      <c r="L8222" s="13"/>
      <c r="M8222" s="13"/>
      <c r="N8222" s="13"/>
      <c r="O8222" s="13"/>
      <c r="P8222" s="13"/>
      <c r="Q8222" s="13"/>
      <c r="R8222" s="13"/>
    </row>
    <row r="8223" spans="8:18" x14ac:dyDescent="0.35">
      <c r="H8223" s="13"/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</row>
    <row r="8224" spans="8:18" x14ac:dyDescent="0.35">
      <c r="H8224" s="13"/>
      <c r="I8224" s="13"/>
      <c r="J8224" s="13"/>
      <c r="K8224" s="13"/>
      <c r="L8224" s="13"/>
      <c r="M8224" s="13"/>
      <c r="N8224" s="13"/>
      <c r="O8224" s="13"/>
      <c r="P8224" s="13"/>
      <c r="Q8224" s="13"/>
      <c r="R8224" s="13"/>
    </row>
    <row r="8225" spans="8:18" x14ac:dyDescent="0.35">
      <c r="H8225" s="13"/>
      <c r="I8225" s="13"/>
      <c r="J8225" s="13"/>
      <c r="K8225" s="13"/>
      <c r="L8225" s="13"/>
      <c r="M8225" s="13"/>
      <c r="N8225" s="13"/>
      <c r="O8225" s="13"/>
      <c r="P8225" s="13"/>
      <c r="Q8225" s="13"/>
      <c r="R8225" s="13"/>
    </row>
    <row r="8226" spans="8:18" x14ac:dyDescent="0.35">
      <c r="H8226" s="13"/>
      <c r="I8226" s="13"/>
      <c r="J8226" s="13"/>
      <c r="K8226" s="13"/>
      <c r="L8226" s="13"/>
      <c r="M8226" s="13"/>
      <c r="N8226" s="13"/>
      <c r="O8226" s="13"/>
      <c r="P8226" s="13"/>
      <c r="Q8226" s="13"/>
      <c r="R8226" s="13"/>
    </row>
    <row r="8227" spans="8:18" x14ac:dyDescent="0.35">
      <c r="H8227" s="13"/>
      <c r="I8227" s="13"/>
      <c r="J8227" s="13"/>
      <c r="K8227" s="13"/>
      <c r="L8227" s="13"/>
      <c r="M8227" s="13"/>
      <c r="N8227" s="13"/>
      <c r="O8227" s="13"/>
      <c r="P8227" s="13"/>
      <c r="Q8227" s="13"/>
      <c r="R8227" s="13"/>
    </row>
    <row r="8228" spans="8:18" x14ac:dyDescent="0.35"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</row>
    <row r="8229" spans="8:18" x14ac:dyDescent="0.35"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</row>
    <row r="8230" spans="8:18" x14ac:dyDescent="0.35"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</row>
    <row r="8231" spans="8:18" x14ac:dyDescent="0.35"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</row>
    <row r="8232" spans="8:18" x14ac:dyDescent="0.35"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</row>
    <row r="8233" spans="8:18" x14ac:dyDescent="0.35"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</row>
    <row r="8234" spans="8:18" x14ac:dyDescent="0.35"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</row>
    <row r="8235" spans="8:18" x14ac:dyDescent="0.35"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</row>
    <row r="8236" spans="8:18" x14ac:dyDescent="0.35"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</row>
    <row r="8237" spans="8:18" x14ac:dyDescent="0.35"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</row>
    <row r="8238" spans="8:18" x14ac:dyDescent="0.35"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</row>
    <row r="8239" spans="8:18" x14ac:dyDescent="0.35"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</row>
    <row r="8240" spans="8:18" x14ac:dyDescent="0.35"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</row>
    <row r="8241" spans="8:18" x14ac:dyDescent="0.35"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</row>
    <row r="8242" spans="8:18" x14ac:dyDescent="0.35"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</row>
    <row r="8243" spans="8:18" x14ac:dyDescent="0.35"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</row>
    <row r="8244" spans="8:18" x14ac:dyDescent="0.35"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</row>
    <row r="8245" spans="8:18" x14ac:dyDescent="0.35"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</row>
    <row r="8246" spans="8:18" x14ac:dyDescent="0.35"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</row>
    <row r="8247" spans="8:18" x14ac:dyDescent="0.35"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</row>
    <row r="8248" spans="8:18" x14ac:dyDescent="0.35"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</row>
    <row r="8249" spans="8:18" x14ac:dyDescent="0.35"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</row>
    <row r="8250" spans="8:18" x14ac:dyDescent="0.35"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</row>
    <row r="8251" spans="8:18" x14ac:dyDescent="0.35">
      <c r="H8251" s="13"/>
      <c r="I8251" s="13"/>
      <c r="J8251" s="13"/>
      <c r="K8251" s="13"/>
      <c r="L8251" s="13"/>
      <c r="M8251" s="13"/>
      <c r="N8251" s="13"/>
      <c r="O8251" s="13"/>
      <c r="P8251" s="13"/>
      <c r="Q8251" s="13"/>
      <c r="R8251" s="13"/>
    </row>
    <row r="8252" spans="8:18" x14ac:dyDescent="0.35">
      <c r="H8252" s="13"/>
      <c r="I8252" s="13"/>
      <c r="J8252" s="13"/>
      <c r="K8252" s="13"/>
      <c r="L8252" s="13"/>
      <c r="M8252" s="13"/>
      <c r="N8252" s="13"/>
      <c r="O8252" s="13"/>
      <c r="P8252" s="13"/>
      <c r="Q8252" s="13"/>
      <c r="R8252" s="13"/>
    </row>
    <row r="8253" spans="8:18" x14ac:dyDescent="0.35"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</row>
    <row r="8254" spans="8:18" x14ac:dyDescent="0.35"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</row>
    <row r="8255" spans="8:18" x14ac:dyDescent="0.35"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</row>
    <row r="8256" spans="8:18" x14ac:dyDescent="0.35">
      <c r="H8256" s="13"/>
      <c r="I8256" s="13"/>
      <c r="J8256" s="13"/>
      <c r="K8256" s="13"/>
      <c r="L8256" s="13"/>
      <c r="M8256" s="13"/>
      <c r="N8256" s="13"/>
      <c r="O8256" s="13"/>
      <c r="P8256" s="13"/>
      <c r="Q8256" s="13"/>
      <c r="R8256" s="13"/>
    </row>
    <row r="8257" spans="8:18" x14ac:dyDescent="0.35"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</row>
    <row r="8258" spans="8:18" x14ac:dyDescent="0.35"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</row>
    <row r="8259" spans="8:18" x14ac:dyDescent="0.35"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</row>
    <row r="8260" spans="8:18" x14ac:dyDescent="0.35"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</row>
    <row r="8261" spans="8:18" x14ac:dyDescent="0.35">
      <c r="H8261" s="13"/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</row>
    <row r="8262" spans="8:18" x14ac:dyDescent="0.35">
      <c r="H8262" s="13"/>
      <c r="I8262" s="13"/>
      <c r="J8262" s="13"/>
      <c r="K8262" s="13"/>
      <c r="L8262" s="13"/>
      <c r="M8262" s="13"/>
      <c r="N8262" s="13"/>
      <c r="O8262" s="13"/>
      <c r="P8262" s="13"/>
      <c r="Q8262" s="13"/>
      <c r="R8262" s="13"/>
    </row>
    <row r="8263" spans="8:18" x14ac:dyDescent="0.35"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</row>
    <row r="8264" spans="8:18" x14ac:dyDescent="0.35">
      <c r="H8264" s="13"/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</row>
    <row r="8265" spans="8:18" x14ac:dyDescent="0.35">
      <c r="H8265" s="13"/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</row>
    <row r="8266" spans="8:18" x14ac:dyDescent="0.35">
      <c r="H8266" s="13"/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</row>
    <row r="8267" spans="8:18" x14ac:dyDescent="0.35">
      <c r="H8267" s="13"/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</row>
    <row r="8268" spans="8:18" x14ac:dyDescent="0.35"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</row>
    <row r="8269" spans="8:18" x14ac:dyDescent="0.35">
      <c r="H8269" s="13"/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</row>
    <row r="8270" spans="8:18" x14ac:dyDescent="0.35">
      <c r="H8270" s="13"/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</row>
    <row r="8271" spans="8:18" x14ac:dyDescent="0.35">
      <c r="H8271" s="13"/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</row>
    <row r="8272" spans="8:18" x14ac:dyDescent="0.35"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</row>
    <row r="8273" spans="8:18" x14ac:dyDescent="0.35">
      <c r="H8273" s="13"/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</row>
    <row r="8274" spans="8:18" x14ac:dyDescent="0.35">
      <c r="H8274" s="13"/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</row>
    <row r="8275" spans="8:18" x14ac:dyDescent="0.35">
      <c r="H8275" s="13"/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</row>
    <row r="8276" spans="8:18" x14ac:dyDescent="0.35"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</row>
    <row r="8277" spans="8:18" x14ac:dyDescent="0.35">
      <c r="H8277" s="13"/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</row>
    <row r="8278" spans="8:18" x14ac:dyDescent="0.35">
      <c r="H8278" s="13"/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</row>
    <row r="8279" spans="8:18" x14ac:dyDescent="0.35">
      <c r="H8279" s="13"/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</row>
    <row r="8280" spans="8:18" x14ac:dyDescent="0.35">
      <c r="H8280" s="13"/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</row>
    <row r="8281" spans="8:18" x14ac:dyDescent="0.35"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</row>
    <row r="8282" spans="8:18" x14ac:dyDescent="0.35">
      <c r="H8282" s="13"/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</row>
    <row r="8283" spans="8:18" x14ac:dyDescent="0.35">
      <c r="H8283" s="13"/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</row>
    <row r="8284" spans="8:18" x14ac:dyDescent="0.35">
      <c r="H8284" s="13"/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</row>
    <row r="8285" spans="8:18" x14ac:dyDescent="0.35"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</row>
    <row r="8286" spans="8:18" x14ac:dyDescent="0.35"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</row>
    <row r="8287" spans="8:18" x14ac:dyDescent="0.35"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</row>
    <row r="8288" spans="8:18" x14ac:dyDescent="0.35"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</row>
    <row r="8289" spans="8:18" x14ac:dyDescent="0.35"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</row>
    <row r="8290" spans="8:18" x14ac:dyDescent="0.35"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</row>
    <row r="8291" spans="8:18" x14ac:dyDescent="0.35"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</row>
    <row r="8292" spans="8:18" x14ac:dyDescent="0.35">
      <c r="H8292" s="13"/>
      <c r="I8292" s="13"/>
      <c r="J8292" s="13"/>
      <c r="K8292" s="13"/>
      <c r="L8292" s="13"/>
      <c r="M8292" s="13"/>
      <c r="N8292" s="13"/>
      <c r="O8292" s="13"/>
      <c r="P8292" s="13"/>
      <c r="Q8292" s="13"/>
      <c r="R8292" s="13"/>
    </row>
    <row r="8293" spans="8:18" x14ac:dyDescent="0.35">
      <c r="H8293" s="13"/>
      <c r="I8293" s="13"/>
      <c r="J8293" s="13"/>
      <c r="K8293" s="13"/>
      <c r="L8293" s="13"/>
      <c r="M8293" s="13"/>
      <c r="N8293" s="13"/>
      <c r="O8293" s="13"/>
      <c r="P8293" s="13"/>
      <c r="Q8293" s="13"/>
      <c r="R8293" s="13"/>
    </row>
    <row r="8294" spans="8:18" x14ac:dyDescent="0.35"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</row>
    <row r="8295" spans="8:18" x14ac:dyDescent="0.35"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</row>
    <row r="8296" spans="8:18" x14ac:dyDescent="0.35"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</row>
    <row r="8297" spans="8:18" x14ac:dyDescent="0.35"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</row>
    <row r="8298" spans="8:18" x14ac:dyDescent="0.35">
      <c r="H8298" s="13"/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</row>
    <row r="8299" spans="8:18" x14ac:dyDescent="0.35">
      <c r="H8299" s="13"/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</row>
    <row r="8300" spans="8:18" x14ac:dyDescent="0.35">
      <c r="H8300" s="13"/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</row>
    <row r="8301" spans="8:18" x14ac:dyDescent="0.35"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</row>
    <row r="8302" spans="8:18" x14ac:dyDescent="0.35">
      <c r="H8302" s="13"/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</row>
    <row r="8303" spans="8:18" x14ac:dyDescent="0.35">
      <c r="H8303" s="13"/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</row>
    <row r="8304" spans="8:18" x14ac:dyDescent="0.35">
      <c r="H8304" s="13"/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</row>
    <row r="8305" spans="8:18" x14ac:dyDescent="0.35">
      <c r="H8305" s="13"/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</row>
    <row r="8306" spans="8:18" x14ac:dyDescent="0.35">
      <c r="H8306" s="13"/>
      <c r="I8306" s="13"/>
      <c r="J8306" s="13"/>
      <c r="K8306" s="13"/>
      <c r="L8306" s="13"/>
      <c r="M8306" s="13"/>
      <c r="N8306" s="13"/>
      <c r="O8306" s="13"/>
      <c r="P8306" s="13"/>
      <c r="Q8306" s="13"/>
      <c r="R8306" s="13"/>
    </row>
    <row r="8307" spans="8:18" x14ac:dyDescent="0.35"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</row>
    <row r="8308" spans="8:18" x14ac:dyDescent="0.35">
      <c r="H8308" s="13"/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</row>
    <row r="8309" spans="8:18" x14ac:dyDescent="0.35">
      <c r="H8309" s="13"/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</row>
    <row r="8310" spans="8:18" x14ac:dyDescent="0.35"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</row>
    <row r="8311" spans="8:18" x14ac:dyDescent="0.35"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</row>
    <row r="8312" spans="8:18" x14ac:dyDescent="0.35"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</row>
    <row r="8313" spans="8:18" x14ac:dyDescent="0.35"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</row>
    <row r="8314" spans="8:18" x14ac:dyDescent="0.35"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</row>
    <row r="8315" spans="8:18" x14ac:dyDescent="0.35"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</row>
    <row r="8316" spans="8:18" x14ac:dyDescent="0.35"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</row>
    <row r="8317" spans="8:18" x14ac:dyDescent="0.35"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</row>
    <row r="8318" spans="8:18" x14ac:dyDescent="0.35">
      <c r="H8318" s="13"/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</row>
    <row r="8319" spans="8:18" x14ac:dyDescent="0.35">
      <c r="H8319" s="13"/>
      <c r="I8319" s="13"/>
      <c r="J8319" s="13"/>
      <c r="K8319" s="13"/>
      <c r="L8319" s="13"/>
      <c r="M8319" s="13"/>
      <c r="N8319" s="13"/>
      <c r="O8319" s="13"/>
      <c r="P8319" s="13"/>
      <c r="Q8319" s="13"/>
      <c r="R8319" s="13"/>
    </row>
    <row r="8320" spans="8:18" x14ac:dyDescent="0.35">
      <c r="H8320" s="13"/>
      <c r="I8320" s="13"/>
      <c r="J8320" s="13"/>
      <c r="K8320" s="13"/>
      <c r="L8320" s="13"/>
      <c r="M8320" s="13"/>
      <c r="N8320" s="13"/>
      <c r="O8320" s="13"/>
      <c r="P8320" s="13"/>
      <c r="Q8320" s="13"/>
      <c r="R8320" s="13"/>
    </row>
    <row r="8321" spans="8:18" x14ac:dyDescent="0.35">
      <c r="H8321" s="13"/>
      <c r="I8321" s="13"/>
      <c r="J8321" s="13"/>
      <c r="K8321" s="13"/>
      <c r="L8321" s="13"/>
      <c r="M8321" s="13"/>
      <c r="N8321" s="13"/>
      <c r="O8321" s="13"/>
      <c r="P8321" s="13"/>
      <c r="Q8321" s="13"/>
      <c r="R8321" s="13"/>
    </row>
    <row r="8322" spans="8:18" x14ac:dyDescent="0.35">
      <c r="H8322" s="13"/>
      <c r="I8322" s="13"/>
      <c r="J8322" s="13"/>
      <c r="K8322" s="13"/>
      <c r="L8322" s="13"/>
      <c r="M8322" s="13"/>
      <c r="N8322" s="13"/>
      <c r="O8322" s="13"/>
      <c r="P8322" s="13"/>
      <c r="Q8322" s="13"/>
      <c r="R8322" s="13"/>
    </row>
    <row r="8323" spans="8:18" x14ac:dyDescent="0.35">
      <c r="H8323" s="13"/>
      <c r="I8323" s="13"/>
      <c r="J8323" s="13"/>
      <c r="K8323" s="13"/>
      <c r="L8323" s="13"/>
      <c r="M8323" s="13"/>
      <c r="N8323" s="13"/>
      <c r="O8323" s="13"/>
      <c r="P8323" s="13"/>
      <c r="Q8323" s="13"/>
      <c r="R8323" s="13"/>
    </row>
    <row r="8324" spans="8:18" x14ac:dyDescent="0.35">
      <c r="H8324" s="13"/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</row>
    <row r="8325" spans="8:18" x14ac:dyDescent="0.35">
      <c r="H8325" s="13"/>
      <c r="I8325" s="13"/>
      <c r="J8325" s="13"/>
      <c r="K8325" s="13"/>
      <c r="L8325" s="13"/>
      <c r="M8325" s="13"/>
      <c r="N8325" s="13"/>
      <c r="O8325" s="13"/>
      <c r="P8325" s="13"/>
      <c r="Q8325" s="13"/>
      <c r="R8325" s="13"/>
    </row>
    <row r="8326" spans="8:18" x14ac:dyDescent="0.35">
      <c r="H8326" s="13"/>
      <c r="I8326" s="13"/>
      <c r="J8326" s="13"/>
      <c r="K8326" s="13"/>
      <c r="L8326" s="13"/>
      <c r="M8326" s="13"/>
      <c r="N8326" s="13"/>
      <c r="O8326" s="13"/>
      <c r="P8326" s="13"/>
      <c r="Q8326" s="13"/>
      <c r="R8326" s="13"/>
    </row>
    <row r="8327" spans="8:18" x14ac:dyDescent="0.35">
      <c r="H8327" s="13"/>
      <c r="I8327" s="13"/>
      <c r="J8327" s="13"/>
      <c r="K8327" s="13"/>
      <c r="L8327" s="13"/>
      <c r="M8327" s="13"/>
      <c r="N8327" s="13"/>
      <c r="O8327" s="13"/>
      <c r="P8327" s="13"/>
      <c r="Q8327" s="13"/>
      <c r="R8327" s="13"/>
    </row>
    <row r="8328" spans="8:18" x14ac:dyDescent="0.35">
      <c r="H8328" s="13"/>
      <c r="I8328" s="13"/>
      <c r="J8328" s="13"/>
      <c r="K8328" s="13"/>
      <c r="L8328" s="13"/>
      <c r="M8328" s="13"/>
      <c r="N8328" s="13"/>
      <c r="O8328" s="13"/>
      <c r="P8328" s="13"/>
      <c r="Q8328" s="13"/>
      <c r="R8328" s="13"/>
    </row>
    <row r="8329" spans="8:18" x14ac:dyDescent="0.35">
      <c r="H8329" s="13"/>
      <c r="I8329" s="13"/>
      <c r="J8329" s="13"/>
      <c r="K8329" s="13"/>
      <c r="L8329" s="13"/>
      <c r="M8329" s="13"/>
      <c r="N8329" s="13"/>
      <c r="O8329" s="13"/>
      <c r="P8329" s="13"/>
      <c r="Q8329" s="13"/>
      <c r="R8329" s="13"/>
    </row>
    <row r="8330" spans="8:18" x14ac:dyDescent="0.35"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</row>
    <row r="8331" spans="8:18" x14ac:dyDescent="0.35">
      <c r="H8331" s="13"/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</row>
    <row r="8332" spans="8:18" x14ac:dyDescent="0.35">
      <c r="H8332" s="13"/>
      <c r="I8332" s="13"/>
      <c r="J8332" s="13"/>
      <c r="K8332" s="13"/>
      <c r="L8332" s="13"/>
      <c r="M8332" s="13"/>
      <c r="N8332" s="13"/>
      <c r="O8332" s="13"/>
      <c r="P8332" s="13"/>
      <c r="Q8332" s="13"/>
      <c r="R8332" s="13"/>
    </row>
    <row r="8333" spans="8:18" x14ac:dyDescent="0.35">
      <c r="H8333" s="13"/>
      <c r="I8333" s="13"/>
      <c r="J8333" s="13"/>
      <c r="K8333" s="13"/>
      <c r="L8333" s="13"/>
      <c r="M8333" s="13"/>
      <c r="N8333" s="13"/>
      <c r="O8333" s="13"/>
      <c r="P8333" s="13"/>
      <c r="Q8333" s="13"/>
      <c r="R8333" s="13"/>
    </row>
    <row r="8334" spans="8:18" x14ac:dyDescent="0.35">
      <c r="H8334" s="13"/>
      <c r="I8334" s="13"/>
      <c r="J8334" s="13"/>
      <c r="K8334" s="13"/>
      <c r="L8334" s="13"/>
      <c r="M8334" s="13"/>
      <c r="N8334" s="13"/>
      <c r="O8334" s="13"/>
      <c r="P8334" s="13"/>
      <c r="Q8334" s="13"/>
      <c r="R8334" s="13"/>
    </row>
    <row r="8335" spans="8:18" x14ac:dyDescent="0.35">
      <c r="H8335" s="13"/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</row>
    <row r="8336" spans="8:18" x14ac:dyDescent="0.35">
      <c r="H8336" s="13"/>
      <c r="I8336" s="13"/>
      <c r="J8336" s="13"/>
      <c r="K8336" s="13"/>
      <c r="L8336" s="13"/>
      <c r="M8336" s="13"/>
      <c r="N8336" s="13"/>
      <c r="O8336" s="13"/>
      <c r="P8336" s="13"/>
      <c r="Q8336" s="13"/>
      <c r="R8336" s="13"/>
    </row>
    <row r="8337" spans="8:18" x14ac:dyDescent="0.35">
      <c r="H8337" s="13"/>
      <c r="I8337" s="13"/>
      <c r="J8337" s="13"/>
      <c r="K8337" s="13"/>
      <c r="L8337" s="13"/>
      <c r="M8337" s="13"/>
      <c r="N8337" s="13"/>
      <c r="O8337" s="13"/>
      <c r="P8337" s="13"/>
      <c r="Q8337" s="13"/>
      <c r="R8337" s="13"/>
    </row>
    <row r="8338" spans="8:18" x14ac:dyDescent="0.35">
      <c r="H8338" s="13"/>
      <c r="I8338" s="13"/>
      <c r="J8338" s="13"/>
      <c r="K8338" s="13"/>
      <c r="L8338" s="13"/>
      <c r="M8338" s="13"/>
      <c r="N8338" s="13"/>
      <c r="O8338" s="13"/>
      <c r="P8338" s="13"/>
      <c r="Q8338" s="13"/>
      <c r="R8338" s="13"/>
    </row>
    <row r="8339" spans="8:18" x14ac:dyDescent="0.35">
      <c r="H8339" s="13"/>
      <c r="I8339" s="13"/>
      <c r="J8339" s="13"/>
      <c r="K8339" s="13"/>
      <c r="L8339" s="13"/>
      <c r="M8339" s="13"/>
      <c r="N8339" s="13"/>
      <c r="O8339" s="13"/>
      <c r="P8339" s="13"/>
      <c r="Q8339" s="13"/>
      <c r="R8339" s="13"/>
    </row>
    <row r="8340" spans="8:18" x14ac:dyDescent="0.35">
      <c r="H8340" s="13"/>
      <c r="I8340" s="13"/>
      <c r="J8340" s="13"/>
      <c r="K8340" s="13"/>
      <c r="L8340" s="13"/>
      <c r="M8340" s="13"/>
      <c r="N8340" s="13"/>
      <c r="O8340" s="13"/>
      <c r="P8340" s="13"/>
      <c r="Q8340" s="13"/>
      <c r="R8340" s="13"/>
    </row>
    <row r="8341" spans="8:18" x14ac:dyDescent="0.35">
      <c r="H8341" s="13"/>
      <c r="I8341" s="13"/>
      <c r="J8341" s="13"/>
      <c r="K8341" s="13"/>
      <c r="L8341" s="13"/>
      <c r="M8341" s="13"/>
      <c r="N8341" s="13"/>
      <c r="O8341" s="13"/>
      <c r="P8341" s="13"/>
      <c r="Q8341" s="13"/>
      <c r="R8341" s="13"/>
    </row>
    <row r="8342" spans="8:18" x14ac:dyDescent="0.35">
      <c r="H8342" s="13"/>
      <c r="I8342" s="13"/>
      <c r="J8342" s="13"/>
      <c r="K8342" s="13"/>
      <c r="L8342" s="13"/>
      <c r="M8342" s="13"/>
      <c r="N8342" s="13"/>
      <c r="O8342" s="13"/>
      <c r="P8342" s="13"/>
      <c r="Q8342" s="13"/>
      <c r="R8342" s="13"/>
    </row>
    <row r="8343" spans="8:18" x14ac:dyDescent="0.35">
      <c r="H8343" s="13"/>
      <c r="I8343" s="13"/>
      <c r="J8343" s="13"/>
      <c r="K8343" s="13"/>
      <c r="L8343" s="13"/>
      <c r="M8343" s="13"/>
      <c r="N8343" s="13"/>
      <c r="O8343" s="13"/>
      <c r="P8343" s="13"/>
      <c r="Q8343" s="13"/>
      <c r="R8343" s="13"/>
    </row>
    <row r="8344" spans="8:18" x14ac:dyDescent="0.35"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</row>
    <row r="8345" spans="8:18" x14ac:dyDescent="0.35"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</row>
    <row r="8346" spans="8:18" x14ac:dyDescent="0.35">
      <c r="H8346" s="13"/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</row>
    <row r="8347" spans="8:18" x14ac:dyDescent="0.35">
      <c r="H8347" s="13"/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</row>
    <row r="8348" spans="8:18" x14ac:dyDescent="0.35"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</row>
    <row r="8349" spans="8:18" x14ac:dyDescent="0.35">
      <c r="H8349" s="13"/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</row>
    <row r="8350" spans="8:18" x14ac:dyDescent="0.35">
      <c r="H8350" s="13"/>
      <c r="I8350" s="13"/>
      <c r="J8350" s="13"/>
      <c r="K8350" s="13"/>
      <c r="L8350" s="13"/>
      <c r="M8350" s="13"/>
      <c r="N8350" s="13"/>
      <c r="O8350" s="13"/>
      <c r="P8350" s="13"/>
      <c r="Q8350" s="13"/>
      <c r="R8350" s="13"/>
    </row>
    <row r="8351" spans="8:18" x14ac:dyDescent="0.35">
      <c r="H8351" s="13"/>
      <c r="I8351" s="13"/>
      <c r="J8351" s="13"/>
      <c r="K8351" s="13"/>
      <c r="L8351" s="13"/>
      <c r="M8351" s="13"/>
      <c r="N8351" s="13"/>
      <c r="O8351" s="13"/>
      <c r="P8351" s="13"/>
      <c r="Q8351" s="13"/>
      <c r="R8351" s="13"/>
    </row>
    <row r="8352" spans="8:18" x14ac:dyDescent="0.35">
      <c r="H8352" s="13"/>
      <c r="I8352" s="13"/>
      <c r="J8352" s="13"/>
      <c r="K8352" s="13"/>
      <c r="L8352" s="13"/>
      <c r="M8352" s="13"/>
      <c r="N8352" s="13"/>
      <c r="O8352" s="13"/>
      <c r="P8352" s="13"/>
      <c r="Q8352" s="13"/>
      <c r="R8352" s="13"/>
    </row>
    <row r="8353" spans="8:18" x14ac:dyDescent="0.35">
      <c r="H8353" s="13"/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</row>
    <row r="8354" spans="8:18" x14ac:dyDescent="0.35">
      <c r="H8354" s="13"/>
      <c r="I8354" s="13"/>
      <c r="J8354" s="13"/>
      <c r="K8354" s="13"/>
      <c r="L8354" s="13"/>
      <c r="M8354" s="13"/>
      <c r="N8354" s="13"/>
      <c r="O8354" s="13"/>
      <c r="P8354" s="13"/>
      <c r="Q8354" s="13"/>
      <c r="R8354" s="13"/>
    </row>
    <row r="8355" spans="8:18" x14ac:dyDescent="0.35"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</row>
    <row r="8356" spans="8:18" x14ac:dyDescent="0.35">
      <c r="H8356" s="13"/>
      <c r="I8356" s="13"/>
      <c r="J8356" s="13"/>
      <c r="K8356" s="13"/>
      <c r="L8356" s="13"/>
      <c r="M8356" s="13"/>
      <c r="N8356" s="13"/>
      <c r="O8356" s="13"/>
      <c r="P8356" s="13"/>
      <c r="Q8356" s="13"/>
      <c r="R8356" s="13"/>
    </row>
    <row r="8357" spans="8:18" x14ac:dyDescent="0.35">
      <c r="H8357" s="13"/>
      <c r="I8357" s="13"/>
      <c r="J8357" s="13"/>
      <c r="K8357" s="13"/>
      <c r="L8357" s="13"/>
      <c r="M8357" s="13"/>
      <c r="N8357" s="13"/>
      <c r="O8357" s="13"/>
      <c r="P8357" s="13"/>
      <c r="Q8357" s="13"/>
      <c r="R8357" s="13"/>
    </row>
    <row r="8358" spans="8:18" x14ac:dyDescent="0.35">
      <c r="H8358" s="13"/>
      <c r="I8358" s="13"/>
      <c r="J8358" s="13"/>
      <c r="K8358" s="13"/>
      <c r="L8358" s="13"/>
      <c r="M8358" s="13"/>
      <c r="N8358" s="13"/>
      <c r="O8358" s="13"/>
      <c r="P8358" s="13"/>
      <c r="Q8358" s="13"/>
      <c r="R8358" s="13"/>
    </row>
    <row r="8359" spans="8:18" x14ac:dyDescent="0.35">
      <c r="H8359" s="13"/>
      <c r="I8359" s="13"/>
      <c r="J8359" s="13"/>
      <c r="K8359" s="13"/>
      <c r="L8359" s="13"/>
      <c r="M8359" s="13"/>
      <c r="N8359" s="13"/>
      <c r="O8359" s="13"/>
      <c r="P8359" s="13"/>
      <c r="Q8359" s="13"/>
      <c r="R8359" s="13"/>
    </row>
    <row r="8360" spans="8:18" x14ac:dyDescent="0.35">
      <c r="H8360" s="13"/>
      <c r="I8360" s="13"/>
      <c r="J8360" s="13"/>
      <c r="K8360" s="13"/>
      <c r="L8360" s="13"/>
      <c r="M8360" s="13"/>
      <c r="N8360" s="13"/>
      <c r="O8360" s="13"/>
      <c r="P8360" s="13"/>
      <c r="Q8360" s="13"/>
      <c r="R8360" s="13"/>
    </row>
    <row r="8361" spans="8:18" x14ac:dyDescent="0.35">
      <c r="H8361" s="13"/>
      <c r="I8361" s="13"/>
      <c r="J8361" s="13"/>
      <c r="K8361" s="13"/>
      <c r="L8361" s="13"/>
      <c r="M8361" s="13"/>
      <c r="N8361" s="13"/>
      <c r="O8361" s="13"/>
      <c r="P8361" s="13"/>
      <c r="Q8361" s="13"/>
      <c r="R8361" s="13"/>
    </row>
    <row r="8362" spans="8:18" x14ac:dyDescent="0.35">
      <c r="H8362" s="13"/>
      <c r="I8362" s="13"/>
      <c r="J8362" s="13"/>
      <c r="K8362" s="13"/>
      <c r="L8362" s="13"/>
      <c r="M8362" s="13"/>
      <c r="N8362" s="13"/>
      <c r="O8362" s="13"/>
      <c r="P8362" s="13"/>
      <c r="Q8362" s="13"/>
      <c r="R8362" s="13"/>
    </row>
    <row r="8363" spans="8:18" x14ac:dyDescent="0.35">
      <c r="H8363" s="13"/>
      <c r="I8363" s="13"/>
      <c r="J8363" s="13"/>
      <c r="K8363" s="13"/>
      <c r="L8363" s="13"/>
      <c r="M8363" s="13"/>
      <c r="N8363" s="13"/>
      <c r="O8363" s="13"/>
      <c r="P8363" s="13"/>
      <c r="Q8363" s="13"/>
      <c r="R8363" s="13"/>
    </row>
    <row r="8364" spans="8:18" x14ac:dyDescent="0.35">
      <c r="H8364" s="13"/>
      <c r="I8364" s="13"/>
      <c r="J8364" s="13"/>
      <c r="K8364" s="13"/>
      <c r="L8364" s="13"/>
      <c r="M8364" s="13"/>
      <c r="N8364" s="13"/>
      <c r="O8364" s="13"/>
      <c r="P8364" s="13"/>
      <c r="Q8364" s="13"/>
      <c r="R8364" s="13"/>
    </row>
    <row r="8365" spans="8:18" x14ac:dyDescent="0.35">
      <c r="H8365" s="13"/>
      <c r="I8365" s="13"/>
      <c r="J8365" s="13"/>
      <c r="K8365" s="13"/>
      <c r="L8365" s="13"/>
      <c r="M8365" s="13"/>
      <c r="N8365" s="13"/>
      <c r="O8365" s="13"/>
      <c r="P8365" s="13"/>
      <c r="Q8365" s="13"/>
      <c r="R8365" s="13"/>
    </row>
    <row r="8366" spans="8:18" x14ac:dyDescent="0.35">
      <c r="H8366" s="13"/>
      <c r="I8366" s="13"/>
      <c r="J8366" s="13"/>
      <c r="K8366" s="13"/>
      <c r="L8366" s="13"/>
      <c r="M8366" s="13"/>
      <c r="N8366" s="13"/>
      <c r="O8366" s="13"/>
      <c r="P8366" s="13"/>
      <c r="Q8366" s="13"/>
      <c r="R8366" s="13"/>
    </row>
    <row r="8367" spans="8:18" x14ac:dyDescent="0.35">
      <c r="H8367" s="13"/>
      <c r="I8367" s="13"/>
      <c r="J8367" s="13"/>
      <c r="K8367" s="13"/>
      <c r="L8367" s="13"/>
      <c r="M8367" s="13"/>
      <c r="N8367" s="13"/>
      <c r="O8367" s="13"/>
      <c r="P8367" s="13"/>
      <c r="Q8367" s="13"/>
      <c r="R8367" s="13"/>
    </row>
    <row r="8368" spans="8:18" x14ac:dyDescent="0.35">
      <c r="H8368" s="13"/>
      <c r="I8368" s="13"/>
      <c r="J8368" s="13"/>
      <c r="K8368" s="13"/>
      <c r="L8368" s="13"/>
      <c r="M8368" s="13"/>
      <c r="N8368" s="13"/>
      <c r="O8368" s="13"/>
      <c r="P8368" s="13"/>
      <c r="Q8368" s="13"/>
      <c r="R8368" s="13"/>
    </row>
    <row r="8369" spans="8:18" x14ac:dyDescent="0.35"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</row>
    <row r="8370" spans="8:18" x14ac:dyDescent="0.35">
      <c r="H8370" s="13"/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</row>
    <row r="8371" spans="8:18" x14ac:dyDescent="0.35">
      <c r="H8371" s="13"/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</row>
    <row r="8372" spans="8:18" x14ac:dyDescent="0.35">
      <c r="H8372" s="13"/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</row>
    <row r="8373" spans="8:18" x14ac:dyDescent="0.35">
      <c r="H8373" s="13"/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</row>
    <row r="8374" spans="8:18" x14ac:dyDescent="0.35">
      <c r="H8374" s="13"/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</row>
    <row r="8375" spans="8:18" x14ac:dyDescent="0.35">
      <c r="H8375" s="13"/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</row>
    <row r="8376" spans="8:18" x14ac:dyDescent="0.35"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</row>
    <row r="8377" spans="8:18" x14ac:dyDescent="0.35">
      <c r="H8377" s="13"/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</row>
    <row r="8378" spans="8:18" x14ac:dyDescent="0.35">
      <c r="H8378" s="13"/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</row>
    <row r="8379" spans="8:18" x14ac:dyDescent="0.35"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</row>
    <row r="8380" spans="8:18" x14ac:dyDescent="0.35"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</row>
    <row r="8381" spans="8:18" x14ac:dyDescent="0.35">
      <c r="H8381" s="13"/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</row>
    <row r="8382" spans="8:18" x14ac:dyDescent="0.35">
      <c r="H8382" s="13"/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</row>
    <row r="8383" spans="8:18" x14ac:dyDescent="0.35">
      <c r="H8383" s="13"/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</row>
    <row r="8384" spans="8:18" x14ac:dyDescent="0.35"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</row>
    <row r="8385" spans="8:18" x14ac:dyDescent="0.35">
      <c r="H8385" s="13"/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</row>
    <row r="8386" spans="8:18" x14ac:dyDescent="0.35">
      <c r="H8386" s="13"/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</row>
    <row r="8387" spans="8:18" x14ac:dyDescent="0.35">
      <c r="H8387" s="13"/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</row>
    <row r="8388" spans="8:18" x14ac:dyDescent="0.35">
      <c r="H8388" s="13"/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</row>
    <row r="8389" spans="8:18" x14ac:dyDescent="0.35">
      <c r="H8389" s="13"/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</row>
    <row r="8390" spans="8:18" x14ac:dyDescent="0.35">
      <c r="H8390" s="13"/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</row>
    <row r="8391" spans="8:18" x14ac:dyDescent="0.35"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</row>
    <row r="8392" spans="8:18" x14ac:dyDescent="0.35"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</row>
    <row r="8393" spans="8:18" x14ac:dyDescent="0.35"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</row>
    <row r="8394" spans="8:18" x14ac:dyDescent="0.35"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</row>
    <row r="8395" spans="8:18" x14ac:dyDescent="0.35"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</row>
    <row r="8396" spans="8:18" x14ac:dyDescent="0.35"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</row>
    <row r="8397" spans="8:18" x14ac:dyDescent="0.35"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</row>
    <row r="8398" spans="8:18" x14ac:dyDescent="0.35"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</row>
    <row r="8399" spans="8:18" x14ac:dyDescent="0.35"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</row>
    <row r="8400" spans="8:18" x14ac:dyDescent="0.35"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</row>
    <row r="8401" spans="8:18" x14ac:dyDescent="0.35"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</row>
    <row r="8402" spans="8:18" x14ac:dyDescent="0.35"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</row>
    <row r="8403" spans="8:18" x14ac:dyDescent="0.35"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</row>
    <row r="8404" spans="8:18" x14ac:dyDescent="0.35"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</row>
    <row r="8405" spans="8:18" x14ac:dyDescent="0.35"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</row>
    <row r="8406" spans="8:18" x14ac:dyDescent="0.35"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</row>
    <row r="8407" spans="8:18" x14ac:dyDescent="0.35"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</row>
    <row r="8408" spans="8:18" x14ac:dyDescent="0.35"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</row>
    <row r="8409" spans="8:18" x14ac:dyDescent="0.35"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</row>
    <row r="8410" spans="8:18" x14ac:dyDescent="0.35"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</row>
    <row r="8411" spans="8:18" x14ac:dyDescent="0.35">
      <c r="H8411" s="13"/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</row>
    <row r="8412" spans="8:18" x14ac:dyDescent="0.35">
      <c r="H8412" s="13"/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</row>
    <row r="8413" spans="8:18" x14ac:dyDescent="0.35"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</row>
    <row r="8414" spans="8:18" x14ac:dyDescent="0.35">
      <c r="H8414" s="13"/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</row>
    <row r="8415" spans="8:18" x14ac:dyDescent="0.35">
      <c r="H8415" s="13"/>
      <c r="I8415" s="13"/>
      <c r="J8415" s="13"/>
      <c r="K8415" s="13"/>
      <c r="L8415" s="13"/>
      <c r="M8415" s="13"/>
      <c r="N8415" s="13"/>
      <c r="O8415" s="13"/>
      <c r="P8415" s="13"/>
      <c r="Q8415" s="13"/>
      <c r="R8415" s="13"/>
    </row>
    <row r="8416" spans="8:18" x14ac:dyDescent="0.35">
      <c r="H8416" s="13"/>
      <c r="I8416" s="13"/>
      <c r="J8416" s="13"/>
      <c r="K8416" s="13"/>
      <c r="L8416" s="13"/>
      <c r="M8416" s="13"/>
      <c r="N8416" s="13"/>
      <c r="O8416" s="13"/>
      <c r="P8416" s="13"/>
      <c r="Q8416" s="13"/>
      <c r="R8416" s="13"/>
    </row>
    <row r="8417" spans="8:18" x14ac:dyDescent="0.35">
      <c r="H8417" s="13"/>
      <c r="I8417" s="13"/>
      <c r="J8417" s="13"/>
      <c r="K8417" s="13"/>
      <c r="L8417" s="13"/>
      <c r="M8417" s="13"/>
      <c r="N8417" s="13"/>
      <c r="O8417" s="13"/>
      <c r="P8417" s="13"/>
      <c r="Q8417" s="13"/>
      <c r="R8417" s="13"/>
    </row>
    <row r="8418" spans="8:18" x14ac:dyDescent="0.35">
      <c r="H8418" s="13"/>
      <c r="I8418" s="13"/>
      <c r="J8418" s="13"/>
      <c r="K8418" s="13"/>
      <c r="L8418" s="13"/>
      <c r="M8418" s="13"/>
      <c r="N8418" s="13"/>
      <c r="O8418" s="13"/>
      <c r="P8418" s="13"/>
      <c r="Q8418" s="13"/>
      <c r="R8418" s="13"/>
    </row>
    <row r="8419" spans="8:18" x14ac:dyDescent="0.35">
      <c r="H8419" s="13"/>
      <c r="I8419" s="13"/>
      <c r="J8419" s="13"/>
      <c r="K8419" s="13"/>
      <c r="L8419" s="13"/>
      <c r="M8419" s="13"/>
      <c r="N8419" s="13"/>
      <c r="O8419" s="13"/>
      <c r="P8419" s="13"/>
      <c r="Q8419" s="13"/>
      <c r="R8419" s="13"/>
    </row>
    <row r="8420" spans="8:18" x14ac:dyDescent="0.35">
      <c r="H8420" s="13"/>
      <c r="I8420" s="13"/>
      <c r="J8420" s="13"/>
      <c r="K8420" s="13"/>
      <c r="L8420" s="13"/>
      <c r="M8420" s="13"/>
      <c r="N8420" s="13"/>
      <c r="O8420" s="13"/>
      <c r="P8420" s="13"/>
      <c r="Q8420" s="13"/>
      <c r="R8420" s="13"/>
    </row>
    <row r="8421" spans="8:18" x14ac:dyDescent="0.35">
      <c r="H8421" s="13"/>
      <c r="I8421" s="13"/>
      <c r="J8421" s="13"/>
      <c r="K8421" s="13"/>
      <c r="L8421" s="13"/>
      <c r="M8421" s="13"/>
      <c r="N8421" s="13"/>
      <c r="O8421" s="13"/>
      <c r="P8421" s="13"/>
      <c r="Q8421" s="13"/>
      <c r="R8421" s="13"/>
    </row>
    <row r="8422" spans="8:18" x14ac:dyDescent="0.35">
      <c r="H8422" s="13"/>
      <c r="I8422" s="13"/>
      <c r="J8422" s="13"/>
      <c r="K8422" s="13"/>
      <c r="L8422" s="13"/>
      <c r="M8422" s="13"/>
      <c r="N8422" s="13"/>
      <c r="O8422" s="13"/>
      <c r="P8422" s="13"/>
      <c r="Q8422" s="13"/>
      <c r="R8422" s="13"/>
    </row>
    <row r="8423" spans="8:18" x14ac:dyDescent="0.35">
      <c r="H8423" s="13"/>
      <c r="I8423" s="13"/>
      <c r="J8423" s="13"/>
      <c r="K8423" s="13"/>
      <c r="L8423" s="13"/>
      <c r="M8423" s="13"/>
      <c r="N8423" s="13"/>
      <c r="O8423" s="13"/>
      <c r="P8423" s="13"/>
      <c r="Q8423" s="13"/>
      <c r="R8423" s="13"/>
    </row>
    <row r="8424" spans="8:18" x14ac:dyDescent="0.35">
      <c r="H8424" s="13"/>
      <c r="I8424" s="13"/>
      <c r="J8424" s="13"/>
      <c r="K8424" s="13"/>
      <c r="L8424" s="13"/>
      <c r="M8424" s="13"/>
      <c r="N8424" s="13"/>
      <c r="O8424" s="13"/>
      <c r="P8424" s="13"/>
      <c r="Q8424" s="13"/>
      <c r="R8424" s="13"/>
    </row>
    <row r="8425" spans="8:18" x14ac:dyDescent="0.35">
      <c r="H8425" s="13"/>
      <c r="I8425" s="13"/>
      <c r="J8425" s="13"/>
      <c r="K8425" s="13"/>
      <c r="L8425" s="13"/>
      <c r="M8425" s="13"/>
      <c r="N8425" s="13"/>
      <c r="O8425" s="13"/>
      <c r="P8425" s="13"/>
      <c r="Q8425" s="13"/>
      <c r="R8425" s="13"/>
    </row>
    <row r="8426" spans="8:18" x14ac:dyDescent="0.35">
      <c r="H8426" s="13"/>
      <c r="I8426" s="13"/>
      <c r="J8426" s="13"/>
      <c r="K8426" s="13"/>
      <c r="L8426" s="13"/>
      <c r="M8426" s="13"/>
      <c r="N8426" s="13"/>
      <c r="O8426" s="13"/>
      <c r="P8426" s="13"/>
      <c r="Q8426" s="13"/>
      <c r="R8426" s="13"/>
    </row>
    <row r="8427" spans="8:18" x14ac:dyDescent="0.35">
      <c r="H8427" s="13"/>
      <c r="I8427" s="13"/>
      <c r="J8427" s="13"/>
      <c r="K8427" s="13"/>
      <c r="L8427" s="13"/>
      <c r="M8427" s="13"/>
      <c r="N8427" s="13"/>
      <c r="O8427" s="13"/>
      <c r="P8427" s="13"/>
      <c r="Q8427" s="13"/>
      <c r="R8427" s="13"/>
    </row>
    <row r="8428" spans="8:18" x14ac:dyDescent="0.35">
      <c r="H8428" s="13"/>
      <c r="I8428" s="13"/>
      <c r="J8428" s="13"/>
      <c r="K8428" s="13"/>
      <c r="L8428" s="13"/>
      <c r="M8428" s="13"/>
      <c r="N8428" s="13"/>
      <c r="O8428" s="13"/>
      <c r="P8428" s="13"/>
      <c r="Q8428" s="13"/>
      <c r="R8428" s="13"/>
    </row>
    <row r="8429" spans="8:18" x14ac:dyDescent="0.35">
      <c r="H8429" s="13"/>
      <c r="I8429" s="13"/>
      <c r="J8429" s="13"/>
      <c r="K8429" s="13"/>
      <c r="L8429" s="13"/>
      <c r="M8429" s="13"/>
      <c r="N8429" s="13"/>
      <c r="O8429" s="13"/>
      <c r="P8429" s="13"/>
      <c r="Q8429" s="13"/>
      <c r="R8429" s="13"/>
    </row>
    <row r="8430" spans="8:18" x14ac:dyDescent="0.35">
      <c r="H8430" s="13"/>
      <c r="I8430" s="13"/>
      <c r="J8430" s="13"/>
      <c r="K8430" s="13"/>
      <c r="L8430" s="13"/>
      <c r="M8430" s="13"/>
      <c r="N8430" s="13"/>
      <c r="O8430" s="13"/>
      <c r="P8430" s="13"/>
      <c r="Q8430" s="13"/>
      <c r="R8430" s="13"/>
    </row>
    <row r="8431" spans="8:18" x14ac:dyDescent="0.35">
      <c r="H8431" s="13"/>
      <c r="I8431" s="13"/>
      <c r="J8431" s="13"/>
      <c r="K8431" s="13"/>
      <c r="L8431" s="13"/>
      <c r="M8431" s="13"/>
      <c r="N8431" s="13"/>
      <c r="O8431" s="13"/>
      <c r="P8431" s="13"/>
      <c r="Q8431" s="13"/>
      <c r="R8431" s="13"/>
    </row>
    <row r="8432" spans="8:18" x14ac:dyDescent="0.35">
      <c r="H8432" s="13"/>
      <c r="I8432" s="13"/>
      <c r="J8432" s="13"/>
      <c r="K8432" s="13"/>
      <c r="L8432" s="13"/>
      <c r="M8432" s="13"/>
      <c r="N8432" s="13"/>
      <c r="O8432" s="13"/>
      <c r="P8432" s="13"/>
      <c r="Q8432" s="13"/>
      <c r="R8432" s="13"/>
    </row>
    <row r="8433" spans="8:18" x14ac:dyDescent="0.35">
      <c r="H8433" s="13"/>
      <c r="I8433" s="13"/>
      <c r="J8433" s="13"/>
      <c r="K8433" s="13"/>
      <c r="L8433" s="13"/>
      <c r="M8433" s="13"/>
      <c r="N8433" s="13"/>
      <c r="O8433" s="13"/>
      <c r="P8433" s="13"/>
      <c r="Q8433" s="13"/>
      <c r="R8433" s="13"/>
    </row>
    <row r="8434" spans="8:18" x14ac:dyDescent="0.35">
      <c r="H8434" s="13"/>
      <c r="I8434" s="13"/>
      <c r="J8434" s="13"/>
      <c r="K8434" s="13"/>
      <c r="L8434" s="13"/>
      <c r="M8434" s="13"/>
      <c r="N8434" s="13"/>
      <c r="O8434" s="13"/>
      <c r="P8434" s="13"/>
      <c r="Q8434" s="13"/>
      <c r="R8434" s="13"/>
    </row>
    <row r="8435" spans="8:18" x14ac:dyDescent="0.35">
      <c r="H8435" s="13"/>
      <c r="I8435" s="13"/>
      <c r="J8435" s="13"/>
      <c r="K8435" s="13"/>
      <c r="L8435" s="13"/>
      <c r="M8435" s="13"/>
      <c r="N8435" s="13"/>
      <c r="O8435" s="13"/>
      <c r="P8435" s="13"/>
      <c r="Q8435" s="13"/>
      <c r="R8435" s="13"/>
    </row>
    <row r="8436" spans="8:18" x14ac:dyDescent="0.35">
      <c r="H8436" s="13"/>
      <c r="I8436" s="13"/>
      <c r="J8436" s="13"/>
      <c r="K8436" s="13"/>
      <c r="L8436" s="13"/>
      <c r="M8436" s="13"/>
      <c r="N8436" s="13"/>
      <c r="O8436" s="13"/>
      <c r="P8436" s="13"/>
      <c r="Q8436" s="13"/>
      <c r="R8436" s="13"/>
    </row>
    <row r="8437" spans="8:18" x14ac:dyDescent="0.35">
      <c r="H8437" s="13"/>
      <c r="I8437" s="13"/>
      <c r="J8437" s="13"/>
      <c r="K8437" s="13"/>
      <c r="L8437" s="13"/>
      <c r="M8437" s="13"/>
      <c r="N8437" s="13"/>
      <c r="O8437" s="13"/>
      <c r="P8437" s="13"/>
      <c r="Q8437" s="13"/>
      <c r="R8437" s="13"/>
    </row>
    <row r="8438" spans="8:18" x14ac:dyDescent="0.35">
      <c r="H8438" s="13"/>
      <c r="I8438" s="13"/>
      <c r="J8438" s="13"/>
      <c r="K8438" s="13"/>
      <c r="L8438" s="13"/>
      <c r="M8438" s="13"/>
      <c r="N8438" s="13"/>
      <c r="O8438" s="13"/>
      <c r="P8438" s="13"/>
      <c r="Q8438" s="13"/>
      <c r="R8438" s="13"/>
    </row>
    <row r="8439" spans="8:18" x14ac:dyDescent="0.35">
      <c r="H8439" s="13"/>
      <c r="I8439" s="13"/>
      <c r="J8439" s="13"/>
      <c r="K8439" s="13"/>
      <c r="L8439" s="13"/>
      <c r="M8439" s="13"/>
      <c r="N8439" s="13"/>
      <c r="O8439" s="13"/>
      <c r="P8439" s="13"/>
      <c r="Q8439" s="13"/>
      <c r="R8439" s="13"/>
    </row>
    <row r="8440" spans="8:18" x14ac:dyDescent="0.35">
      <c r="H8440" s="13"/>
      <c r="I8440" s="13"/>
      <c r="J8440" s="13"/>
      <c r="K8440" s="13"/>
      <c r="L8440" s="13"/>
      <c r="M8440" s="13"/>
      <c r="N8440" s="13"/>
      <c r="O8440" s="13"/>
      <c r="P8440" s="13"/>
      <c r="Q8440" s="13"/>
      <c r="R8440" s="13"/>
    </row>
    <row r="8441" spans="8:18" x14ac:dyDescent="0.35">
      <c r="H8441" s="13"/>
      <c r="I8441" s="13"/>
      <c r="J8441" s="13"/>
      <c r="K8441" s="13"/>
      <c r="L8441" s="13"/>
      <c r="M8441" s="13"/>
      <c r="N8441" s="13"/>
      <c r="O8441" s="13"/>
      <c r="P8441" s="13"/>
      <c r="Q8441" s="13"/>
      <c r="R8441" s="13"/>
    </row>
    <row r="8442" spans="8:18" x14ac:dyDescent="0.35">
      <c r="H8442" s="13"/>
      <c r="I8442" s="13"/>
      <c r="J8442" s="13"/>
      <c r="K8442" s="13"/>
      <c r="L8442" s="13"/>
      <c r="M8442" s="13"/>
      <c r="N8442" s="13"/>
      <c r="O8442" s="13"/>
      <c r="P8442" s="13"/>
      <c r="Q8442" s="13"/>
      <c r="R8442" s="13"/>
    </row>
    <row r="8443" spans="8:18" x14ac:dyDescent="0.35">
      <c r="H8443" s="13"/>
      <c r="I8443" s="13"/>
      <c r="J8443" s="13"/>
      <c r="K8443" s="13"/>
      <c r="L8443" s="13"/>
      <c r="M8443" s="13"/>
      <c r="N8443" s="13"/>
      <c r="O8443" s="13"/>
      <c r="P8443" s="13"/>
      <c r="Q8443" s="13"/>
      <c r="R8443" s="13"/>
    </row>
    <row r="8444" spans="8:18" x14ac:dyDescent="0.35">
      <c r="H8444" s="13"/>
      <c r="I8444" s="13"/>
      <c r="J8444" s="13"/>
      <c r="K8444" s="13"/>
      <c r="L8444" s="13"/>
      <c r="M8444" s="13"/>
      <c r="N8444" s="13"/>
      <c r="O8444" s="13"/>
      <c r="P8444" s="13"/>
      <c r="Q8444" s="13"/>
      <c r="R8444" s="13"/>
    </row>
    <row r="8445" spans="8:18" x14ac:dyDescent="0.35">
      <c r="H8445" s="13"/>
      <c r="I8445" s="13"/>
      <c r="J8445" s="13"/>
      <c r="K8445" s="13"/>
      <c r="L8445" s="13"/>
      <c r="M8445" s="13"/>
      <c r="N8445" s="13"/>
      <c r="O8445" s="13"/>
      <c r="P8445" s="13"/>
      <c r="Q8445" s="13"/>
      <c r="R8445" s="13"/>
    </row>
    <row r="8446" spans="8:18" x14ac:dyDescent="0.35">
      <c r="H8446" s="13"/>
      <c r="I8446" s="13"/>
      <c r="J8446" s="13"/>
      <c r="K8446" s="13"/>
      <c r="L8446" s="13"/>
      <c r="M8446" s="13"/>
      <c r="N8446" s="13"/>
      <c r="O8446" s="13"/>
      <c r="P8446" s="13"/>
      <c r="Q8446" s="13"/>
      <c r="R8446" s="13"/>
    </row>
    <row r="8447" spans="8:18" x14ac:dyDescent="0.35">
      <c r="H8447" s="13"/>
      <c r="I8447" s="13"/>
      <c r="J8447" s="13"/>
      <c r="K8447" s="13"/>
      <c r="L8447" s="13"/>
      <c r="M8447" s="13"/>
      <c r="N8447" s="13"/>
      <c r="O8447" s="13"/>
      <c r="P8447" s="13"/>
      <c r="Q8447" s="13"/>
      <c r="R8447" s="13"/>
    </row>
    <row r="8448" spans="8:18" x14ac:dyDescent="0.35">
      <c r="H8448" s="13"/>
      <c r="I8448" s="13"/>
      <c r="J8448" s="13"/>
      <c r="K8448" s="13"/>
      <c r="L8448" s="13"/>
      <c r="M8448" s="13"/>
      <c r="N8448" s="13"/>
      <c r="O8448" s="13"/>
      <c r="P8448" s="13"/>
      <c r="Q8448" s="13"/>
      <c r="R8448" s="13"/>
    </row>
    <row r="8449" spans="8:18" x14ac:dyDescent="0.35">
      <c r="H8449" s="13"/>
      <c r="I8449" s="13"/>
      <c r="J8449" s="13"/>
      <c r="K8449" s="13"/>
      <c r="L8449" s="13"/>
      <c r="M8449" s="13"/>
      <c r="N8449" s="13"/>
      <c r="O8449" s="13"/>
      <c r="P8449" s="13"/>
      <c r="Q8449" s="13"/>
      <c r="R8449" s="13"/>
    </row>
    <row r="8450" spans="8:18" x14ac:dyDescent="0.35">
      <c r="H8450" s="13"/>
      <c r="I8450" s="13"/>
      <c r="J8450" s="13"/>
      <c r="K8450" s="13"/>
      <c r="L8450" s="13"/>
      <c r="M8450" s="13"/>
      <c r="N8450" s="13"/>
      <c r="O8450" s="13"/>
      <c r="P8450" s="13"/>
      <c r="Q8450" s="13"/>
      <c r="R8450" s="13"/>
    </row>
    <row r="8451" spans="8:18" x14ac:dyDescent="0.35">
      <c r="H8451" s="13"/>
      <c r="I8451" s="13"/>
      <c r="J8451" s="13"/>
      <c r="K8451" s="13"/>
      <c r="L8451" s="13"/>
      <c r="M8451" s="13"/>
      <c r="N8451" s="13"/>
      <c r="O8451" s="13"/>
      <c r="P8451" s="13"/>
      <c r="Q8451" s="13"/>
      <c r="R8451" s="13"/>
    </row>
    <row r="8452" spans="8:18" x14ac:dyDescent="0.35">
      <c r="H8452" s="13"/>
      <c r="I8452" s="13"/>
      <c r="J8452" s="13"/>
      <c r="K8452" s="13"/>
      <c r="L8452" s="13"/>
      <c r="M8452" s="13"/>
      <c r="N8452" s="13"/>
      <c r="O8452" s="13"/>
      <c r="P8452" s="13"/>
      <c r="Q8452" s="13"/>
      <c r="R8452" s="13"/>
    </row>
    <row r="8453" spans="8:18" x14ac:dyDescent="0.35">
      <c r="H8453" s="13"/>
      <c r="I8453" s="13"/>
      <c r="J8453" s="13"/>
      <c r="K8453" s="13"/>
      <c r="L8453" s="13"/>
      <c r="M8453" s="13"/>
      <c r="N8453" s="13"/>
      <c r="O8453" s="13"/>
      <c r="P8453" s="13"/>
      <c r="Q8453" s="13"/>
      <c r="R8453" s="13"/>
    </row>
    <row r="8454" spans="8:18" x14ac:dyDescent="0.35">
      <c r="H8454" s="13"/>
      <c r="I8454" s="13"/>
      <c r="J8454" s="13"/>
      <c r="K8454" s="13"/>
      <c r="L8454" s="13"/>
      <c r="M8454" s="13"/>
      <c r="N8454" s="13"/>
      <c r="O8454" s="13"/>
      <c r="P8454" s="13"/>
      <c r="Q8454" s="13"/>
      <c r="R8454" s="13"/>
    </row>
    <row r="8455" spans="8:18" x14ac:dyDescent="0.35">
      <c r="H8455" s="13"/>
      <c r="I8455" s="13"/>
      <c r="J8455" s="13"/>
      <c r="K8455" s="13"/>
      <c r="L8455" s="13"/>
      <c r="M8455" s="13"/>
      <c r="N8455" s="13"/>
      <c r="O8455" s="13"/>
      <c r="P8455" s="13"/>
      <c r="Q8455" s="13"/>
      <c r="R8455" s="13"/>
    </row>
    <row r="8456" spans="8:18" x14ac:dyDescent="0.35">
      <c r="H8456" s="13"/>
      <c r="I8456" s="13"/>
      <c r="J8456" s="13"/>
      <c r="K8456" s="13"/>
      <c r="L8456" s="13"/>
      <c r="M8456" s="13"/>
      <c r="N8456" s="13"/>
      <c r="O8456" s="13"/>
      <c r="P8456" s="13"/>
      <c r="Q8456" s="13"/>
      <c r="R8456" s="13"/>
    </row>
    <row r="8457" spans="8:18" x14ac:dyDescent="0.35">
      <c r="H8457" s="13"/>
      <c r="I8457" s="13"/>
      <c r="J8457" s="13"/>
      <c r="K8457" s="13"/>
      <c r="L8457" s="13"/>
      <c r="M8457" s="13"/>
      <c r="N8457" s="13"/>
      <c r="O8457" s="13"/>
      <c r="P8457" s="13"/>
      <c r="Q8457" s="13"/>
      <c r="R8457" s="13"/>
    </row>
    <row r="8458" spans="8:18" x14ac:dyDescent="0.35">
      <c r="H8458" s="13"/>
      <c r="I8458" s="13"/>
      <c r="J8458" s="13"/>
      <c r="K8458" s="13"/>
      <c r="L8458" s="13"/>
      <c r="M8458" s="13"/>
      <c r="N8458" s="13"/>
      <c r="O8458" s="13"/>
      <c r="P8458" s="13"/>
      <c r="Q8458" s="13"/>
      <c r="R8458" s="13"/>
    </row>
    <row r="8459" spans="8:18" x14ac:dyDescent="0.35">
      <c r="H8459" s="13"/>
      <c r="I8459" s="13"/>
      <c r="J8459" s="13"/>
      <c r="K8459" s="13"/>
      <c r="L8459" s="13"/>
      <c r="M8459" s="13"/>
      <c r="N8459" s="13"/>
      <c r="O8459" s="13"/>
      <c r="P8459" s="13"/>
      <c r="Q8459" s="13"/>
      <c r="R8459" s="13"/>
    </row>
    <row r="8460" spans="8:18" x14ac:dyDescent="0.35">
      <c r="H8460" s="13"/>
      <c r="I8460" s="13"/>
      <c r="J8460" s="13"/>
      <c r="K8460" s="13"/>
      <c r="L8460" s="13"/>
      <c r="M8460" s="13"/>
      <c r="N8460" s="13"/>
      <c r="O8460" s="13"/>
      <c r="P8460" s="13"/>
      <c r="Q8460" s="13"/>
      <c r="R8460" s="13"/>
    </row>
    <row r="8461" spans="8:18" x14ac:dyDescent="0.35">
      <c r="H8461" s="13"/>
      <c r="I8461" s="13"/>
      <c r="J8461" s="13"/>
      <c r="K8461" s="13"/>
      <c r="L8461" s="13"/>
      <c r="M8461" s="13"/>
      <c r="N8461" s="13"/>
      <c r="O8461" s="13"/>
      <c r="P8461" s="13"/>
      <c r="Q8461" s="13"/>
      <c r="R8461" s="13"/>
    </row>
    <row r="8462" spans="8:18" x14ac:dyDescent="0.35">
      <c r="H8462" s="13"/>
      <c r="I8462" s="13"/>
      <c r="J8462" s="13"/>
      <c r="K8462" s="13"/>
      <c r="L8462" s="13"/>
      <c r="M8462" s="13"/>
      <c r="N8462" s="13"/>
      <c r="O8462" s="13"/>
      <c r="P8462" s="13"/>
      <c r="Q8462" s="13"/>
      <c r="R8462" s="13"/>
    </row>
    <row r="8463" spans="8:18" x14ac:dyDescent="0.35">
      <c r="H8463" s="13"/>
      <c r="I8463" s="13"/>
      <c r="J8463" s="13"/>
      <c r="K8463" s="13"/>
      <c r="L8463" s="13"/>
      <c r="M8463" s="13"/>
      <c r="N8463" s="13"/>
      <c r="O8463" s="13"/>
      <c r="P8463" s="13"/>
      <c r="Q8463" s="13"/>
      <c r="R8463" s="13"/>
    </row>
    <row r="8464" spans="8:18" x14ac:dyDescent="0.35">
      <c r="H8464" s="13"/>
      <c r="I8464" s="13"/>
      <c r="J8464" s="13"/>
      <c r="K8464" s="13"/>
      <c r="L8464" s="13"/>
      <c r="M8464" s="13"/>
      <c r="N8464" s="13"/>
      <c r="O8464" s="13"/>
      <c r="P8464" s="13"/>
      <c r="Q8464" s="13"/>
      <c r="R8464" s="13"/>
    </row>
    <row r="8465" spans="8:18" x14ac:dyDescent="0.35">
      <c r="H8465" s="13"/>
      <c r="I8465" s="13"/>
      <c r="J8465" s="13"/>
      <c r="K8465" s="13"/>
      <c r="L8465" s="13"/>
      <c r="M8465" s="13"/>
      <c r="N8465" s="13"/>
      <c r="O8465" s="13"/>
      <c r="P8465" s="13"/>
      <c r="Q8465" s="13"/>
      <c r="R8465" s="13"/>
    </row>
    <row r="8466" spans="8:18" x14ac:dyDescent="0.35">
      <c r="H8466" s="13"/>
      <c r="I8466" s="13"/>
      <c r="J8466" s="13"/>
      <c r="K8466" s="13"/>
      <c r="L8466" s="13"/>
      <c r="M8466" s="13"/>
      <c r="N8466" s="13"/>
      <c r="O8466" s="13"/>
      <c r="P8466" s="13"/>
      <c r="Q8466" s="13"/>
      <c r="R8466" s="13"/>
    </row>
    <row r="8467" spans="8:18" x14ac:dyDescent="0.35">
      <c r="H8467" s="13"/>
      <c r="I8467" s="13"/>
      <c r="J8467" s="13"/>
      <c r="K8467" s="13"/>
      <c r="L8467" s="13"/>
      <c r="M8467" s="13"/>
      <c r="N8467" s="13"/>
      <c r="O8467" s="13"/>
      <c r="P8467" s="13"/>
      <c r="Q8467" s="13"/>
      <c r="R8467" s="13"/>
    </row>
    <row r="8468" spans="8:18" x14ac:dyDescent="0.35">
      <c r="H8468" s="13"/>
      <c r="I8468" s="13"/>
      <c r="J8468" s="13"/>
      <c r="K8468" s="13"/>
      <c r="L8468" s="13"/>
      <c r="M8468" s="13"/>
      <c r="N8468" s="13"/>
      <c r="O8468" s="13"/>
      <c r="P8468" s="13"/>
      <c r="Q8468" s="13"/>
      <c r="R8468" s="13"/>
    </row>
    <row r="8469" spans="8:18" x14ac:dyDescent="0.35">
      <c r="H8469" s="13"/>
      <c r="I8469" s="13"/>
      <c r="J8469" s="13"/>
      <c r="K8469" s="13"/>
      <c r="L8469" s="13"/>
      <c r="M8469" s="13"/>
      <c r="N8469" s="13"/>
      <c r="O8469" s="13"/>
      <c r="P8469" s="13"/>
      <c r="Q8469" s="13"/>
      <c r="R8469" s="13"/>
    </row>
    <row r="8470" spans="8:18" x14ac:dyDescent="0.35">
      <c r="H8470" s="13"/>
      <c r="I8470" s="13"/>
      <c r="J8470" s="13"/>
      <c r="K8470" s="13"/>
      <c r="L8470" s="13"/>
      <c r="M8470" s="13"/>
      <c r="N8470" s="13"/>
      <c r="O8470" s="13"/>
      <c r="P8470" s="13"/>
      <c r="Q8470" s="13"/>
      <c r="R8470" s="13"/>
    </row>
    <row r="8471" spans="8:18" x14ac:dyDescent="0.35">
      <c r="H8471" s="13"/>
      <c r="I8471" s="13"/>
      <c r="J8471" s="13"/>
      <c r="K8471" s="13"/>
      <c r="L8471" s="13"/>
      <c r="M8471" s="13"/>
      <c r="N8471" s="13"/>
      <c r="O8471" s="13"/>
      <c r="P8471" s="13"/>
      <c r="Q8471" s="13"/>
      <c r="R8471" s="13"/>
    </row>
    <row r="8472" spans="8:18" x14ac:dyDescent="0.35">
      <c r="H8472" s="13"/>
      <c r="I8472" s="13"/>
      <c r="J8472" s="13"/>
      <c r="K8472" s="13"/>
      <c r="L8472" s="13"/>
      <c r="M8472" s="13"/>
      <c r="N8472" s="13"/>
      <c r="O8472" s="13"/>
      <c r="P8472" s="13"/>
      <c r="Q8472" s="13"/>
      <c r="R8472" s="13"/>
    </row>
    <row r="8473" spans="8:18" x14ac:dyDescent="0.35"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</row>
    <row r="8474" spans="8:18" x14ac:dyDescent="0.35"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</row>
    <row r="8475" spans="8:18" x14ac:dyDescent="0.35">
      <c r="H8475" s="13"/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</row>
    <row r="8476" spans="8:18" x14ac:dyDescent="0.35">
      <c r="H8476" s="13"/>
      <c r="I8476" s="13"/>
      <c r="J8476" s="13"/>
      <c r="K8476" s="13"/>
      <c r="L8476" s="13"/>
      <c r="M8476" s="13"/>
      <c r="N8476" s="13"/>
      <c r="O8476" s="13"/>
      <c r="P8476" s="13"/>
      <c r="Q8476" s="13"/>
      <c r="R8476" s="13"/>
    </row>
    <row r="8477" spans="8:18" x14ac:dyDescent="0.35">
      <c r="H8477" s="13"/>
      <c r="I8477" s="13"/>
      <c r="J8477" s="13"/>
      <c r="K8477" s="13"/>
      <c r="L8477" s="13"/>
      <c r="M8477" s="13"/>
      <c r="N8477" s="13"/>
      <c r="O8477" s="13"/>
      <c r="P8477" s="13"/>
      <c r="Q8477" s="13"/>
      <c r="R8477" s="13"/>
    </row>
    <row r="8478" spans="8:18" x14ac:dyDescent="0.35">
      <c r="H8478" s="13"/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</row>
    <row r="8479" spans="8:18" x14ac:dyDescent="0.35">
      <c r="H8479" s="13"/>
      <c r="I8479" s="13"/>
      <c r="J8479" s="13"/>
      <c r="K8479" s="13"/>
      <c r="L8479" s="13"/>
      <c r="M8479" s="13"/>
      <c r="N8479" s="13"/>
      <c r="O8479" s="13"/>
      <c r="P8479" s="13"/>
      <c r="Q8479" s="13"/>
      <c r="R8479" s="13"/>
    </row>
    <row r="8480" spans="8:18" x14ac:dyDescent="0.35">
      <c r="H8480" s="13"/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</row>
    <row r="8481" spans="8:18" x14ac:dyDescent="0.35">
      <c r="H8481" s="13"/>
      <c r="I8481" s="13"/>
      <c r="J8481" s="13"/>
      <c r="K8481" s="13"/>
      <c r="L8481" s="13"/>
      <c r="M8481" s="13"/>
      <c r="N8481" s="13"/>
      <c r="O8481" s="13"/>
      <c r="P8481" s="13"/>
      <c r="Q8481" s="13"/>
      <c r="R8481" s="13"/>
    </row>
    <row r="8482" spans="8:18" x14ac:dyDescent="0.35">
      <c r="H8482" s="13"/>
      <c r="I8482" s="13"/>
      <c r="J8482" s="13"/>
      <c r="K8482" s="13"/>
      <c r="L8482" s="13"/>
      <c r="M8482" s="13"/>
      <c r="N8482" s="13"/>
      <c r="O8482" s="13"/>
      <c r="P8482" s="13"/>
      <c r="Q8482" s="13"/>
      <c r="R8482" s="13"/>
    </row>
    <row r="8483" spans="8:18" x14ac:dyDescent="0.35"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</row>
    <row r="8484" spans="8:18" x14ac:dyDescent="0.35">
      <c r="H8484" s="13"/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</row>
    <row r="8485" spans="8:18" x14ac:dyDescent="0.35">
      <c r="H8485" s="13"/>
      <c r="I8485" s="13"/>
      <c r="J8485" s="13"/>
      <c r="K8485" s="13"/>
      <c r="L8485" s="13"/>
      <c r="M8485" s="13"/>
      <c r="N8485" s="13"/>
      <c r="O8485" s="13"/>
      <c r="P8485" s="13"/>
      <c r="Q8485" s="13"/>
      <c r="R8485" s="13"/>
    </row>
    <row r="8486" spans="8:18" x14ac:dyDescent="0.35">
      <c r="H8486" s="13"/>
      <c r="I8486" s="13"/>
      <c r="J8486" s="13"/>
      <c r="K8486" s="13"/>
      <c r="L8486" s="13"/>
      <c r="M8486" s="13"/>
      <c r="N8486" s="13"/>
      <c r="O8486" s="13"/>
      <c r="P8486" s="13"/>
      <c r="Q8486" s="13"/>
      <c r="R8486" s="13"/>
    </row>
    <row r="8487" spans="8:18" x14ac:dyDescent="0.35">
      <c r="H8487" s="13"/>
      <c r="I8487" s="13"/>
      <c r="J8487" s="13"/>
      <c r="K8487" s="13"/>
      <c r="L8487" s="13"/>
      <c r="M8487" s="13"/>
      <c r="N8487" s="13"/>
      <c r="O8487" s="13"/>
      <c r="P8487" s="13"/>
      <c r="Q8487" s="13"/>
      <c r="R8487" s="13"/>
    </row>
    <row r="8488" spans="8:18" x14ac:dyDescent="0.35">
      <c r="H8488" s="13"/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</row>
    <row r="8489" spans="8:18" x14ac:dyDescent="0.35">
      <c r="H8489" s="13"/>
      <c r="I8489" s="13"/>
      <c r="J8489" s="13"/>
      <c r="K8489" s="13"/>
      <c r="L8489" s="13"/>
      <c r="M8489" s="13"/>
      <c r="N8489" s="13"/>
      <c r="O8489" s="13"/>
      <c r="P8489" s="13"/>
      <c r="Q8489" s="13"/>
      <c r="R8489" s="13"/>
    </row>
    <row r="8490" spans="8:18" x14ac:dyDescent="0.35">
      <c r="H8490" s="13"/>
      <c r="I8490" s="13"/>
      <c r="J8490" s="13"/>
      <c r="K8490" s="13"/>
      <c r="L8490" s="13"/>
      <c r="M8490" s="13"/>
      <c r="N8490" s="13"/>
      <c r="O8490" s="13"/>
      <c r="P8490" s="13"/>
      <c r="Q8490" s="13"/>
      <c r="R8490" s="13"/>
    </row>
    <row r="8491" spans="8:18" x14ac:dyDescent="0.35">
      <c r="H8491" s="13"/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</row>
    <row r="8492" spans="8:18" x14ac:dyDescent="0.35">
      <c r="H8492" s="13"/>
      <c r="I8492" s="13"/>
      <c r="J8492" s="13"/>
      <c r="K8492" s="13"/>
      <c r="L8492" s="13"/>
      <c r="M8492" s="13"/>
      <c r="N8492" s="13"/>
      <c r="O8492" s="13"/>
      <c r="P8492" s="13"/>
      <c r="Q8492" s="13"/>
      <c r="R8492" s="13"/>
    </row>
    <row r="8493" spans="8:18" x14ac:dyDescent="0.35">
      <c r="H8493" s="13"/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</row>
    <row r="8494" spans="8:18" x14ac:dyDescent="0.35">
      <c r="H8494" s="13"/>
      <c r="I8494" s="13"/>
      <c r="J8494" s="13"/>
      <c r="K8494" s="13"/>
      <c r="L8494" s="13"/>
      <c r="M8494" s="13"/>
      <c r="N8494" s="13"/>
      <c r="O8494" s="13"/>
      <c r="P8494" s="13"/>
      <c r="Q8494" s="13"/>
      <c r="R8494" s="13"/>
    </row>
    <row r="8495" spans="8:18" x14ac:dyDescent="0.35">
      <c r="H8495" s="13"/>
      <c r="I8495" s="13"/>
      <c r="J8495" s="13"/>
      <c r="K8495" s="13"/>
      <c r="L8495" s="13"/>
      <c r="M8495" s="13"/>
      <c r="N8495" s="13"/>
      <c r="O8495" s="13"/>
      <c r="P8495" s="13"/>
      <c r="Q8495" s="13"/>
      <c r="R8495" s="13"/>
    </row>
    <row r="8496" spans="8:18" x14ac:dyDescent="0.35"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</row>
    <row r="8497" spans="8:18" x14ac:dyDescent="0.35">
      <c r="H8497" s="13"/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</row>
    <row r="8498" spans="8:18" x14ac:dyDescent="0.35">
      <c r="H8498" s="13"/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</row>
    <row r="8499" spans="8:18" x14ac:dyDescent="0.35">
      <c r="H8499" s="13"/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</row>
    <row r="8500" spans="8:18" x14ac:dyDescent="0.35">
      <c r="H8500" s="13"/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</row>
    <row r="8501" spans="8:18" x14ac:dyDescent="0.35"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</row>
    <row r="8502" spans="8:18" x14ac:dyDescent="0.35"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</row>
    <row r="8503" spans="8:18" x14ac:dyDescent="0.35"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</row>
    <row r="8504" spans="8:18" x14ac:dyDescent="0.35"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</row>
    <row r="8505" spans="8:18" x14ac:dyDescent="0.35"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</row>
    <row r="8506" spans="8:18" x14ac:dyDescent="0.35">
      <c r="H8506" s="13"/>
      <c r="I8506" s="13"/>
      <c r="J8506" s="13"/>
      <c r="K8506" s="13"/>
      <c r="L8506" s="13"/>
      <c r="M8506" s="13"/>
      <c r="N8506" s="13"/>
      <c r="O8506" s="13"/>
      <c r="P8506" s="13"/>
      <c r="Q8506" s="13"/>
      <c r="R8506" s="13"/>
    </row>
    <row r="8507" spans="8:18" x14ac:dyDescent="0.35"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</row>
    <row r="8508" spans="8:18" x14ac:dyDescent="0.35"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</row>
    <row r="8509" spans="8:18" x14ac:dyDescent="0.35"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</row>
    <row r="8510" spans="8:18" x14ac:dyDescent="0.35"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</row>
    <row r="8511" spans="8:18" x14ac:dyDescent="0.35"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</row>
    <row r="8512" spans="8:18" x14ac:dyDescent="0.35"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</row>
    <row r="8513" spans="8:18" x14ac:dyDescent="0.35"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</row>
    <row r="8514" spans="8:18" x14ac:dyDescent="0.35"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</row>
    <row r="8515" spans="8:18" x14ac:dyDescent="0.35"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</row>
    <row r="8516" spans="8:18" x14ac:dyDescent="0.35"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</row>
    <row r="8517" spans="8:18" x14ac:dyDescent="0.35"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</row>
    <row r="8518" spans="8:18" x14ac:dyDescent="0.35">
      <c r="H8518" s="13"/>
      <c r="I8518" s="13"/>
      <c r="J8518" s="13"/>
      <c r="K8518" s="13"/>
      <c r="L8518" s="13"/>
      <c r="M8518" s="13"/>
      <c r="N8518" s="13"/>
      <c r="O8518" s="13"/>
      <c r="P8518" s="13"/>
      <c r="Q8518" s="13"/>
      <c r="R8518" s="13"/>
    </row>
    <row r="8519" spans="8:18" x14ac:dyDescent="0.35">
      <c r="H8519" s="13"/>
      <c r="I8519" s="13"/>
      <c r="J8519" s="13"/>
      <c r="K8519" s="13"/>
      <c r="L8519" s="13"/>
      <c r="M8519" s="13"/>
      <c r="N8519" s="13"/>
      <c r="O8519" s="13"/>
      <c r="P8519" s="13"/>
      <c r="Q8519" s="13"/>
      <c r="R8519" s="13"/>
    </row>
    <row r="8520" spans="8:18" x14ac:dyDescent="0.35">
      <c r="H8520" s="13"/>
      <c r="I8520" s="13"/>
      <c r="J8520" s="13"/>
      <c r="K8520" s="13"/>
      <c r="L8520" s="13"/>
      <c r="M8520" s="13"/>
      <c r="N8520" s="13"/>
      <c r="O8520" s="13"/>
      <c r="P8520" s="13"/>
      <c r="Q8520" s="13"/>
      <c r="R8520" s="13"/>
    </row>
    <row r="8521" spans="8:18" x14ac:dyDescent="0.35">
      <c r="H8521" s="13"/>
      <c r="I8521" s="13"/>
      <c r="J8521" s="13"/>
      <c r="K8521" s="13"/>
      <c r="L8521" s="13"/>
      <c r="M8521" s="13"/>
      <c r="N8521" s="13"/>
      <c r="O8521" s="13"/>
      <c r="P8521" s="13"/>
      <c r="Q8521" s="13"/>
      <c r="R8521" s="13"/>
    </row>
    <row r="8522" spans="8:18" x14ac:dyDescent="0.35">
      <c r="H8522" s="13"/>
      <c r="I8522" s="13"/>
      <c r="J8522" s="13"/>
      <c r="K8522" s="13"/>
      <c r="L8522" s="13"/>
      <c r="M8522" s="13"/>
      <c r="N8522" s="13"/>
      <c r="O8522" s="13"/>
      <c r="P8522" s="13"/>
      <c r="Q8522" s="13"/>
      <c r="R8522" s="13"/>
    </row>
    <row r="8523" spans="8:18" x14ac:dyDescent="0.35">
      <c r="H8523" s="13"/>
      <c r="I8523" s="13"/>
      <c r="J8523" s="13"/>
      <c r="K8523" s="13"/>
      <c r="L8523" s="13"/>
      <c r="M8523" s="13"/>
      <c r="N8523" s="13"/>
      <c r="O8523" s="13"/>
      <c r="P8523" s="13"/>
      <c r="Q8523" s="13"/>
      <c r="R8523" s="13"/>
    </row>
    <row r="8524" spans="8:18" x14ac:dyDescent="0.35">
      <c r="H8524" s="13"/>
      <c r="I8524" s="13"/>
      <c r="J8524" s="13"/>
      <c r="K8524" s="13"/>
      <c r="L8524" s="13"/>
      <c r="M8524" s="13"/>
      <c r="N8524" s="13"/>
      <c r="O8524" s="13"/>
      <c r="P8524" s="13"/>
      <c r="Q8524" s="13"/>
      <c r="R8524" s="13"/>
    </row>
    <row r="8525" spans="8:18" x14ac:dyDescent="0.35">
      <c r="H8525" s="13"/>
      <c r="I8525" s="13"/>
      <c r="J8525" s="13"/>
      <c r="K8525" s="13"/>
      <c r="L8525" s="13"/>
      <c r="M8525" s="13"/>
      <c r="N8525" s="13"/>
      <c r="O8525" s="13"/>
      <c r="P8525" s="13"/>
      <c r="Q8525" s="13"/>
      <c r="R8525" s="13"/>
    </row>
    <row r="8526" spans="8:18" x14ac:dyDescent="0.35">
      <c r="H8526" s="13"/>
      <c r="I8526" s="13"/>
      <c r="J8526" s="13"/>
      <c r="K8526" s="13"/>
      <c r="L8526" s="13"/>
      <c r="M8526" s="13"/>
      <c r="N8526" s="13"/>
      <c r="O8526" s="13"/>
      <c r="P8526" s="13"/>
      <c r="Q8526" s="13"/>
      <c r="R8526" s="13"/>
    </row>
    <row r="8527" spans="8:18" x14ac:dyDescent="0.35">
      <c r="H8527" s="13"/>
      <c r="I8527" s="13"/>
      <c r="J8527" s="13"/>
      <c r="K8527" s="13"/>
      <c r="L8527" s="13"/>
      <c r="M8527" s="13"/>
      <c r="N8527" s="13"/>
      <c r="O8527" s="13"/>
      <c r="P8527" s="13"/>
      <c r="Q8527" s="13"/>
      <c r="R8527" s="13"/>
    </row>
    <row r="8528" spans="8:18" x14ac:dyDescent="0.35">
      <c r="H8528" s="13"/>
      <c r="I8528" s="13"/>
      <c r="J8528" s="13"/>
      <c r="K8528" s="13"/>
      <c r="L8528" s="13"/>
      <c r="M8528" s="13"/>
      <c r="N8528" s="13"/>
      <c r="O8528" s="13"/>
      <c r="P8528" s="13"/>
      <c r="Q8528" s="13"/>
      <c r="R8528" s="13"/>
    </row>
    <row r="8529" spans="8:18" x14ac:dyDescent="0.35">
      <c r="H8529" s="13"/>
      <c r="I8529" s="13"/>
      <c r="J8529" s="13"/>
      <c r="K8529" s="13"/>
      <c r="L8529" s="13"/>
      <c r="M8529" s="13"/>
      <c r="N8529" s="13"/>
      <c r="O8529" s="13"/>
      <c r="P8529" s="13"/>
      <c r="Q8529" s="13"/>
      <c r="R8529" s="13"/>
    </row>
    <row r="8530" spans="8:18" x14ac:dyDescent="0.35">
      <c r="H8530" s="13"/>
      <c r="I8530" s="13"/>
      <c r="J8530" s="13"/>
      <c r="K8530" s="13"/>
      <c r="L8530" s="13"/>
      <c r="M8530" s="13"/>
      <c r="N8530" s="13"/>
      <c r="O8530" s="13"/>
      <c r="P8530" s="13"/>
      <c r="Q8530" s="13"/>
      <c r="R8530" s="13"/>
    </row>
    <row r="8531" spans="8:18" x14ac:dyDescent="0.35">
      <c r="H8531" s="13"/>
      <c r="I8531" s="13"/>
      <c r="J8531" s="13"/>
      <c r="K8531" s="13"/>
      <c r="L8531" s="13"/>
      <c r="M8531" s="13"/>
      <c r="N8531" s="13"/>
      <c r="O8531" s="13"/>
      <c r="P8531" s="13"/>
      <c r="Q8531" s="13"/>
      <c r="R8531" s="13"/>
    </row>
    <row r="8532" spans="8:18" x14ac:dyDescent="0.35">
      <c r="H8532" s="13"/>
      <c r="I8532" s="13"/>
      <c r="J8532" s="13"/>
      <c r="K8532" s="13"/>
      <c r="L8532" s="13"/>
      <c r="M8532" s="13"/>
      <c r="N8532" s="13"/>
      <c r="O8532" s="13"/>
      <c r="P8532" s="13"/>
      <c r="Q8532" s="13"/>
      <c r="R8532" s="13"/>
    </row>
    <row r="8533" spans="8:18" x14ac:dyDescent="0.35">
      <c r="H8533" s="13"/>
      <c r="I8533" s="13"/>
      <c r="J8533" s="13"/>
      <c r="K8533" s="13"/>
      <c r="L8533" s="13"/>
      <c r="M8533" s="13"/>
      <c r="N8533" s="13"/>
      <c r="O8533" s="13"/>
      <c r="P8533" s="13"/>
      <c r="Q8533" s="13"/>
      <c r="R8533" s="13"/>
    </row>
    <row r="8534" spans="8:18" x14ac:dyDescent="0.35">
      <c r="H8534" s="13"/>
      <c r="I8534" s="13"/>
      <c r="J8534" s="13"/>
      <c r="K8534" s="13"/>
      <c r="L8534" s="13"/>
      <c r="M8534" s="13"/>
      <c r="N8534" s="13"/>
      <c r="O8534" s="13"/>
      <c r="P8534" s="13"/>
      <c r="Q8534" s="13"/>
      <c r="R8534" s="13"/>
    </row>
    <row r="8535" spans="8:18" x14ac:dyDescent="0.35">
      <c r="H8535" s="13"/>
      <c r="I8535" s="13"/>
      <c r="J8535" s="13"/>
      <c r="K8535" s="13"/>
      <c r="L8535" s="13"/>
      <c r="M8535" s="13"/>
      <c r="N8535" s="13"/>
      <c r="O8535" s="13"/>
      <c r="P8535" s="13"/>
      <c r="Q8535" s="13"/>
      <c r="R8535" s="13"/>
    </row>
    <row r="8536" spans="8:18" x14ac:dyDescent="0.35">
      <c r="H8536" s="13"/>
      <c r="I8536" s="13"/>
      <c r="J8536" s="13"/>
      <c r="K8536" s="13"/>
      <c r="L8536" s="13"/>
      <c r="M8536" s="13"/>
      <c r="N8536" s="13"/>
      <c r="O8536" s="13"/>
      <c r="P8536" s="13"/>
      <c r="Q8536" s="13"/>
      <c r="R8536" s="13"/>
    </row>
    <row r="8537" spans="8:18" x14ac:dyDescent="0.35">
      <c r="H8537" s="13"/>
      <c r="I8537" s="13"/>
      <c r="J8537" s="13"/>
      <c r="K8537" s="13"/>
      <c r="L8537" s="13"/>
      <c r="M8537" s="13"/>
      <c r="N8537" s="13"/>
      <c r="O8537" s="13"/>
      <c r="P8537" s="13"/>
      <c r="Q8537" s="13"/>
      <c r="R8537" s="13"/>
    </row>
    <row r="8538" spans="8:18" x14ac:dyDescent="0.35">
      <c r="H8538" s="13"/>
      <c r="I8538" s="13"/>
      <c r="J8538" s="13"/>
      <c r="K8538" s="13"/>
      <c r="L8538" s="13"/>
      <c r="M8538" s="13"/>
      <c r="N8538" s="13"/>
      <c r="O8538" s="13"/>
      <c r="P8538" s="13"/>
      <c r="Q8538" s="13"/>
      <c r="R8538" s="13"/>
    </row>
    <row r="8539" spans="8:18" x14ac:dyDescent="0.35">
      <c r="H8539" s="13"/>
      <c r="I8539" s="13"/>
      <c r="J8539" s="13"/>
      <c r="K8539" s="13"/>
      <c r="L8539" s="13"/>
      <c r="M8539" s="13"/>
      <c r="N8539" s="13"/>
      <c r="O8539" s="13"/>
      <c r="P8539" s="13"/>
      <c r="Q8539" s="13"/>
      <c r="R8539" s="13"/>
    </row>
    <row r="8540" spans="8:18" x14ac:dyDescent="0.35">
      <c r="H8540" s="13"/>
      <c r="I8540" s="13"/>
      <c r="J8540" s="13"/>
      <c r="K8540" s="13"/>
      <c r="L8540" s="13"/>
      <c r="M8540" s="13"/>
      <c r="N8540" s="13"/>
      <c r="O8540" s="13"/>
      <c r="P8540" s="13"/>
      <c r="Q8540" s="13"/>
      <c r="R8540" s="13"/>
    </row>
    <row r="8541" spans="8:18" x14ac:dyDescent="0.35">
      <c r="H8541" s="13"/>
      <c r="I8541" s="13"/>
      <c r="J8541" s="13"/>
      <c r="K8541" s="13"/>
      <c r="L8541" s="13"/>
      <c r="M8541" s="13"/>
      <c r="N8541" s="13"/>
      <c r="O8541" s="13"/>
      <c r="P8541" s="13"/>
      <c r="Q8541" s="13"/>
      <c r="R8541" s="13"/>
    </row>
    <row r="8542" spans="8:18" x14ac:dyDescent="0.35">
      <c r="H8542" s="13"/>
      <c r="I8542" s="13"/>
      <c r="J8542" s="13"/>
      <c r="K8542" s="13"/>
      <c r="L8542" s="13"/>
      <c r="M8542" s="13"/>
      <c r="N8542" s="13"/>
      <c r="O8542" s="13"/>
      <c r="P8542" s="13"/>
      <c r="Q8542" s="13"/>
      <c r="R8542" s="13"/>
    </row>
    <row r="8543" spans="8:18" x14ac:dyDescent="0.35">
      <c r="H8543" s="13"/>
      <c r="I8543" s="13"/>
      <c r="J8543" s="13"/>
      <c r="K8543" s="13"/>
      <c r="L8543" s="13"/>
      <c r="M8543" s="13"/>
      <c r="N8543" s="13"/>
      <c r="O8543" s="13"/>
      <c r="P8543" s="13"/>
      <c r="Q8543" s="13"/>
      <c r="R8543" s="13"/>
    </row>
    <row r="8544" spans="8:18" x14ac:dyDescent="0.35">
      <c r="H8544" s="13"/>
      <c r="I8544" s="13"/>
      <c r="J8544" s="13"/>
      <c r="K8544" s="13"/>
      <c r="L8544" s="13"/>
      <c r="M8544" s="13"/>
      <c r="N8544" s="13"/>
      <c r="O8544" s="13"/>
      <c r="P8544" s="13"/>
      <c r="Q8544" s="13"/>
      <c r="R8544" s="13"/>
    </row>
    <row r="8545" spans="8:18" x14ac:dyDescent="0.35">
      <c r="H8545" s="13"/>
      <c r="I8545" s="13"/>
      <c r="J8545" s="13"/>
      <c r="K8545" s="13"/>
      <c r="L8545" s="13"/>
      <c r="M8545" s="13"/>
      <c r="N8545" s="13"/>
      <c r="O8545" s="13"/>
      <c r="P8545" s="13"/>
      <c r="Q8545" s="13"/>
      <c r="R8545" s="13"/>
    </row>
    <row r="8546" spans="8:18" x14ac:dyDescent="0.35">
      <c r="H8546" s="13"/>
      <c r="I8546" s="13"/>
      <c r="J8546" s="13"/>
      <c r="K8546" s="13"/>
      <c r="L8546" s="13"/>
      <c r="M8546" s="13"/>
      <c r="N8546" s="13"/>
      <c r="O8546" s="13"/>
      <c r="P8546" s="13"/>
      <c r="Q8546" s="13"/>
      <c r="R8546" s="13"/>
    </row>
    <row r="8547" spans="8:18" x14ac:dyDescent="0.35">
      <c r="H8547" s="13"/>
      <c r="I8547" s="13"/>
      <c r="J8547" s="13"/>
      <c r="K8547" s="13"/>
      <c r="L8547" s="13"/>
      <c r="M8547" s="13"/>
      <c r="N8547" s="13"/>
      <c r="O8547" s="13"/>
      <c r="P8547" s="13"/>
      <c r="Q8547" s="13"/>
      <c r="R8547" s="13"/>
    </row>
    <row r="8548" spans="8:18" x14ac:dyDescent="0.35">
      <c r="H8548" s="13"/>
      <c r="I8548" s="13"/>
      <c r="J8548" s="13"/>
      <c r="K8548" s="13"/>
      <c r="L8548" s="13"/>
      <c r="M8548" s="13"/>
      <c r="N8548" s="13"/>
      <c r="O8548" s="13"/>
      <c r="P8548" s="13"/>
      <c r="Q8548" s="13"/>
      <c r="R8548" s="13"/>
    </row>
    <row r="8549" spans="8:18" x14ac:dyDescent="0.35">
      <c r="H8549" s="13"/>
      <c r="I8549" s="13"/>
      <c r="J8549" s="13"/>
      <c r="K8549" s="13"/>
      <c r="L8549" s="13"/>
      <c r="M8549" s="13"/>
      <c r="N8549" s="13"/>
      <c r="O8549" s="13"/>
      <c r="P8549" s="13"/>
      <c r="Q8549" s="13"/>
      <c r="R8549" s="13"/>
    </row>
    <row r="8550" spans="8:18" x14ac:dyDescent="0.35">
      <c r="H8550" s="13"/>
      <c r="I8550" s="13"/>
      <c r="J8550" s="13"/>
      <c r="K8550" s="13"/>
      <c r="L8550" s="13"/>
      <c r="M8550" s="13"/>
      <c r="N8550" s="13"/>
      <c r="O8550" s="13"/>
      <c r="P8550" s="13"/>
      <c r="Q8550" s="13"/>
      <c r="R8550" s="13"/>
    </row>
    <row r="8551" spans="8:18" x14ac:dyDescent="0.35">
      <c r="H8551" s="13"/>
      <c r="I8551" s="13"/>
      <c r="J8551" s="13"/>
      <c r="K8551" s="13"/>
      <c r="L8551" s="13"/>
      <c r="M8551" s="13"/>
      <c r="N8551" s="13"/>
      <c r="O8551" s="13"/>
      <c r="P8551" s="13"/>
      <c r="Q8551" s="13"/>
      <c r="R8551" s="13"/>
    </row>
    <row r="8552" spans="8:18" x14ac:dyDescent="0.35">
      <c r="H8552" s="13"/>
      <c r="I8552" s="13"/>
      <c r="J8552" s="13"/>
      <c r="K8552" s="13"/>
      <c r="L8552" s="13"/>
      <c r="M8552" s="13"/>
      <c r="N8552" s="13"/>
      <c r="O8552" s="13"/>
      <c r="P8552" s="13"/>
      <c r="Q8552" s="13"/>
      <c r="R8552" s="13"/>
    </row>
    <row r="8553" spans="8:18" x14ac:dyDescent="0.35">
      <c r="H8553" s="13"/>
      <c r="I8553" s="13"/>
      <c r="J8553" s="13"/>
      <c r="K8553" s="13"/>
      <c r="L8553" s="13"/>
      <c r="M8553" s="13"/>
      <c r="N8553" s="13"/>
      <c r="O8553" s="13"/>
      <c r="P8553" s="13"/>
      <c r="Q8553" s="13"/>
      <c r="R8553" s="13"/>
    </row>
    <row r="8554" spans="8:18" x14ac:dyDescent="0.35">
      <c r="H8554" s="13"/>
      <c r="I8554" s="13"/>
      <c r="J8554" s="13"/>
      <c r="K8554" s="13"/>
      <c r="L8554" s="13"/>
      <c r="M8554" s="13"/>
      <c r="N8554" s="13"/>
      <c r="O8554" s="13"/>
      <c r="P8554" s="13"/>
      <c r="Q8554" s="13"/>
      <c r="R8554" s="13"/>
    </row>
    <row r="8555" spans="8:18" x14ac:dyDescent="0.35">
      <c r="H8555" s="13"/>
      <c r="I8555" s="13"/>
      <c r="J8555" s="13"/>
      <c r="K8555" s="13"/>
      <c r="L8555" s="13"/>
      <c r="M8555" s="13"/>
      <c r="N8555" s="13"/>
      <c r="O8555" s="13"/>
      <c r="P8555" s="13"/>
      <c r="Q8555" s="13"/>
      <c r="R8555" s="13"/>
    </row>
    <row r="8556" spans="8:18" x14ac:dyDescent="0.35">
      <c r="H8556" s="13"/>
      <c r="I8556" s="13"/>
      <c r="J8556" s="13"/>
      <c r="K8556" s="13"/>
      <c r="L8556" s="13"/>
      <c r="M8556" s="13"/>
      <c r="N8556" s="13"/>
      <c r="O8556" s="13"/>
      <c r="P8556" s="13"/>
      <c r="Q8556" s="13"/>
      <c r="R8556" s="13"/>
    </row>
    <row r="8557" spans="8:18" x14ac:dyDescent="0.35">
      <c r="H8557" s="13"/>
      <c r="I8557" s="13"/>
      <c r="J8557" s="13"/>
      <c r="K8557" s="13"/>
      <c r="L8557" s="13"/>
      <c r="M8557" s="13"/>
      <c r="N8557" s="13"/>
      <c r="O8557" s="13"/>
      <c r="P8557" s="13"/>
      <c r="Q8557" s="13"/>
      <c r="R8557" s="13"/>
    </row>
    <row r="8558" spans="8:18" x14ac:dyDescent="0.35">
      <c r="H8558" s="13"/>
      <c r="I8558" s="13"/>
      <c r="J8558" s="13"/>
      <c r="K8558" s="13"/>
      <c r="L8558" s="13"/>
      <c r="M8558" s="13"/>
      <c r="N8558" s="13"/>
      <c r="O8558" s="13"/>
      <c r="P8558" s="13"/>
      <c r="Q8558" s="13"/>
      <c r="R8558" s="13"/>
    </row>
    <row r="8559" spans="8:18" x14ac:dyDescent="0.35">
      <c r="H8559" s="13"/>
      <c r="I8559" s="13"/>
      <c r="J8559" s="13"/>
      <c r="K8559" s="13"/>
      <c r="L8559" s="13"/>
      <c r="M8559" s="13"/>
      <c r="N8559" s="13"/>
      <c r="O8559" s="13"/>
      <c r="P8559" s="13"/>
      <c r="Q8559" s="13"/>
      <c r="R8559" s="13"/>
    </row>
    <row r="8560" spans="8:18" x14ac:dyDescent="0.35">
      <c r="H8560" s="13"/>
      <c r="I8560" s="13"/>
      <c r="J8560" s="13"/>
      <c r="K8560" s="13"/>
      <c r="L8560" s="13"/>
      <c r="M8560" s="13"/>
      <c r="N8560" s="13"/>
      <c r="O8560" s="13"/>
      <c r="P8560" s="13"/>
      <c r="Q8560" s="13"/>
      <c r="R8560" s="13"/>
    </row>
    <row r="8561" spans="8:18" x14ac:dyDescent="0.35">
      <c r="H8561" s="13"/>
      <c r="I8561" s="13"/>
      <c r="J8561" s="13"/>
      <c r="K8561" s="13"/>
      <c r="L8561" s="13"/>
      <c r="M8561" s="13"/>
      <c r="N8561" s="13"/>
      <c r="O8561" s="13"/>
      <c r="P8561" s="13"/>
      <c r="Q8561" s="13"/>
      <c r="R8561" s="13"/>
    </row>
    <row r="8562" spans="8:18" x14ac:dyDescent="0.35">
      <c r="H8562" s="13"/>
      <c r="I8562" s="13"/>
      <c r="J8562" s="13"/>
      <c r="K8562" s="13"/>
      <c r="L8562" s="13"/>
      <c r="M8562" s="13"/>
      <c r="N8562" s="13"/>
      <c r="O8562" s="13"/>
      <c r="P8562" s="13"/>
      <c r="Q8562" s="13"/>
      <c r="R8562" s="13"/>
    </row>
    <row r="8563" spans="8:18" x14ac:dyDescent="0.35">
      <c r="H8563" s="13"/>
      <c r="I8563" s="13"/>
      <c r="J8563" s="13"/>
      <c r="K8563" s="13"/>
      <c r="L8563" s="13"/>
      <c r="M8563" s="13"/>
      <c r="N8563" s="13"/>
      <c r="O8563" s="13"/>
      <c r="P8563" s="13"/>
      <c r="Q8563" s="13"/>
      <c r="R8563" s="13"/>
    </row>
    <row r="8564" spans="8:18" x14ac:dyDescent="0.35">
      <c r="H8564" s="13"/>
      <c r="I8564" s="13"/>
      <c r="J8564" s="13"/>
      <c r="K8564" s="13"/>
      <c r="L8564" s="13"/>
      <c r="M8564" s="13"/>
      <c r="N8564" s="13"/>
      <c r="O8564" s="13"/>
      <c r="P8564" s="13"/>
      <c r="Q8564" s="13"/>
      <c r="R8564" s="13"/>
    </row>
    <row r="8565" spans="8:18" x14ac:dyDescent="0.35">
      <c r="H8565" s="13"/>
      <c r="I8565" s="13"/>
      <c r="J8565" s="13"/>
      <c r="K8565" s="13"/>
      <c r="L8565" s="13"/>
      <c r="M8565" s="13"/>
      <c r="N8565" s="13"/>
      <c r="O8565" s="13"/>
      <c r="P8565" s="13"/>
      <c r="Q8565" s="13"/>
      <c r="R8565" s="13"/>
    </row>
    <row r="8566" spans="8:18" x14ac:dyDescent="0.35">
      <c r="H8566" s="13"/>
      <c r="I8566" s="13"/>
      <c r="J8566" s="13"/>
      <c r="K8566" s="13"/>
      <c r="L8566" s="13"/>
      <c r="M8566" s="13"/>
      <c r="N8566" s="13"/>
      <c r="O8566" s="13"/>
      <c r="P8566" s="13"/>
      <c r="Q8566" s="13"/>
      <c r="R8566" s="13"/>
    </row>
    <row r="8567" spans="8:18" x14ac:dyDescent="0.35">
      <c r="H8567" s="13"/>
      <c r="I8567" s="13"/>
      <c r="J8567" s="13"/>
      <c r="K8567" s="13"/>
      <c r="L8567" s="13"/>
      <c r="M8567" s="13"/>
      <c r="N8567" s="13"/>
      <c r="O8567" s="13"/>
      <c r="P8567" s="13"/>
      <c r="Q8567" s="13"/>
      <c r="R8567" s="13"/>
    </row>
    <row r="8568" spans="8:18" x14ac:dyDescent="0.35">
      <c r="H8568" s="13"/>
      <c r="I8568" s="13"/>
      <c r="J8568" s="13"/>
      <c r="K8568" s="13"/>
      <c r="L8568" s="13"/>
      <c r="M8568" s="13"/>
      <c r="N8568" s="13"/>
      <c r="O8568" s="13"/>
      <c r="P8568" s="13"/>
      <c r="Q8568" s="13"/>
      <c r="R8568" s="13"/>
    </row>
    <row r="8569" spans="8:18" x14ac:dyDescent="0.35">
      <c r="H8569" s="13"/>
      <c r="I8569" s="13"/>
      <c r="J8569" s="13"/>
      <c r="K8569" s="13"/>
      <c r="L8569" s="13"/>
      <c r="M8569" s="13"/>
      <c r="N8569" s="13"/>
      <c r="O8569" s="13"/>
      <c r="P8569" s="13"/>
      <c r="Q8569" s="13"/>
      <c r="R8569" s="13"/>
    </row>
    <row r="8570" spans="8:18" x14ac:dyDescent="0.35">
      <c r="H8570" s="13"/>
      <c r="I8570" s="13"/>
      <c r="J8570" s="13"/>
      <c r="K8570" s="13"/>
      <c r="L8570" s="13"/>
      <c r="M8570" s="13"/>
      <c r="N8570" s="13"/>
      <c r="O8570" s="13"/>
      <c r="P8570" s="13"/>
      <c r="Q8570" s="13"/>
      <c r="R8570" s="13"/>
    </row>
    <row r="8571" spans="8:18" x14ac:dyDescent="0.35">
      <c r="H8571" s="13"/>
      <c r="I8571" s="13"/>
      <c r="J8571" s="13"/>
      <c r="K8571" s="13"/>
      <c r="L8571" s="13"/>
      <c r="M8571" s="13"/>
      <c r="N8571" s="13"/>
      <c r="O8571" s="13"/>
      <c r="P8571" s="13"/>
      <c r="Q8571" s="13"/>
      <c r="R8571" s="13"/>
    </row>
    <row r="8572" spans="8:18" x14ac:dyDescent="0.35">
      <c r="H8572" s="13"/>
      <c r="I8572" s="13"/>
      <c r="J8572" s="13"/>
      <c r="K8572" s="13"/>
      <c r="L8572" s="13"/>
      <c r="M8572" s="13"/>
      <c r="N8572" s="13"/>
      <c r="O8572" s="13"/>
      <c r="P8572" s="13"/>
      <c r="Q8572" s="13"/>
      <c r="R8572" s="13"/>
    </row>
    <row r="8573" spans="8:18" x14ac:dyDescent="0.35">
      <c r="H8573" s="13"/>
      <c r="I8573" s="13"/>
      <c r="J8573" s="13"/>
      <c r="K8573" s="13"/>
      <c r="L8573" s="13"/>
      <c r="M8573" s="13"/>
      <c r="N8573" s="13"/>
      <c r="O8573" s="13"/>
      <c r="P8573" s="13"/>
      <c r="Q8573" s="13"/>
      <c r="R8573" s="13"/>
    </row>
    <row r="8574" spans="8:18" x14ac:dyDescent="0.35">
      <c r="H8574" s="13"/>
      <c r="I8574" s="13"/>
      <c r="J8574" s="13"/>
      <c r="K8574" s="13"/>
      <c r="L8574" s="13"/>
      <c r="M8574" s="13"/>
      <c r="N8574" s="13"/>
      <c r="O8574" s="13"/>
      <c r="P8574" s="13"/>
      <c r="Q8574" s="13"/>
      <c r="R8574" s="13"/>
    </row>
    <row r="8575" spans="8:18" x14ac:dyDescent="0.35">
      <c r="H8575" s="13"/>
      <c r="I8575" s="13"/>
      <c r="J8575" s="13"/>
      <c r="K8575" s="13"/>
      <c r="L8575" s="13"/>
      <c r="M8575" s="13"/>
      <c r="N8575" s="13"/>
      <c r="O8575" s="13"/>
      <c r="P8575" s="13"/>
      <c r="Q8575" s="13"/>
      <c r="R8575" s="13"/>
    </row>
    <row r="8576" spans="8:18" x14ac:dyDescent="0.35">
      <c r="H8576" s="13"/>
      <c r="I8576" s="13"/>
      <c r="J8576" s="13"/>
      <c r="K8576" s="13"/>
      <c r="L8576" s="13"/>
      <c r="M8576" s="13"/>
      <c r="N8576" s="13"/>
      <c r="O8576" s="13"/>
      <c r="P8576" s="13"/>
      <c r="Q8576" s="13"/>
      <c r="R8576" s="13"/>
    </row>
    <row r="8577" spans="8:18" x14ac:dyDescent="0.35">
      <c r="H8577" s="13"/>
      <c r="I8577" s="13"/>
      <c r="J8577" s="13"/>
      <c r="K8577" s="13"/>
      <c r="L8577" s="13"/>
      <c r="M8577" s="13"/>
      <c r="N8577" s="13"/>
      <c r="O8577" s="13"/>
      <c r="P8577" s="13"/>
      <c r="Q8577" s="13"/>
      <c r="R8577" s="13"/>
    </row>
    <row r="8578" spans="8:18" x14ac:dyDescent="0.35">
      <c r="H8578" s="13"/>
      <c r="I8578" s="13"/>
      <c r="J8578" s="13"/>
      <c r="K8578" s="13"/>
      <c r="L8578" s="13"/>
      <c r="M8578" s="13"/>
      <c r="N8578" s="13"/>
      <c r="O8578" s="13"/>
      <c r="P8578" s="13"/>
      <c r="Q8578" s="13"/>
      <c r="R8578" s="13"/>
    </row>
    <row r="8579" spans="8:18" x14ac:dyDescent="0.35">
      <c r="H8579" s="13"/>
      <c r="I8579" s="13"/>
      <c r="J8579" s="13"/>
      <c r="K8579" s="13"/>
      <c r="L8579" s="13"/>
      <c r="M8579" s="13"/>
      <c r="N8579" s="13"/>
      <c r="O8579" s="13"/>
      <c r="P8579" s="13"/>
      <c r="Q8579" s="13"/>
      <c r="R8579" s="13"/>
    </row>
    <row r="8580" spans="8:18" x14ac:dyDescent="0.35">
      <c r="H8580" s="13"/>
      <c r="I8580" s="13"/>
      <c r="J8580" s="13"/>
      <c r="K8580" s="13"/>
      <c r="L8580" s="13"/>
      <c r="M8580" s="13"/>
      <c r="N8580" s="13"/>
      <c r="O8580" s="13"/>
      <c r="P8580" s="13"/>
      <c r="Q8580" s="13"/>
      <c r="R8580" s="13"/>
    </row>
    <row r="8581" spans="8:18" x14ac:dyDescent="0.35">
      <c r="H8581" s="13"/>
      <c r="I8581" s="13"/>
      <c r="J8581" s="13"/>
      <c r="K8581" s="13"/>
      <c r="L8581" s="13"/>
      <c r="M8581" s="13"/>
      <c r="N8581" s="13"/>
      <c r="O8581" s="13"/>
      <c r="P8581" s="13"/>
      <c r="Q8581" s="13"/>
      <c r="R8581" s="13"/>
    </row>
    <row r="8582" spans="8:18" x14ac:dyDescent="0.35">
      <c r="H8582" s="13"/>
      <c r="I8582" s="13"/>
      <c r="J8582" s="13"/>
      <c r="K8582" s="13"/>
      <c r="L8582" s="13"/>
      <c r="M8582" s="13"/>
      <c r="N8582" s="13"/>
      <c r="O8582" s="13"/>
      <c r="P8582" s="13"/>
      <c r="Q8582" s="13"/>
      <c r="R8582" s="13"/>
    </row>
    <row r="8583" spans="8:18" x14ac:dyDescent="0.35">
      <c r="H8583" s="13"/>
      <c r="I8583" s="13"/>
      <c r="J8583" s="13"/>
      <c r="K8583" s="13"/>
      <c r="L8583" s="13"/>
      <c r="M8583" s="13"/>
      <c r="N8583" s="13"/>
      <c r="O8583" s="13"/>
      <c r="P8583" s="13"/>
      <c r="Q8583" s="13"/>
      <c r="R8583" s="13"/>
    </row>
    <row r="8584" spans="8:18" x14ac:dyDescent="0.35">
      <c r="H8584" s="13"/>
      <c r="I8584" s="13"/>
      <c r="J8584" s="13"/>
      <c r="K8584" s="13"/>
      <c r="L8584" s="13"/>
      <c r="M8584" s="13"/>
      <c r="N8584" s="13"/>
      <c r="O8584" s="13"/>
      <c r="P8584" s="13"/>
      <c r="Q8584" s="13"/>
      <c r="R8584" s="13"/>
    </row>
    <row r="8585" spans="8:18" x14ac:dyDescent="0.35">
      <c r="H8585" s="13"/>
      <c r="I8585" s="13"/>
      <c r="J8585" s="13"/>
      <c r="K8585" s="13"/>
      <c r="L8585" s="13"/>
      <c r="M8585" s="13"/>
      <c r="N8585" s="13"/>
      <c r="O8585" s="13"/>
      <c r="P8585" s="13"/>
      <c r="Q8585" s="13"/>
      <c r="R8585" s="13"/>
    </row>
    <row r="8586" spans="8:18" x14ac:dyDescent="0.35">
      <c r="H8586" s="13"/>
      <c r="I8586" s="13"/>
      <c r="J8586" s="13"/>
      <c r="K8586" s="13"/>
      <c r="L8586" s="13"/>
      <c r="M8586" s="13"/>
      <c r="N8586" s="13"/>
      <c r="O8586" s="13"/>
      <c r="P8586" s="13"/>
      <c r="Q8586" s="13"/>
      <c r="R8586" s="13"/>
    </row>
    <row r="8587" spans="8:18" x14ac:dyDescent="0.35">
      <c r="H8587" s="13"/>
      <c r="I8587" s="13"/>
      <c r="J8587" s="13"/>
      <c r="K8587" s="13"/>
      <c r="L8587" s="13"/>
      <c r="M8587" s="13"/>
      <c r="N8587" s="13"/>
      <c r="O8587" s="13"/>
      <c r="P8587" s="13"/>
      <c r="Q8587" s="13"/>
      <c r="R8587" s="13"/>
    </row>
    <row r="8588" spans="8:18" x14ac:dyDescent="0.35">
      <c r="H8588" s="13"/>
      <c r="I8588" s="13"/>
      <c r="J8588" s="13"/>
      <c r="K8588" s="13"/>
      <c r="L8588" s="13"/>
      <c r="M8588" s="13"/>
      <c r="N8588" s="13"/>
      <c r="O8588" s="13"/>
      <c r="P8588" s="13"/>
      <c r="Q8588" s="13"/>
      <c r="R8588" s="13"/>
    </row>
    <row r="8589" spans="8:18" x14ac:dyDescent="0.35">
      <c r="H8589" s="13"/>
      <c r="I8589" s="13"/>
      <c r="J8589" s="13"/>
      <c r="K8589" s="13"/>
      <c r="L8589" s="13"/>
      <c r="M8589" s="13"/>
      <c r="N8589" s="13"/>
      <c r="O8589" s="13"/>
      <c r="P8589" s="13"/>
      <c r="Q8589" s="13"/>
      <c r="R8589" s="13"/>
    </row>
    <row r="8590" spans="8:18" x14ac:dyDescent="0.35">
      <c r="H8590" s="13"/>
      <c r="I8590" s="13"/>
      <c r="J8590" s="13"/>
      <c r="K8590" s="13"/>
      <c r="L8590" s="13"/>
      <c r="M8590" s="13"/>
      <c r="N8590" s="13"/>
      <c r="O8590" s="13"/>
      <c r="P8590" s="13"/>
      <c r="Q8590" s="13"/>
      <c r="R8590" s="13"/>
    </row>
    <row r="8591" spans="8:18" x14ac:dyDescent="0.35">
      <c r="H8591" s="13"/>
      <c r="I8591" s="13"/>
      <c r="J8591" s="13"/>
      <c r="K8591" s="13"/>
      <c r="L8591" s="13"/>
      <c r="M8591" s="13"/>
      <c r="N8591" s="13"/>
      <c r="O8591" s="13"/>
      <c r="P8591" s="13"/>
      <c r="Q8591" s="13"/>
      <c r="R8591" s="13"/>
    </row>
    <row r="8592" spans="8:18" x14ac:dyDescent="0.35">
      <c r="H8592" s="13"/>
      <c r="I8592" s="13"/>
      <c r="J8592" s="13"/>
      <c r="K8592" s="13"/>
      <c r="L8592" s="13"/>
      <c r="M8592" s="13"/>
      <c r="N8592" s="13"/>
      <c r="O8592" s="13"/>
      <c r="P8592" s="13"/>
      <c r="Q8592" s="13"/>
      <c r="R8592" s="13"/>
    </row>
    <row r="8593" spans="8:18" x14ac:dyDescent="0.35">
      <c r="H8593" s="13"/>
      <c r="I8593" s="13"/>
      <c r="J8593" s="13"/>
      <c r="K8593" s="13"/>
      <c r="L8593" s="13"/>
      <c r="M8593" s="13"/>
      <c r="N8593" s="13"/>
      <c r="O8593" s="13"/>
      <c r="P8593" s="13"/>
      <c r="Q8593" s="13"/>
      <c r="R8593" s="13"/>
    </row>
    <row r="8594" spans="8:18" x14ac:dyDescent="0.35">
      <c r="H8594" s="13"/>
      <c r="I8594" s="13"/>
      <c r="J8594" s="13"/>
      <c r="K8594" s="13"/>
      <c r="L8594" s="13"/>
      <c r="M8594" s="13"/>
      <c r="N8594" s="13"/>
      <c r="O8594" s="13"/>
      <c r="P8594" s="13"/>
      <c r="Q8594" s="13"/>
      <c r="R8594" s="13"/>
    </row>
    <row r="8595" spans="8:18" x14ac:dyDescent="0.35">
      <c r="H8595" s="13"/>
      <c r="I8595" s="13"/>
      <c r="J8595" s="13"/>
      <c r="K8595" s="13"/>
      <c r="L8595" s="13"/>
      <c r="M8595" s="13"/>
      <c r="N8595" s="13"/>
      <c r="O8595" s="13"/>
      <c r="P8595" s="13"/>
      <c r="Q8595" s="13"/>
      <c r="R8595" s="13"/>
    </row>
    <row r="8596" spans="8:18" x14ac:dyDescent="0.35">
      <c r="H8596" s="13"/>
      <c r="I8596" s="13"/>
      <c r="J8596" s="13"/>
      <c r="K8596" s="13"/>
      <c r="L8596" s="13"/>
      <c r="M8596" s="13"/>
      <c r="N8596" s="13"/>
      <c r="O8596" s="13"/>
      <c r="P8596" s="13"/>
      <c r="Q8596" s="13"/>
      <c r="R8596" s="13"/>
    </row>
    <row r="8597" spans="8:18" x14ac:dyDescent="0.35">
      <c r="H8597" s="13"/>
      <c r="I8597" s="13"/>
      <c r="J8597" s="13"/>
      <c r="K8597" s="13"/>
      <c r="L8597" s="13"/>
      <c r="M8597" s="13"/>
      <c r="N8597" s="13"/>
      <c r="O8597" s="13"/>
      <c r="P8597" s="13"/>
      <c r="Q8597" s="13"/>
      <c r="R8597" s="13"/>
    </row>
    <row r="8598" spans="8:18" x14ac:dyDescent="0.35">
      <c r="H8598" s="13"/>
      <c r="I8598" s="13"/>
      <c r="J8598" s="13"/>
      <c r="K8598" s="13"/>
      <c r="L8598" s="13"/>
      <c r="M8598" s="13"/>
      <c r="N8598" s="13"/>
      <c r="O8598" s="13"/>
      <c r="P8598" s="13"/>
      <c r="Q8598" s="13"/>
      <c r="R8598" s="13"/>
    </row>
    <row r="8599" spans="8:18" x14ac:dyDescent="0.35">
      <c r="H8599" s="13"/>
      <c r="I8599" s="13"/>
      <c r="J8599" s="13"/>
      <c r="K8599" s="13"/>
      <c r="L8599" s="13"/>
      <c r="M8599" s="13"/>
      <c r="N8599" s="13"/>
      <c r="O8599" s="13"/>
      <c r="P8599" s="13"/>
      <c r="Q8599" s="13"/>
      <c r="R8599" s="13"/>
    </row>
    <row r="8600" spans="8:18" x14ac:dyDescent="0.35">
      <c r="H8600" s="13"/>
      <c r="I8600" s="13"/>
      <c r="J8600" s="13"/>
      <c r="K8600" s="13"/>
      <c r="L8600" s="13"/>
      <c r="M8600" s="13"/>
      <c r="N8600" s="13"/>
      <c r="O8600" s="13"/>
      <c r="P8600" s="13"/>
      <c r="Q8600" s="13"/>
      <c r="R8600" s="13"/>
    </row>
    <row r="8601" spans="8:18" x14ac:dyDescent="0.35">
      <c r="H8601" s="13"/>
      <c r="I8601" s="13"/>
      <c r="J8601" s="13"/>
      <c r="K8601" s="13"/>
      <c r="L8601" s="13"/>
      <c r="M8601" s="13"/>
      <c r="N8601" s="13"/>
      <c r="O8601" s="13"/>
      <c r="P8601" s="13"/>
      <c r="Q8601" s="13"/>
      <c r="R8601" s="13"/>
    </row>
    <row r="8602" spans="8:18" x14ac:dyDescent="0.35">
      <c r="H8602" s="13"/>
      <c r="I8602" s="13"/>
      <c r="J8602" s="13"/>
      <c r="K8602" s="13"/>
      <c r="L8602" s="13"/>
      <c r="M8602" s="13"/>
      <c r="N8602" s="13"/>
      <c r="O8602" s="13"/>
      <c r="P8602" s="13"/>
      <c r="Q8602" s="13"/>
      <c r="R8602" s="13"/>
    </row>
    <row r="8603" spans="8:18" x14ac:dyDescent="0.35">
      <c r="H8603" s="13"/>
      <c r="I8603" s="13"/>
      <c r="J8603" s="13"/>
      <c r="K8603" s="13"/>
      <c r="L8603" s="13"/>
      <c r="M8603" s="13"/>
      <c r="N8603" s="13"/>
      <c r="O8603" s="13"/>
      <c r="P8603" s="13"/>
      <c r="Q8603" s="13"/>
      <c r="R8603" s="13"/>
    </row>
    <row r="8604" spans="8:18" x14ac:dyDescent="0.35">
      <c r="H8604" s="13"/>
      <c r="I8604" s="13"/>
      <c r="J8604" s="13"/>
      <c r="K8604" s="13"/>
      <c r="L8604" s="13"/>
      <c r="M8604" s="13"/>
      <c r="N8604" s="13"/>
      <c r="O8604" s="13"/>
      <c r="P8604" s="13"/>
      <c r="Q8604" s="13"/>
      <c r="R8604" s="13"/>
    </row>
    <row r="8605" spans="8:18" x14ac:dyDescent="0.35">
      <c r="H8605" s="13"/>
      <c r="I8605" s="13"/>
      <c r="J8605" s="13"/>
      <c r="K8605" s="13"/>
      <c r="L8605" s="13"/>
      <c r="M8605" s="13"/>
      <c r="N8605" s="13"/>
      <c r="O8605" s="13"/>
      <c r="P8605" s="13"/>
      <c r="Q8605" s="13"/>
      <c r="R8605" s="13"/>
    </row>
    <row r="8606" spans="8:18" x14ac:dyDescent="0.35">
      <c r="H8606" s="13"/>
      <c r="I8606" s="13"/>
      <c r="J8606" s="13"/>
      <c r="K8606" s="13"/>
      <c r="L8606" s="13"/>
      <c r="M8606" s="13"/>
      <c r="N8606" s="13"/>
      <c r="O8606" s="13"/>
      <c r="P8606" s="13"/>
      <c r="Q8606" s="13"/>
      <c r="R8606" s="13"/>
    </row>
    <row r="8607" spans="8:18" x14ac:dyDescent="0.35">
      <c r="H8607" s="13"/>
      <c r="I8607" s="13"/>
      <c r="J8607" s="13"/>
      <c r="K8607" s="13"/>
      <c r="L8607" s="13"/>
      <c r="M8607" s="13"/>
      <c r="N8607" s="13"/>
      <c r="O8607" s="13"/>
      <c r="P8607" s="13"/>
      <c r="Q8607" s="13"/>
      <c r="R8607" s="13"/>
    </row>
    <row r="8608" spans="8:18" x14ac:dyDescent="0.35">
      <c r="H8608" s="13"/>
      <c r="I8608" s="13"/>
      <c r="J8608" s="13"/>
      <c r="K8608" s="13"/>
      <c r="L8608" s="13"/>
      <c r="M8608" s="13"/>
      <c r="N8608" s="13"/>
      <c r="O8608" s="13"/>
      <c r="P8608" s="13"/>
      <c r="Q8608" s="13"/>
      <c r="R8608" s="13"/>
    </row>
    <row r="8609" spans="8:18" x14ac:dyDescent="0.35">
      <c r="H8609" s="13"/>
      <c r="I8609" s="13"/>
      <c r="J8609" s="13"/>
      <c r="K8609" s="13"/>
      <c r="L8609" s="13"/>
      <c r="M8609" s="13"/>
      <c r="N8609" s="13"/>
      <c r="O8609" s="13"/>
      <c r="P8609" s="13"/>
      <c r="Q8609" s="13"/>
      <c r="R8609" s="13"/>
    </row>
    <row r="8610" spans="8:18" x14ac:dyDescent="0.35">
      <c r="H8610" s="13"/>
      <c r="I8610" s="13"/>
      <c r="J8610" s="13"/>
      <c r="K8610" s="13"/>
      <c r="L8610" s="13"/>
      <c r="M8610" s="13"/>
      <c r="N8610" s="13"/>
      <c r="O8610" s="13"/>
      <c r="P8610" s="13"/>
      <c r="Q8610" s="13"/>
      <c r="R8610" s="13"/>
    </row>
    <row r="8611" spans="8:18" x14ac:dyDescent="0.35">
      <c r="H8611" s="13"/>
      <c r="I8611" s="13"/>
      <c r="J8611" s="13"/>
      <c r="K8611" s="13"/>
      <c r="L8611" s="13"/>
      <c r="M8611" s="13"/>
      <c r="N8611" s="13"/>
      <c r="O8611" s="13"/>
      <c r="P8611" s="13"/>
      <c r="Q8611" s="13"/>
      <c r="R8611" s="13"/>
    </row>
    <row r="8612" spans="8:18" x14ac:dyDescent="0.35">
      <c r="H8612" s="13"/>
      <c r="I8612" s="13"/>
      <c r="J8612" s="13"/>
      <c r="K8612" s="13"/>
      <c r="L8612" s="13"/>
      <c r="M8612" s="13"/>
      <c r="N8612" s="13"/>
      <c r="O8612" s="13"/>
      <c r="P8612" s="13"/>
      <c r="Q8612" s="13"/>
      <c r="R8612" s="13"/>
    </row>
    <row r="8613" spans="8:18" x14ac:dyDescent="0.35">
      <c r="H8613" s="13"/>
      <c r="I8613" s="13"/>
      <c r="J8613" s="13"/>
      <c r="K8613" s="13"/>
      <c r="L8613" s="13"/>
      <c r="M8613" s="13"/>
      <c r="N8613" s="13"/>
      <c r="O8613" s="13"/>
      <c r="P8613" s="13"/>
      <c r="Q8613" s="13"/>
      <c r="R8613" s="13"/>
    </row>
    <row r="8614" spans="8:18" x14ac:dyDescent="0.35">
      <c r="H8614" s="13"/>
      <c r="I8614" s="13"/>
      <c r="J8614" s="13"/>
      <c r="K8614" s="13"/>
      <c r="L8614" s="13"/>
      <c r="M8614" s="13"/>
      <c r="N8614" s="13"/>
      <c r="O8614" s="13"/>
      <c r="P8614" s="13"/>
      <c r="Q8614" s="13"/>
      <c r="R8614" s="13"/>
    </row>
    <row r="8615" spans="8:18" x14ac:dyDescent="0.35">
      <c r="H8615" s="13"/>
      <c r="I8615" s="13"/>
      <c r="J8615" s="13"/>
      <c r="K8615" s="13"/>
      <c r="L8615" s="13"/>
      <c r="M8615" s="13"/>
      <c r="N8615" s="13"/>
      <c r="O8615" s="13"/>
      <c r="P8615" s="13"/>
      <c r="Q8615" s="13"/>
      <c r="R8615" s="13"/>
    </row>
    <row r="8616" spans="8:18" x14ac:dyDescent="0.35">
      <c r="H8616" s="13"/>
      <c r="I8616" s="13"/>
      <c r="J8616" s="13"/>
      <c r="K8616" s="13"/>
      <c r="L8616" s="13"/>
      <c r="M8616" s="13"/>
      <c r="N8616" s="13"/>
      <c r="O8616" s="13"/>
      <c r="P8616" s="13"/>
      <c r="Q8616" s="13"/>
      <c r="R8616" s="13"/>
    </row>
    <row r="8617" spans="8:18" x14ac:dyDescent="0.35">
      <c r="H8617" s="13"/>
      <c r="I8617" s="13"/>
      <c r="J8617" s="13"/>
      <c r="K8617" s="13"/>
      <c r="L8617" s="13"/>
      <c r="M8617" s="13"/>
      <c r="N8617" s="13"/>
      <c r="O8617" s="13"/>
      <c r="P8617" s="13"/>
      <c r="Q8617" s="13"/>
      <c r="R8617" s="13"/>
    </row>
    <row r="8618" spans="8:18" x14ac:dyDescent="0.35">
      <c r="H8618" s="13"/>
      <c r="I8618" s="13"/>
      <c r="J8618" s="13"/>
      <c r="K8618" s="13"/>
      <c r="L8618" s="13"/>
      <c r="M8618" s="13"/>
      <c r="N8618" s="13"/>
      <c r="O8618" s="13"/>
      <c r="P8618" s="13"/>
      <c r="Q8618" s="13"/>
      <c r="R8618" s="13"/>
    </row>
    <row r="8619" spans="8:18" x14ac:dyDescent="0.35">
      <c r="H8619" s="13"/>
      <c r="I8619" s="13"/>
      <c r="J8619" s="13"/>
      <c r="K8619" s="13"/>
      <c r="L8619" s="13"/>
      <c r="M8619" s="13"/>
      <c r="N8619" s="13"/>
      <c r="O8619" s="13"/>
      <c r="P8619" s="13"/>
      <c r="Q8619" s="13"/>
      <c r="R8619" s="13"/>
    </row>
    <row r="8620" spans="8:18" x14ac:dyDescent="0.35">
      <c r="H8620" s="13"/>
      <c r="I8620" s="13"/>
      <c r="J8620" s="13"/>
      <c r="K8620" s="13"/>
      <c r="L8620" s="13"/>
      <c r="M8620" s="13"/>
      <c r="N8620" s="13"/>
      <c r="O8620" s="13"/>
      <c r="P8620" s="13"/>
      <c r="Q8620" s="13"/>
      <c r="R8620" s="13"/>
    </row>
    <row r="8621" spans="8:18" x14ac:dyDescent="0.35">
      <c r="H8621" s="13"/>
      <c r="I8621" s="13"/>
      <c r="J8621" s="13"/>
      <c r="K8621" s="13"/>
      <c r="L8621" s="13"/>
      <c r="M8621" s="13"/>
      <c r="N8621" s="13"/>
      <c r="O8621" s="13"/>
      <c r="P8621" s="13"/>
      <c r="Q8621" s="13"/>
      <c r="R8621" s="13"/>
    </row>
    <row r="8622" spans="8:18" x14ac:dyDescent="0.35">
      <c r="H8622" s="13"/>
      <c r="I8622" s="13"/>
      <c r="J8622" s="13"/>
      <c r="K8622" s="13"/>
      <c r="L8622" s="13"/>
      <c r="M8622" s="13"/>
      <c r="N8622" s="13"/>
      <c r="O8622" s="13"/>
      <c r="P8622" s="13"/>
      <c r="Q8622" s="13"/>
      <c r="R8622" s="13"/>
    </row>
    <row r="8623" spans="8:18" x14ac:dyDescent="0.35">
      <c r="H8623" s="13"/>
      <c r="I8623" s="13"/>
      <c r="J8623" s="13"/>
      <c r="K8623" s="13"/>
      <c r="L8623" s="13"/>
      <c r="M8623" s="13"/>
      <c r="N8623" s="13"/>
      <c r="O8623" s="13"/>
      <c r="P8623" s="13"/>
      <c r="Q8623" s="13"/>
      <c r="R8623" s="13"/>
    </row>
    <row r="8624" spans="8:18" x14ac:dyDescent="0.35">
      <c r="H8624" s="13"/>
      <c r="I8624" s="13"/>
      <c r="J8624" s="13"/>
      <c r="K8624" s="13"/>
      <c r="L8624" s="13"/>
      <c r="M8624" s="13"/>
      <c r="N8624" s="13"/>
      <c r="O8624" s="13"/>
      <c r="P8624" s="13"/>
      <c r="Q8624" s="13"/>
      <c r="R8624" s="13"/>
    </row>
    <row r="8625" spans="8:18" x14ac:dyDescent="0.35">
      <c r="H8625" s="13"/>
      <c r="I8625" s="13"/>
      <c r="J8625" s="13"/>
      <c r="K8625" s="13"/>
      <c r="L8625" s="13"/>
      <c r="M8625" s="13"/>
      <c r="N8625" s="13"/>
      <c r="O8625" s="13"/>
      <c r="P8625" s="13"/>
      <c r="Q8625" s="13"/>
      <c r="R8625" s="13"/>
    </row>
    <row r="8626" spans="8:18" x14ac:dyDescent="0.35">
      <c r="H8626" s="13"/>
      <c r="I8626" s="13"/>
      <c r="J8626" s="13"/>
      <c r="K8626" s="13"/>
      <c r="L8626" s="13"/>
      <c r="M8626" s="13"/>
      <c r="N8626" s="13"/>
      <c r="O8626" s="13"/>
      <c r="P8626" s="13"/>
      <c r="Q8626" s="13"/>
      <c r="R8626" s="13"/>
    </row>
    <row r="8627" spans="8:18" x14ac:dyDescent="0.35">
      <c r="H8627" s="13"/>
      <c r="I8627" s="13"/>
      <c r="J8627" s="13"/>
      <c r="K8627" s="13"/>
      <c r="L8627" s="13"/>
      <c r="M8627" s="13"/>
      <c r="N8627" s="13"/>
      <c r="O8627" s="13"/>
      <c r="P8627" s="13"/>
      <c r="Q8627" s="13"/>
      <c r="R8627" s="13"/>
    </row>
    <row r="8628" spans="8:18" x14ac:dyDescent="0.35">
      <c r="H8628" s="13"/>
      <c r="I8628" s="13"/>
      <c r="J8628" s="13"/>
      <c r="K8628" s="13"/>
      <c r="L8628" s="13"/>
      <c r="M8628" s="13"/>
      <c r="N8628" s="13"/>
      <c r="O8628" s="13"/>
      <c r="P8628" s="13"/>
      <c r="Q8628" s="13"/>
      <c r="R8628" s="13"/>
    </row>
    <row r="8629" spans="8:18" x14ac:dyDescent="0.35">
      <c r="H8629" s="13"/>
      <c r="I8629" s="13"/>
      <c r="J8629" s="13"/>
      <c r="K8629" s="13"/>
      <c r="L8629" s="13"/>
      <c r="M8629" s="13"/>
      <c r="N8629" s="13"/>
      <c r="O8629" s="13"/>
      <c r="P8629" s="13"/>
      <c r="Q8629" s="13"/>
      <c r="R8629" s="13"/>
    </row>
    <row r="8630" spans="8:18" x14ac:dyDescent="0.35">
      <c r="H8630" s="13"/>
      <c r="I8630" s="13"/>
      <c r="J8630" s="13"/>
      <c r="K8630" s="13"/>
      <c r="L8630" s="13"/>
      <c r="M8630" s="13"/>
      <c r="N8630" s="13"/>
      <c r="O8630" s="13"/>
      <c r="P8630" s="13"/>
      <c r="Q8630" s="13"/>
      <c r="R8630" s="13"/>
    </row>
    <row r="8631" spans="8:18" x14ac:dyDescent="0.35">
      <c r="H8631" s="13"/>
      <c r="I8631" s="13"/>
      <c r="J8631" s="13"/>
      <c r="K8631" s="13"/>
      <c r="L8631" s="13"/>
      <c r="M8631" s="13"/>
      <c r="N8631" s="13"/>
      <c r="O8631" s="13"/>
      <c r="P8631" s="13"/>
      <c r="Q8631" s="13"/>
      <c r="R8631" s="13"/>
    </row>
    <row r="8632" spans="8:18" x14ac:dyDescent="0.35">
      <c r="H8632" s="13"/>
      <c r="I8632" s="13"/>
      <c r="J8632" s="13"/>
      <c r="K8632" s="13"/>
      <c r="L8632" s="13"/>
      <c r="M8632" s="13"/>
      <c r="N8632" s="13"/>
      <c r="O8632" s="13"/>
      <c r="P8632" s="13"/>
      <c r="Q8632" s="13"/>
      <c r="R8632" s="13"/>
    </row>
    <row r="8633" spans="8:18" x14ac:dyDescent="0.35">
      <c r="H8633" s="13"/>
      <c r="I8633" s="13"/>
      <c r="J8633" s="13"/>
      <c r="K8633" s="13"/>
      <c r="L8633" s="13"/>
      <c r="M8633" s="13"/>
      <c r="N8633" s="13"/>
      <c r="O8633" s="13"/>
      <c r="P8633" s="13"/>
      <c r="Q8633" s="13"/>
      <c r="R8633" s="13"/>
    </row>
    <row r="8634" spans="8:18" x14ac:dyDescent="0.35">
      <c r="H8634" s="13"/>
      <c r="I8634" s="13"/>
      <c r="J8634" s="13"/>
      <c r="K8634" s="13"/>
      <c r="L8634" s="13"/>
      <c r="M8634" s="13"/>
      <c r="N8634" s="13"/>
      <c r="O8634" s="13"/>
      <c r="P8634" s="13"/>
      <c r="Q8634" s="13"/>
      <c r="R8634" s="13"/>
    </row>
    <row r="8635" spans="8:18" x14ac:dyDescent="0.35">
      <c r="H8635" s="13"/>
      <c r="I8635" s="13"/>
      <c r="J8635" s="13"/>
      <c r="K8635" s="13"/>
      <c r="L8635" s="13"/>
      <c r="M8635" s="13"/>
      <c r="N8635" s="13"/>
      <c r="O8635" s="13"/>
      <c r="P8635" s="13"/>
      <c r="Q8635" s="13"/>
      <c r="R8635" s="13"/>
    </row>
    <row r="8636" spans="8:18" x14ac:dyDescent="0.35">
      <c r="H8636" s="13"/>
      <c r="I8636" s="13"/>
      <c r="J8636" s="13"/>
      <c r="K8636" s="13"/>
      <c r="L8636" s="13"/>
      <c r="M8636" s="13"/>
      <c r="N8636" s="13"/>
      <c r="O8636" s="13"/>
      <c r="P8636" s="13"/>
      <c r="Q8636" s="13"/>
      <c r="R8636" s="13"/>
    </row>
    <row r="8637" spans="8:18" x14ac:dyDescent="0.35">
      <c r="H8637" s="13"/>
      <c r="I8637" s="13"/>
      <c r="J8637" s="13"/>
      <c r="K8637" s="13"/>
      <c r="L8637" s="13"/>
      <c r="M8637" s="13"/>
      <c r="N8637" s="13"/>
      <c r="O8637" s="13"/>
      <c r="P8637" s="13"/>
      <c r="Q8637" s="13"/>
      <c r="R8637" s="13"/>
    </row>
    <row r="8638" spans="8:18" x14ac:dyDescent="0.35">
      <c r="H8638" s="13"/>
      <c r="I8638" s="13"/>
      <c r="J8638" s="13"/>
      <c r="K8638" s="13"/>
      <c r="L8638" s="13"/>
      <c r="M8638" s="13"/>
      <c r="N8638" s="13"/>
      <c r="O8638" s="13"/>
      <c r="P8638" s="13"/>
      <c r="Q8638" s="13"/>
      <c r="R8638" s="13"/>
    </row>
    <row r="8639" spans="8:18" x14ac:dyDescent="0.35">
      <c r="H8639" s="13"/>
      <c r="I8639" s="13"/>
      <c r="J8639" s="13"/>
      <c r="K8639" s="13"/>
      <c r="L8639" s="13"/>
      <c r="M8639" s="13"/>
      <c r="N8639" s="13"/>
      <c r="O8639" s="13"/>
      <c r="P8639" s="13"/>
      <c r="Q8639" s="13"/>
      <c r="R8639" s="13"/>
    </row>
    <row r="8640" spans="8:18" x14ac:dyDescent="0.35">
      <c r="H8640" s="13"/>
      <c r="I8640" s="13"/>
      <c r="J8640" s="13"/>
      <c r="K8640" s="13"/>
      <c r="L8640" s="13"/>
      <c r="M8640" s="13"/>
      <c r="N8640" s="13"/>
      <c r="O8640" s="13"/>
      <c r="P8640" s="13"/>
      <c r="Q8640" s="13"/>
      <c r="R8640" s="13"/>
    </row>
    <row r="8641" spans="8:18" x14ac:dyDescent="0.35">
      <c r="H8641" s="13"/>
      <c r="I8641" s="13"/>
      <c r="J8641" s="13"/>
      <c r="K8641" s="13"/>
      <c r="L8641" s="13"/>
      <c r="M8641" s="13"/>
      <c r="N8641" s="13"/>
      <c r="O8641" s="13"/>
      <c r="P8641" s="13"/>
      <c r="Q8641" s="13"/>
      <c r="R8641" s="13"/>
    </row>
    <row r="8642" spans="8:18" x14ac:dyDescent="0.35">
      <c r="H8642" s="13"/>
      <c r="I8642" s="13"/>
      <c r="J8642" s="13"/>
      <c r="K8642" s="13"/>
      <c r="L8642" s="13"/>
      <c r="M8642" s="13"/>
      <c r="N8642" s="13"/>
      <c r="O8642" s="13"/>
      <c r="P8642" s="13"/>
      <c r="Q8642" s="13"/>
      <c r="R8642" s="13"/>
    </row>
    <row r="8643" spans="8:18" x14ac:dyDescent="0.35">
      <c r="H8643" s="13"/>
      <c r="I8643" s="13"/>
      <c r="J8643" s="13"/>
      <c r="K8643" s="13"/>
      <c r="L8643" s="13"/>
      <c r="M8643" s="13"/>
      <c r="N8643" s="13"/>
      <c r="O8643" s="13"/>
      <c r="P8643" s="13"/>
      <c r="Q8643" s="13"/>
      <c r="R8643" s="13"/>
    </row>
    <row r="8644" spans="8:18" x14ac:dyDescent="0.35">
      <c r="H8644" s="13"/>
      <c r="I8644" s="13"/>
      <c r="J8644" s="13"/>
      <c r="K8644" s="13"/>
      <c r="L8644" s="13"/>
      <c r="M8644" s="13"/>
      <c r="N8644" s="13"/>
      <c r="O8644" s="13"/>
      <c r="P8644" s="13"/>
      <c r="Q8644" s="13"/>
      <c r="R8644" s="13"/>
    </row>
    <row r="8645" spans="8:18" x14ac:dyDescent="0.35">
      <c r="H8645" s="13"/>
      <c r="I8645" s="13"/>
      <c r="J8645" s="13"/>
      <c r="K8645" s="13"/>
      <c r="L8645" s="13"/>
      <c r="M8645" s="13"/>
      <c r="N8645" s="13"/>
      <c r="O8645" s="13"/>
      <c r="P8645" s="13"/>
      <c r="Q8645" s="13"/>
      <c r="R8645" s="13"/>
    </row>
    <row r="8646" spans="8:18" x14ac:dyDescent="0.35">
      <c r="H8646" s="13"/>
      <c r="I8646" s="13"/>
      <c r="J8646" s="13"/>
      <c r="K8646" s="13"/>
      <c r="L8646" s="13"/>
      <c r="M8646" s="13"/>
      <c r="N8646" s="13"/>
      <c r="O8646" s="13"/>
      <c r="P8646" s="13"/>
      <c r="Q8646" s="13"/>
      <c r="R8646" s="13"/>
    </row>
    <row r="8647" spans="8:18" x14ac:dyDescent="0.35">
      <c r="H8647" s="13"/>
      <c r="I8647" s="13"/>
      <c r="J8647" s="13"/>
      <c r="K8647" s="13"/>
      <c r="L8647" s="13"/>
      <c r="M8647" s="13"/>
      <c r="N8647" s="13"/>
      <c r="O8647" s="13"/>
      <c r="P8647" s="13"/>
      <c r="Q8647" s="13"/>
      <c r="R8647" s="13"/>
    </row>
    <row r="8648" spans="8:18" x14ac:dyDescent="0.35">
      <c r="H8648" s="13"/>
      <c r="I8648" s="13"/>
      <c r="J8648" s="13"/>
      <c r="K8648" s="13"/>
      <c r="L8648" s="13"/>
      <c r="M8648" s="13"/>
      <c r="N8648" s="13"/>
      <c r="O8648" s="13"/>
      <c r="P8648" s="13"/>
      <c r="Q8648" s="13"/>
      <c r="R8648" s="13"/>
    </row>
    <row r="8649" spans="8:18" x14ac:dyDescent="0.35">
      <c r="H8649" s="13"/>
      <c r="I8649" s="13"/>
      <c r="J8649" s="13"/>
      <c r="K8649" s="13"/>
      <c r="L8649" s="13"/>
      <c r="M8649" s="13"/>
      <c r="N8649" s="13"/>
      <c r="O8649" s="13"/>
      <c r="P8649" s="13"/>
      <c r="Q8649" s="13"/>
      <c r="R8649" s="13"/>
    </row>
    <row r="8650" spans="8:18" x14ac:dyDescent="0.35">
      <c r="H8650" s="13"/>
      <c r="I8650" s="13"/>
      <c r="J8650" s="13"/>
      <c r="K8650" s="13"/>
      <c r="L8650" s="13"/>
      <c r="M8650" s="13"/>
      <c r="N8650" s="13"/>
      <c r="O8650" s="13"/>
      <c r="P8650" s="13"/>
      <c r="Q8650" s="13"/>
      <c r="R8650" s="13"/>
    </row>
    <row r="8651" spans="8:18" x14ac:dyDescent="0.35">
      <c r="H8651" s="13"/>
      <c r="I8651" s="13"/>
      <c r="J8651" s="13"/>
      <c r="K8651" s="13"/>
      <c r="L8651" s="13"/>
      <c r="M8651" s="13"/>
      <c r="N8651" s="13"/>
      <c r="O8651" s="13"/>
      <c r="P8651" s="13"/>
      <c r="Q8651" s="13"/>
      <c r="R8651" s="13"/>
    </row>
    <row r="8652" spans="8:18" x14ac:dyDescent="0.35">
      <c r="H8652" s="13"/>
      <c r="I8652" s="13"/>
      <c r="J8652" s="13"/>
      <c r="K8652" s="13"/>
      <c r="L8652" s="13"/>
      <c r="M8652" s="13"/>
      <c r="N8652" s="13"/>
      <c r="O8652" s="13"/>
      <c r="P8652" s="13"/>
      <c r="Q8652" s="13"/>
      <c r="R8652" s="13"/>
    </row>
    <row r="8653" spans="8:18" x14ac:dyDescent="0.35">
      <c r="H8653" s="13"/>
      <c r="I8653" s="13"/>
      <c r="J8653" s="13"/>
      <c r="K8653" s="13"/>
      <c r="L8653" s="13"/>
      <c r="M8653" s="13"/>
      <c r="N8653" s="13"/>
      <c r="O8653" s="13"/>
      <c r="P8653" s="13"/>
      <c r="Q8653" s="13"/>
      <c r="R8653" s="13"/>
    </row>
    <row r="8654" spans="8:18" x14ac:dyDescent="0.35">
      <c r="H8654" s="13"/>
      <c r="I8654" s="13"/>
      <c r="J8654" s="13"/>
      <c r="K8654" s="13"/>
      <c r="L8654" s="13"/>
      <c r="M8654" s="13"/>
      <c r="N8654" s="13"/>
      <c r="O8654" s="13"/>
      <c r="P8654" s="13"/>
      <c r="Q8654" s="13"/>
      <c r="R8654" s="13"/>
    </row>
    <row r="8655" spans="8:18" x14ac:dyDescent="0.35">
      <c r="H8655" s="13"/>
      <c r="I8655" s="13"/>
      <c r="J8655" s="13"/>
      <c r="K8655" s="13"/>
      <c r="L8655" s="13"/>
      <c r="M8655" s="13"/>
      <c r="N8655" s="13"/>
      <c r="O8655" s="13"/>
      <c r="P8655" s="13"/>
      <c r="Q8655" s="13"/>
      <c r="R8655" s="13"/>
    </row>
    <row r="8656" spans="8:18" x14ac:dyDescent="0.35">
      <c r="H8656" s="13"/>
      <c r="I8656" s="13"/>
      <c r="J8656" s="13"/>
      <c r="K8656" s="13"/>
      <c r="L8656" s="13"/>
      <c r="M8656" s="13"/>
      <c r="N8656" s="13"/>
      <c r="O8656" s="13"/>
      <c r="P8656" s="13"/>
      <c r="Q8656" s="13"/>
      <c r="R8656" s="13"/>
    </row>
    <row r="8657" spans="8:18" x14ac:dyDescent="0.35">
      <c r="H8657" s="13"/>
      <c r="I8657" s="13"/>
      <c r="J8657" s="13"/>
      <c r="K8657" s="13"/>
      <c r="L8657" s="13"/>
      <c r="M8657" s="13"/>
      <c r="N8657" s="13"/>
      <c r="O8657" s="13"/>
      <c r="P8657" s="13"/>
      <c r="Q8657" s="13"/>
      <c r="R8657" s="13"/>
    </row>
    <row r="8658" spans="8:18" x14ac:dyDescent="0.35">
      <c r="H8658" s="13"/>
      <c r="I8658" s="13"/>
      <c r="J8658" s="13"/>
      <c r="K8658" s="13"/>
      <c r="L8658" s="13"/>
      <c r="M8658" s="13"/>
      <c r="N8658" s="13"/>
      <c r="O8658" s="13"/>
      <c r="P8658" s="13"/>
      <c r="Q8658" s="13"/>
      <c r="R8658" s="13"/>
    </row>
    <row r="8659" spans="8:18" x14ac:dyDescent="0.35">
      <c r="H8659" s="13"/>
      <c r="I8659" s="13"/>
      <c r="J8659" s="13"/>
      <c r="K8659" s="13"/>
      <c r="L8659" s="13"/>
      <c r="M8659" s="13"/>
      <c r="N8659" s="13"/>
      <c r="O8659" s="13"/>
      <c r="P8659" s="13"/>
      <c r="Q8659" s="13"/>
      <c r="R8659" s="13"/>
    </row>
    <row r="8660" spans="8:18" x14ac:dyDescent="0.35">
      <c r="H8660" s="13"/>
      <c r="I8660" s="13"/>
      <c r="J8660" s="13"/>
      <c r="K8660" s="13"/>
      <c r="L8660" s="13"/>
      <c r="M8660" s="13"/>
      <c r="N8660" s="13"/>
      <c r="O8660" s="13"/>
      <c r="P8660" s="13"/>
      <c r="Q8660" s="13"/>
      <c r="R8660" s="13"/>
    </row>
    <row r="8661" spans="8:18" x14ac:dyDescent="0.35">
      <c r="H8661" s="13"/>
      <c r="I8661" s="13"/>
      <c r="J8661" s="13"/>
      <c r="K8661" s="13"/>
      <c r="L8661" s="13"/>
      <c r="M8661" s="13"/>
      <c r="N8661" s="13"/>
      <c r="O8661" s="13"/>
      <c r="P8661" s="13"/>
      <c r="Q8661" s="13"/>
      <c r="R8661" s="13"/>
    </row>
    <row r="8662" spans="8:18" x14ac:dyDescent="0.35">
      <c r="H8662" s="13"/>
      <c r="I8662" s="13"/>
      <c r="J8662" s="13"/>
      <c r="K8662" s="13"/>
      <c r="L8662" s="13"/>
      <c r="M8662" s="13"/>
      <c r="N8662" s="13"/>
      <c r="O8662" s="13"/>
      <c r="P8662" s="13"/>
      <c r="Q8662" s="13"/>
      <c r="R8662" s="13"/>
    </row>
    <row r="8663" spans="8:18" x14ac:dyDescent="0.35">
      <c r="H8663" s="13"/>
      <c r="I8663" s="13"/>
      <c r="J8663" s="13"/>
      <c r="K8663" s="13"/>
      <c r="L8663" s="13"/>
      <c r="M8663" s="13"/>
      <c r="N8663" s="13"/>
      <c r="O8663" s="13"/>
      <c r="P8663" s="13"/>
      <c r="Q8663" s="13"/>
      <c r="R8663" s="13"/>
    </row>
    <row r="8664" spans="8:18" x14ac:dyDescent="0.35">
      <c r="H8664" s="13"/>
      <c r="I8664" s="13"/>
      <c r="J8664" s="13"/>
      <c r="K8664" s="13"/>
      <c r="L8664" s="13"/>
      <c r="M8664" s="13"/>
      <c r="N8664" s="13"/>
      <c r="O8664" s="13"/>
      <c r="P8664" s="13"/>
      <c r="Q8664" s="13"/>
      <c r="R8664" s="13"/>
    </row>
    <row r="8665" spans="8:18" x14ac:dyDescent="0.35">
      <c r="H8665" s="13"/>
      <c r="I8665" s="13"/>
      <c r="J8665" s="13"/>
      <c r="K8665" s="13"/>
      <c r="L8665" s="13"/>
      <c r="M8665" s="13"/>
      <c r="N8665" s="13"/>
      <c r="O8665" s="13"/>
      <c r="P8665" s="13"/>
      <c r="Q8665" s="13"/>
      <c r="R8665" s="13"/>
    </row>
    <row r="8666" spans="8:18" x14ac:dyDescent="0.35">
      <c r="H8666" s="13"/>
      <c r="I8666" s="13"/>
      <c r="J8666" s="13"/>
      <c r="K8666" s="13"/>
      <c r="L8666" s="13"/>
      <c r="M8666" s="13"/>
      <c r="N8666" s="13"/>
      <c r="O8666" s="13"/>
      <c r="P8666" s="13"/>
      <c r="Q8666" s="13"/>
      <c r="R8666" s="13"/>
    </row>
    <row r="8667" spans="8:18" x14ac:dyDescent="0.35">
      <c r="H8667" s="13"/>
      <c r="I8667" s="13"/>
      <c r="J8667" s="13"/>
      <c r="K8667" s="13"/>
      <c r="L8667" s="13"/>
      <c r="M8667" s="13"/>
      <c r="N8667" s="13"/>
      <c r="O8667" s="13"/>
      <c r="P8667" s="13"/>
      <c r="Q8667" s="13"/>
      <c r="R8667" s="13"/>
    </row>
    <row r="8668" spans="8:18" x14ac:dyDescent="0.35">
      <c r="H8668" s="13"/>
      <c r="I8668" s="13"/>
      <c r="J8668" s="13"/>
      <c r="K8668" s="13"/>
      <c r="L8668" s="13"/>
      <c r="M8668" s="13"/>
      <c r="N8668" s="13"/>
      <c r="O8668" s="13"/>
      <c r="P8668" s="13"/>
      <c r="Q8668" s="13"/>
      <c r="R8668" s="13"/>
    </row>
    <row r="8669" spans="8:18" x14ac:dyDescent="0.35">
      <c r="H8669" s="13"/>
      <c r="I8669" s="13"/>
      <c r="J8669" s="13"/>
      <c r="K8669" s="13"/>
      <c r="L8669" s="13"/>
      <c r="M8669" s="13"/>
      <c r="N8669" s="13"/>
      <c r="O8669" s="13"/>
      <c r="P8669" s="13"/>
      <c r="Q8669" s="13"/>
      <c r="R8669" s="13"/>
    </row>
    <row r="8670" spans="8:18" x14ac:dyDescent="0.35">
      <c r="H8670" s="13"/>
      <c r="I8670" s="13"/>
      <c r="J8670" s="13"/>
      <c r="K8670" s="13"/>
      <c r="L8670" s="13"/>
      <c r="M8670" s="13"/>
      <c r="N8670" s="13"/>
      <c r="O8670" s="13"/>
      <c r="P8670" s="13"/>
      <c r="Q8670" s="13"/>
      <c r="R8670" s="13"/>
    </row>
    <row r="8671" spans="8:18" x14ac:dyDescent="0.35">
      <c r="H8671" s="13"/>
      <c r="I8671" s="13"/>
      <c r="J8671" s="13"/>
      <c r="K8671" s="13"/>
      <c r="L8671" s="13"/>
      <c r="M8671" s="13"/>
      <c r="N8671" s="13"/>
      <c r="O8671" s="13"/>
      <c r="P8671" s="13"/>
      <c r="Q8671" s="13"/>
      <c r="R8671" s="13"/>
    </row>
    <row r="8672" spans="8:18" x14ac:dyDescent="0.35">
      <c r="H8672" s="13"/>
      <c r="I8672" s="13"/>
      <c r="J8672" s="13"/>
      <c r="K8672" s="13"/>
      <c r="L8672" s="13"/>
      <c r="M8672" s="13"/>
      <c r="N8672" s="13"/>
      <c r="O8672" s="13"/>
      <c r="P8672" s="13"/>
      <c r="Q8672" s="13"/>
      <c r="R8672" s="13"/>
    </row>
    <row r="8673" spans="8:18" x14ac:dyDescent="0.35">
      <c r="H8673" s="13"/>
      <c r="I8673" s="13"/>
      <c r="J8673" s="13"/>
      <c r="K8673" s="13"/>
      <c r="L8673" s="13"/>
      <c r="M8673" s="13"/>
      <c r="N8673" s="13"/>
      <c r="O8673" s="13"/>
      <c r="P8673" s="13"/>
      <c r="Q8673" s="13"/>
      <c r="R8673" s="13"/>
    </row>
    <row r="8674" spans="8:18" x14ac:dyDescent="0.35">
      <c r="H8674" s="13"/>
      <c r="I8674" s="13"/>
      <c r="J8674" s="13"/>
      <c r="K8674" s="13"/>
      <c r="L8674" s="13"/>
      <c r="M8674" s="13"/>
      <c r="N8674" s="13"/>
      <c r="O8674" s="13"/>
      <c r="P8674" s="13"/>
      <c r="Q8674" s="13"/>
      <c r="R8674" s="13"/>
    </row>
    <row r="8675" spans="8:18" x14ac:dyDescent="0.35">
      <c r="H8675" s="13"/>
      <c r="I8675" s="13"/>
      <c r="J8675" s="13"/>
      <c r="K8675" s="13"/>
      <c r="L8675" s="13"/>
      <c r="M8675" s="13"/>
      <c r="N8675" s="13"/>
      <c r="O8675" s="13"/>
      <c r="P8675" s="13"/>
      <c r="Q8675" s="13"/>
      <c r="R8675" s="13"/>
    </row>
    <row r="8676" spans="8:18" x14ac:dyDescent="0.35">
      <c r="H8676" s="13"/>
      <c r="I8676" s="13"/>
      <c r="J8676" s="13"/>
      <c r="K8676" s="13"/>
      <c r="L8676" s="13"/>
      <c r="M8676" s="13"/>
      <c r="N8676" s="13"/>
      <c r="O8676" s="13"/>
      <c r="P8676" s="13"/>
      <c r="Q8676" s="13"/>
      <c r="R8676" s="13"/>
    </row>
    <row r="8677" spans="8:18" x14ac:dyDescent="0.35">
      <c r="H8677" s="13"/>
      <c r="I8677" s="13"/>
      <c r="J8677" s="13"/>
      <c r="K8677" s="13"/>
      <c r="L8677" s="13"/>
      <c r="M8677" s="13"/>
      <c r="N8677" s="13"/>
      <c r="O8677" s="13"/>
      <c r="P8677" s="13"/>
      <c r="Q8677" s="13"/>
      <c r="R8677" s="13"/>
    </row>
    <row r="8678" spans="8:18" x14ac:dyDescent="0.35">
      <c r="H8678" s="13"/>
      <c r="I8678" s="13"/>
      <c r="J8678" s="13"/>
      <c r="K8678" s="13"/>
      <c r="L8678" s="13"/>
      <c r="M8678" s="13"/>
      <c r="N8678" s="13"/>
      <c r="O8678" s="13"/>
      <c r="P8678" s="13"/>
      <c r="Q8678" s="13"/>
      <c r="R8678" s="13"/>
    </row>
    <row r="8679" spans="8:18" x14ac:dyDescent="0.35">
      <c r="H8679" s="13"/>
      <c r="I8679" s="13"/>
      <c r="J8679" s="13"/>
      <c r="K8679" s="13"/>
      <c r="L8679" s="13"/>
      <c r="M8679" s="13"/>
      <c r="N8679" s="13"/>
      <c r="O8679" s="13"/>
      <c r="P8679" s="13"/>
      <c r="Q8679" s="13"/>
      <c r="R8679" s="13"/>
    </row>
    <row r="8680" spans="8:18" x14ac:dyDescent="0.35">
      <c r="H8680" s="13"/>
      <c r="I8680" s="13"/>
      <c r="J8680" s="13"/>
      <c r="K8680" s="13"/>
      <c r="L8680" s="13"/>
      <c r="M8680" s="13"/>
      <c r="N8680" s="13"/>
      <c r="O8680" s="13"/>
      <c r="P8680" s="13"/>
      <c r="Q8680" s="13"/>
      <c r="R8680" s="13"/>
    </row>
    <row r="8681" spans="8:18" x14ac:dyDescent="0.35">
      <c r="H8681" s="13"/>
      <c r="I8681" s="13"/>
      <c r="J8681" s="13"/>
      <c r="K8681" s="13"/>
      <c r="L8681" s="13"/>
      <c r="M8681" s="13"/>
      <c r="N8681" s="13"/>
      <c r="O8681" s="13"/>
      <c r="P8681" s="13"/>
      <c r="Q8681" s="13"/>
      <c r="R8681" s="13"/>
    </row>
    <row r="8682" spans="8:18" x14ac:dyDescent="0.35">
      <c r="H8682" s="13"/>
      <c r="I8682" s="13"/>
      <c r="J8682" s="13"/>
      <c r="K8682" s="13"/>
      <c r="L8682" s="13"/>
      <c r="M8682" s="13"/>
      <c r="N8682" s="13"/>
      <c r="O8682" s="13"/>
      <c r="P8682" s="13"/>
      <c r="Q8682" s="13"/>
      <c r="R8682" s="13"/>
    </row>
    <row r="8683" spans="8:18" x14ac:dyDescent="0.35">
      <c r="H8683" s="13"/>
      <c r="I8683" s="13"/>
      <c r="J8683" s="13"/>
      <c r="K8683" s="13"/>
      <c r="L8683" s="13"/>
      <c r="M8683" s="13"/>
      <c r="N8683" s="13"/>
      <c r="O8683" s="13"/>
      <c r="P8683" s="13"/>
      <c r="Q8683" s="13"/>
      <c r="R8683" s="13"/>
    </row>
    <row r="8684" spans="8:18" x14ac:dyDescent="0.35">
      <c r="H8684" s="13"/>
      <c r="I8684" s="13"/>
      <c r="J8684" s="13"/>
      <c r="K8684" s="13"/>
      <c r="L8684" s="13"/>
      <c r="M8684" s="13"/>
      <c r="N8684" s="13"/>
      <c r="O8684" s="13"/>
      <c r="P8684" s="13"/>
      <c r="Q8684" s="13"/>
      <c r="R8684" s="13"/>
    </row>
    <row r="8685" spans="8:18" x14ac:dyDescent="0.35">
      <c r="H8685" s="13"/>
      <c r="I8685" s="13"/>
      <c r="J8685" s="13"/>
      <c r="K8685" s="13"/>
      <c r="L8685" s="13"/>
      <c r="M8685" s="13"/>
      <c r="N8685" s="13"/>
      <c r="O8685" s="13"/>
      <c r="P8685" s="13"/>
      <c r="Q8685" s="13"/>
      <c r="R8685" s="13"/>
    </row>
    <row r="8686" spans="8:18" x14ac:dyDescent="0.35">
      <c r="H8686" s="13"/>
      <c r="I8686" s="13"/>
      <c r="J8686" s="13"/>
      <c r="K8686" s="13"/>
      <c r="L8686" s="13"/>
      <c r="M8686" s="13"/>
      <c r="N8686" s="13"/>
      <c r="O8686" s="13"/>
      <c r="P8686" s="13"/>
      <c r="Q8686" s="13"/>
      <c r="R8686" s="13"/>
    </row>
    <row r="8687" spans="8:18" x14ac:dyDescent="0.35">
      <c r="H8687" s="13"/>
      <c r="I8687" s="13"/>
      <c r="J8687" s="13"/>
      <c r="K8687" s="13"/>
      <c r="L8687" s="13"/>
      <c r="M8687" s="13"/>
      <c r="N8687" s="13"/>
      <c r="O8687" s="13"/>
      <c r="P8687" s="13"/>
      <c r="Q8687" s="13"/>
      <c r="R8687" s="13"/>
    </row>
    <row r="8688" spans="8:18" x14ac:dyDescent="0.35">
      <c r="H8688" s="13"/>
      <c r="I8688" s="13"/>
      <c r="J8688" s="13"/>
      <c r="K8688" s="13"/>
      <c r="L8688" s="13"/>
      <c r="M8688" s="13"/>
      <c r="N8688" s="13"/>
      <c r="O8688" s="13"/>
      <c r="P8688" s="13"/>
      <c r="Q8688" s="13"/>
      <c r="R8688" s="13"/>
    </row>
    <row r="8689" spans="8:18" x14ac:dyDescent="0.35">
      <c r="H8689" s="13"/>
      <c r="I8689" s="13"/>
      <c r="J8689" s="13"/>
      <c r="K8689" s="13"/>
      <c r="L8689" s="13"/>
      <c r="M8689" s="13"/>
      <c r="N8689" s="13"/>
      <c r="O8689" s="13"/>
      <c r="P8689" s="13"/>
      <c r="Q8689" s="13"/>
      <c r="R8689" s="13"/>
    </row>
    <row r="8690" spans="8:18" x14ac:dyDescent="0.35">
      <c r="H8690" s="13"/>
      <c r="I8690" s="13"/>
      <c r="J8690" s="13"/>
      <c r="K8690" s="13"/>
      <c r="L8690" s="13"/>
      <c r="M8690" s="13"/>
      <c r="N8690" s="13"/>
      <c r="O8690" s="13"/>
      <c r="P8690" s="13"/>
      <c r="Q8690" s="13"/>
      <c r="R8690" s="13"/>
    </row>
    <row r="8691" spans="8:18" x14ac:dyDescent="0.35">
      <c r="H8691" s="13"/>
      <c r="I8691" s="13"/>
      <c r="J8691" s="13"/>
      <c r="K8691" s="13"/>
      <c r="L8691" s="13"/>
      <c r="M8691" s="13"/>
      <c r="N8691" s="13"/>
      <c r="O8691" s="13"/>
      <c r="P8691" s="13"/>
      <c r="Q8691" s="13"/>
      <c r="R8691" s="13"/>
    </row>
    <row r="8692" spans="8:18" x14ac:dyDescent="0.35">
      <c r="H8692" s="13"/>
      <c r="I8692" s="13"/>
      <c r="J8692" s="13"/>
      <c r="K8692" s="13"/>
      <c r="L8692" s="13"/>
      <c r="M8692" s="13"/>
      <c r="N8692" s="13"/>
      <c r="O8692" s="13"/>
      <c r="P8692" s="13"/>
      <c r="Q8692" s="13"/>
      <c r="R8692" s="13"/>
    </row>
    <row r="8693" spans="8:18" x14ac:dyDescent="0.35">
      <c r="H8693" s="13"/>
      <c r="I8693" s="13"/>
      <c r="J8693" s="13"/>
      <c r="K8693" s="13"/>
      <c r="L8693" s="13"/>
      <c r="M8693" s="13"/>
      <c r="N8693" s="13"/>
      <c r="O8693" s="13"/>
      <c r="P8693" s="13"/>
      <c r="Q8693" s="13"/>
      <c r="R8693" s="13"/>
    </row>
    <row r="8694" spans="8:18" x14ac:dyDescent="0.35">
      <c r="H8694" s="13"/>
      <c r="I8694" s="13"/>
      <c r="J8694" s="13"/>
      <c r="K8694" s="13"/>
      <c r="L8694" s="13"/>
      <c r="M8694" s="13"/>
      <c r="N8694" s="13"/>
      <c r="O8694" s="13"/>
      <c r="P8694" s="13"/>
      <c r="Q8694" s="13"/>
      <c r="R8694" s="13"/>
    </row>
    <row r="8695" spans="8:18" x14ac:dyDescent="0.35">
      <c r="H8695" s="13"/>
      <c r="I8695" s="13"/>
      <c r="J8695" s="13"/>
      <c r="K8695" s="13"/>
      <c r="L8695" s="13"/>
      <c r="M8695" s="13"/>
      <c r="N8695" s="13"/>
      <c r="O8695" s="13"/>
      <c r="P8695" s="13"/>
      <c r="Q8695" s="13"/>
      <c r="R8695" s="13"/>
    </row>
    <row r="8696" spans="8:18" x14ac:dyDescent="0.35">
      <c r="H8696" s="13"/>
      <c r="I8696" s="13"/>
      <c r="J8696" s="13"/>
      <c r="K8696" s="13"/>
      <c r="L8696" s="13"/>
      <c r="M8696" s="13"/>
      <c r="N8696" s="13"/>
      <c r="O8696" s="13"/>
      <c r="P8696" s="13"/>
      <c r="Q8696" s="13"/>
      <c r="R8696" s="13"/>
    </row>
    <row r="8697" spans="8:18" x14ac:dyDescent="0.35">
      <c r="H8697" s="13"/>
      <c r="I8697" s="13"/>
      <c r="J8697" s="13"/>
      <c r="K8697" s="13"/>
      <c r="L8697" s="13"/>
      <c r="M8697" s="13"/>
      <c r="N8697" s="13"/>
      <c r="O8697" s="13"/>
      <c r="P8697" s="13"/>
      <c r="Q8697" s="13"/>
      <c r="R8697" s="13"/>
    </row>
    <row r="8698" spans="8:18" x14ac:dyDescent="0.35">
      <c r="H8698" s="13"/>
      <c r="I8698" s="13"/>
      <c r="J8698" s="13"/>
      <c r="K8698" s="13"/>
      <c r="L8698" s="13"/>
      <c r="M8698" s="13"/>
      <c r="N8698" s="13"/>
      <c r="O8698" s="13"/>
      <c r="P8698" s="13"/>
      <c r="Q8698" s="13"/>
      <c r="R8698" s="13"/>
    </row>
    <row r="8699" spans="8:18" x14ac:dyDescent="0.35">
      <c r="H8699" s="13"/>
      <c r="I8699" s="13"/>
      <c r="J8699" s="13"/>
      <c r="K8699" s="13"/>
      <c r="L8699" s="13"/>
      <c r="M8699" s="13"/>
      <c r="N8699" s="13"/>
      <c r="O8699" s="13"/>
      <c r="P8699" s="13"/>
      <c r="Q8699" s="13"/>
      <c r="R8699" s="13"/>
    </row>
    <row r="8700" spans="8:18" x14ac:dyDescent="0.35">
      <c r="H8700" s="13"/>
      <c r="I8700" s="13"/>
      <c r="J8700" s="13"/>
      <c r="K8700" s="13"/>
      <c r="L8700" s="13"/>
      <c r="M8700" s="13"/>
      <c r="N8700" s="13"/>
      <c r="O8700" s="13"/>
      <c r="P8700" s="13"/>
      <c r="Q8700" s="13"/>
      <c r="R8700" s="13"/>
    </row>
    <row r="8701" spans="8:18" x14ac:dyDescent="0.35">
      <c r="H8701" s="13"/>
      <c r="I8701" s="13"/>
      <c r="J8701" s="13"/>
      <c r="K8701" s="13"/>
      <c r="L8701" s="13"/>
      <c r="M8701" s="13"/>
      <c r="N8701" s="13"/>
      <c r="O8701" s="13"/>
      <c r="P8701" s="13"/>
      <c r="Q8701" s="13"/>
      <c r="R8701" s="13"/>
    </row>
    <row r="8702" spans="8:18" x14ac:dyDescent="0.35">
      <c r="H8702" s="13"/>
      <c r="I8702" s="13"/>
      <c r="J8702" s="13"/>
      <c r="K8702" s="13"/>
      <c r="L8702" s="13"/>
      <c r="M8702" s="13"/>
      <c r="N8702" s="13"/>
      <c r="O8702" s="13"/>
      <c r="P8702" s="13"/>
      <c r="Q8702" s="13"/>
      <c r="R8702" s="13"/>
    </row>
    <row r="8703" spans="8:18" x14ac:dyDescent="0.35">
      <c r="H8703" s="13"/>
      <c r="I8703" s="13"/>
      <c r="J8703" s="13"/>
      <c r="K8703" s="13"/>
      <c r="L8703" s="13"/>
      <c r="M8703" s="13"/>
      <c r="N8703" s="13"/>
      <c r="O8703" s="13"/>
      <c r="P8703" s="13"/>
      <c r="Q8703" s="13"/>
      <c r="R8703" s="13"/>
    </row>
    <row r="8704" spans="8:18" x14ac:dyDescent="0.35">
      <c r="H8704" s="13"/>
      <c r="I8704" s="13"/>
      <c r="J8704" s="13"/>
      <c r="K8704" s="13"/>
      <c r="L8704" s="13"/>
      <c r="M8704" s="13"/>
      <c r="N8704" s="13"/>
      <c r="O8704" s="13"/>
      <c r="P8704" s="13"/>
      <c r="Q8704" s="13"/>
      <c r="R8704" s="13"/>
    </row>
    <row r="8705" spans="8:18" x14ac:dyDescent="0.35">
      <c r="H8705" s="13"/>
      <c r="I8705" s="13"/>
      <c r="J8705" s="13"/>
      <c r="K8705" s="13"/>
      <c r="L8705" s="13"/>
      <c r="M8705" s="13"/>
      <c r="N8705" s="13"/>
      <c r="O8705" s="13"/>
      <c r="P8705" s="13"/>
      <c r="Q8705" s="13"/>
      <c r="R8705" s="13"/>
    </row>
    <row r="8706" spans="8:18" x14ac:dyDescent="0.35">
      <c r="H8706" s="13"/>
      <c r="I8706" s="13"/>
      <c r="J8706" s="13"/>
      <c r="K8706" s="13"/>
      <c r="L8706" s="13"/>
      <c r="M8706" s="13"/>
      <c r="N8706" s="13"/>
      <c r="O8706" s="13"/>
      <c r="P8706" s="13"/>
      <c r="Q8706" s="13"/>
      <c r="R8706" s="13"/>
    </row>
    <row r="8707" spans="8:18" x14ac:dyDescent="0.35"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</row>
    <row r="8708" spans="8:18" x14ac:dyDescent="0.35">
      <c r="H8708" s="13"/>
      <c r="I8708" s="13"/>
      <c r="J8708" s="13"/>
      <c r="K8708" s="13"/>
      <c r="L8708" s="13"/>
      <c r="M8708" s="13"/>
      <c r="N8708" s="13"/>
      <c r="O8708" s="13"/>
      <c r="P8708" s="13"/>
      <c r="Q8708" s="13"/>
      <c r="R8708" s="13"/>
    </row>
    <row r="8709" spans="8:18" x14ac:dyDescent="0.35">
      <c r="H8709" s="13"/>
      <c r="I8709" s="13"/>
      <c r="J8709" s="13"/>
      <c r="K8709" s="13"/>
      <c r="L8709" s="13"/>
      <c r="M8709" s="13"/>
      <c r="N8709" s="13"/>
      <c r="O8709" s="13"/>
      <c r="P8709" s="13"/>
      <c r="Q8709" s="13"/>
      <c r="R8709" s="13"/>
    </row>
    <row r="8710" spans="8:18" x14ac:dyDescent="0.35">
      <c r="H8710" s="13"/>
      <c r="I8710" s="13"/>
      <c r="J8710" s="13"/>
      <c r="K8710" s="13"/>
      <c r="L8710" s="13"/>
      <c r="M8710" s="13"/>
      <c r="N8710" s="13"/>
      <c r="O8710" s="13"/>
      <c r="P8710" s="13"/>
      <c r="Q8710" s="13"/>
      <c r="R8710" s="13"/>
    </row>
    <row r="8711" spans="8:18" x14ac:dyDescent="0.35">
      <c r="H8711" s="13"/>
      <c r="I8711" s="13"/>
      <c r="J8711" s="13"/>
      <c r="K8711" s="13"/>
      <c r="L8711" s="13"/>
      <c r="M8711" s="13"/>
      <c r="N8711" s="13"/>
      <c r="O8711" s="13"/>
      <c r="P8711" s="13"/>
      <c r="Q8711" s="13"/>
      <c r="R8711" s="13"/>
    </row>
    <row r="8712" spans="8:18" x14ac:dyDescent="0.35">
      <c r="H8712" s="13"/>
      <c r="I8712" s="13"/>
      <c r="J8712" s="13"/>
      <c r="K8712" s="13"/>
      <c r="L8712" s="13"/>
      <c r="M8712" s="13"/>
      <c r="N8712" s="13"/>
      <c r="O8712" s="13"/>
      <c r="P8712" s="13"/>
      <c r="Q8712" s="13"/>
      <c r="R8712" s="13"/>
    </row>
    <row r="8713" spans="8:18" x14ac:dyDescent="0.35">
      <c r="H8713" s="13"/>
      <c r="I8713" s="13"/>
      <c r="J8713" s="13"/>
      <c r="K8713" s="13"/>
      <c r="L8713" s="13"/>
      <c r="M8713" s="13"/>
      <c r="N8713" s="13"/>
      <c r="O8713" s="13"/>
      <c r="P8713" s="13"/>
      <c r="Q8713" s="13"/>
      <c r="R8713" s="13"/>
    </row>
    <row r="8714" spans="8:18" x14ac:dyDescent="0.35">
      <c r="H8714" s="13"/>
      <c r="I8714" s="13"/>
      <c r="J8714" s="13"/>
      <c r="K8714" s="13"/>
      <c r="L8714" s="13"/>
      <c r="M8714" s="13"/>
      <c r="N8714" s="13"/>
      <c r="O8714" s="13"/>
      <c r="P8714" s="13"/>
      <c r="Q8714" s="13"/>
      <c r="R8714" s="13"/>
    </row>
    <row r="8715" spans="8:18" x14ac:dyDescent="0.35">
      <c r="H8715" s="13"/>
      <c r="I8715" s="13"/>
      <c r="J8715" s="13"/>
      <c r="K8715" s="13"/>
      <c r="L8715" s="13"/>
      <c r="M8715" s="13"/>
      <c r="N8715" s="13"/>
      <c r="O8715" s="13"/>
      <c r="P8715" s="13"/>
      <c r="Q8715" s="13"/>
      <c r="R8715" s="13"/>
    </row>
    <row r="8716" spans="8:18" x14ac:dyDescent="0.35">
      <c r="H8716" s="13"/>
      <c r="I8716" s="13"/>
      <c r="J8716" s="13"/>
      <c r="K8716" s="13"/>
      <c r="L8716" s="13"/>
      <c r="M8716" s="13"/>
      <c r="N8716" s="13"/>
      <c r="O8716" s="13"/>
      <c r="P8716" s="13"/>
      <c r="Q8716" s="13"/>
      <c r="R8716" s="13"/>
    </row>
    <row r="8717" spans="8:18" x14ac:dyDescent="0.35">
      <c r="H8717" s="13"/>
      <c r="I8717" s="13"/>
      <c r="J8717" s="13"/>
      <c r="K8717" s="13"/>
      <c r="L8717" s="13"/>
      <c r="M8717" s="13"/>
      <c r="N8717" s="13"/>
      <c r="O8717" s="13"/>
      <c r="P8717" s="13"/>
      <c r="Q8717" s="13"/>
      <c r="R8717" s="13"/>
    </row>
    <row r="8718" spans="8:18" x14ac:dyDescent="0.35">
      <c r="H8718" s="13"/>
      <c r="I8718" s="13"/>
      <c r="J8718" s="13"/>
      <c r="K8718" s="13"/>
      <c r="L8718" s="13"/>
      <c r="M8718" s="13"/>
      <c r="N8718" s="13"/>
      <c r="O8718" s="13"/>
      <c r="P8718" s="13"/>
      <c r="Q8718" s="13"/>
      <c r="R8718" s="13"/>
    </row>
    <row r="8719" spans="8:18" x14ac:dyDescent="0.35">
      <c r="H8719" s="13"/>
      <c r="I8719" s="13"/>
      <c r="J8719" s="13"/>
      <c r="K8719" s="13"/>
      <c r="L8719" s="13"/>
      <c r="M8719" s="13"/>
      <c r="N8719" s="13"/>
      <c r="O8719" s="13"/>
      <c r="P8719" s="13"/>
      <c r="Q8719" s="13"/>
      <c r="R8719" s="13"/>
    </row>
    <row r="8720" spans="8:18" x14ac:dyDescent="0.35">
      <c r="H8720" s="13"/>
      <c r="I8720" s="13"/>
      <c r="J8720" s="13"/>
      <c r="K8720" s="13"/>
      <c r="L8720" s="13"/>
      <c r="M8720" s="13"/>
      <c r="N8720" s="13"/>
      <c r="O8720" s="13"/>
      <c r="P8720" s="13"/>
      <c r="Q8720" s="13"/>
      <c r="R8720" s="13"/>
    </row>
    <row r="8721" spans="8:18" x14ac:dyDescent="0.35">
      <c r="H8721" s="13"/>
      <c r="I8721" s="13"/>
      <c r="J8721" s="13"/>
      <c r="K8721" s="13"/>
      <c r="L8721" s="13"/>
      <c r="M8721" s="13"/>
      <c r="N8721" s="13"/>
      <c r="O8721" s="13"/>
      <c r="P8721" s="13"/>
      <c r="Q8721" s="13"/>
      <c r="R8721" s="13"/>
    </row>
    <row r="8722" spans="8:18" x14ac:dyDescent="0.35">
      <c r="H8722" s="13"/>
      <c r="I8722" s="13"/>
      <c r="J8722" s="13"/>
      <c r="K8722" s="13"/>
      <c r="L8722" s="13"/>
      <c r="M8722" s="13"/>
      <c r="N8722" s="13"/>
      <c r="O8722" s="13"/>
      <c r="P8722" s="13"/>
      <c r="Q8722" s="13"/>
      <c r="R8722" s="13"/>
    </row>
    <row r="8723" spans="8:18" x14ac:dyDescent="0.35">
      <c r="H8723" s="13"/>
      <c r="I8723" s="13"/>
      <c r="J8723" s="13"/>
      <c r="K8723" s="13"/>
      <c r="L8723" s="13"/>
      <c r="M8723" s="13"/>
      <c r="N8723" s="13"/>
      <c r="O8723" s="13"/>
      <c r="P8723" s="13"/>
      <c r="Q8723" s="13"/>
      <c r="R8723" s="13"/>
    </row>
    <row r="8724" spans="8:18" x14ac:dyDescent="0.35">
      <c r="H8724" s="13"/>
      <c r="I8724" s="13"/>
      <c r="J8724" s="13"/>
      <c r="K8724" s="13"/>
      <c r="L8724" s="13"/>
      <c r="M8724" s="13"/>
      <c r="N8724" s="13"/>
      <c r="O8724" s="13"/>
      <c r="P8724" s="13"/>
      <c r="Q8724" s="13"/>
      <c r="R8724" s="13"/>
    </row>
    <row r="8725" spans="8:18" x14ac:dyDescent="0.35">
      <c r="H8725" s="13"/>
      <c r="I8725" s="13"/>
      <c r="J8725" s="13"/>
      <c r="K8725" s="13"/>
      <c r="L8725" s="13"/>
      <c r="M8725" s="13"/>
      <c r="N8725" s="13"/>
      <c r="O8725" s="13"/>
      <c r="P8725" s="13"/>
      <c r="Q8725" s="13"/>
      <c r="R8725" s="13"/>
    </row>
    <row r="8726" spans="8:18" x14ac:dyDescent="0.35">
      <c r="H8726" s="13"/>
      <c r="I8726" s="13"/>
      <c r="J8726" s="13"/>
      <c r="K8726" s="13"/>
      <c r="L8726" s="13"/>
      <c r="M8726" s="13"/>
      <c r="N8726" s="13"/>
      <c r="O8726" s="13"/>
      <c r="P8726" s="13"/>
      <c r="Q8726" s="13"/>
      <c r="R8726" s="13"/>
    </row>
    <row r="8727" spans="8:18" x14ac:dyDescent="0.35">
      <c r="H8727" s="13"/>
      <c r="I8727" s="13"/>
      <c r="J8727" s="13"/>
      <c r="K8727" s="13"/>
      <c r="L8727" s="13"/>
      <c r="M8727" s="13"/>
      <c r="N8727" s="13"/>
      <c r="O8727" s="13"/>
      <c r="P8727" s="13"/>
      <c r="Q8727" s="13"/>
      <c r="R8727" s="13"/>
    </row>
    <row r="8728" spans="8:18" x14ac:dyDescent="0.35">
      <c r="H8728" s="13"/>
      <c r="I8728" s="13"/>
      <c r="J8728" s="13"/>
      <c r="K8728" s="13"/>
      <c r="L8728" s="13"/>
      <c r="M8728" s="13"/>
      <c r="N8728" s="13"/>
      <c r="O8728" s="13"/>
      <c r="P8728" s="13"/>
      <c r="Q8728" s="13"/>
      <c r="R8728" s="13"/>
    </row>
    <row r="8729" spans="8:18" x14ac:dyDescent="0.35">
      <c r="H8729" s="13"/>
      <c r="I8729" s="13"/>
      <c r="J8729" s="13"/>
      <c r="K8729" s="13"/>
      <c r="L8729" s="13"/>
      <c r="M8729" s="13"/>
      <c r="N8729" s="13"/>
      <c r="O8729" s="13"/>
      <c r="P8729" s="13"/>
      <c r="Q8729" s="13"/>
      <c r="R8729" s="13"/>
    </row>
    <row r="8730" spans="8:18" x14ac:dyDescent="0.35">
      <c r="H8730" s="13"/>
      <c r="I8730" s="13"/>
      <c r="J8730" s="13"/>
      <c r="K8730" s="13"/>
      <c r="L8730" s="13"/>
      <c r="M8730" s="13"/>
      <c r="N8730" s="13"/>
      <c r="O8730" s="13"/>
      <c r="P8730" s="13"/>
      <c r="Q8730" s="13"/>
      <c r="R8730" s="13"/>
    </row>
    <row r="8731" spans="8:18" x14ac:dyDescent="0.35">
      <c r="H8731" s="13"/>
      <c r="I8731" s="13"/>
      <c r="J8731" s="13"/>
      <c r="K8731" s="13"/>
      <c r="L8731" s="13"/>
      <c r="M8731" s="13"/>
      <c r="N8731" s="13"/>
      <c r="O8731" s="13"/>
      <c r="P8731" s="13"/>
      <c r="Q8731" s="13"/>
      <c r="R8731" s="13"/>
    </row>
    <row r="8732" spans="8:18" x14ac:dyDescent="0.35">
      <c r="H8732" s="13"/>
      <c r="I8732" s="13"/>
      <c r="J8732" s="13"/>
      <c r="K8732" s="13"/>
      <c r="L8732" s="13"/>
      <c r="M8732" s="13"/>
      <c r="N8732" s="13"/>
      <c r="O8732" s="13"/>
      <c r="P8732" s="13"/>
      <c r="Q8732" s="13"/>
      <c r="R8732" s="13"/>
    </row>
    <row r="8733" spans="8:18" x14ac:dyDescent="0.35">
      <c r="H8733" s="13"/>
      <c r="I8733" s="13"/>
      <c r="J8733" s="13"/>
      <c r="K8733" s="13"/>
      <c r="L8733" s="13"/>
      <c r="M8733" s="13"/>
      <c r="N8733" s="13"/>
      <c r="O8733" s="13"/>
      <c r="P8733" s="13"/>
      <c r="Q8733" s="13"/>
      <c r="R8733" s="13"/>
    </row>
    <row r="8734" spans="8:18" x14ac:dyDescent="0.35">
      <c r="H8734" s="13"/>
      <c r="I8734" s="13"/>
      <c r="J8734" s="13"/>
      <c r="K8734" s="13"/>
      <c r="L8734" s="13"/>
      <c r="M8734" s="13"/>
      <c r="N8734" s="13"/>
      <c r="O8734" s="13"/>
      <c r="P8734" s="13"/>
      <c r="Q8734" s="13"/>
      <c r="R8734" s="13"/>
    </row>
    <row r="8735" spans="8:18" x14ac:dyDescent="0.35">
      <c r="H8735" s="13"/>
      <c r="I8735" s="13"/>
      <c r="J8735" s="13"/>
      <c r="K8735" s="13"/>
      <c r="L8735" s="13"/>
      <c r="M8735" s="13"/>
      <c r="N8735" s="13"/>
      <c r="O8735" s="13"/>
      <c r="P8735" s="13"/>
      <c r="Q8735" s="13"/>
      <c r="R8735" s="13"/>
    </row>
    <row r="8736" spans="8:18" x14ac:dyDescent="0.35">
      <c r="H8736" s="13"/>
      <c r="I8736" s="13"/>
      <c r="J8736" s="13"/>
      <c r="K8736" s="13"/>
      <c r="L8736" s="13"/>
      <c r="M8736" s="13"/>
      <c r="N8736" s="13"/>
      <c r="O8736" s="13"/>
      <c r="P8736" s="13"/>
      <c r="Q8736" s="13"/>
      <c r="R8736" s="13"/>
    </row>
    <row r="8737" spans="8:18" x14ac:dyDescent="0.35">
      <c r="H8737" s="13"/>
      <c r="I8737" s="13"/>
      <c r="J8737" s="13"/>
      <c r="K8737" s="13"/>
      <c r="L8737" s="13"/>
      <c r="M8737" s="13"/>
      <c r="N8737" s="13"/>
      <c r="O8737" s="13"/>
      <c r="P8737" s="13"/>
      <c r="Q8737" s="13"/>
      <c r="R8737" s="13"/>
    </row>
    <row r="8738" spans="8:18" x14ac:dyDescent="0.35">
      <c r="H8738" s="13"/>
      <c r="I8738" s="13"/>
      <c r="J8738" s="13"/>
      <c r="K8738" s="13"/>
      <c r="L8738" s="13"/>
      <c r="M8738" s="13"/>
      <c r="N8738" s="13"/>
      <c r="O8738" s="13"/>
      <c r="P8738" s="13"/>
      <c r="Q8738" s="13"/>
      <c r="R8738" s="13"/>
    </row>
    <row r="8739" spans="8:18" x14ac:dyDescent="0.35">
      <c r="H8739" s="13"/>
      <c r="I8739" s="13"/>
      <c r="J8739" s="13"/>
      <c r="K8739" s="13"/>
      <c r="L8739" s="13"/>
      <c r="M8739" s="13"/>
      <c r="N8739" s="13"/>
      <c r="O8739" s="13"/>
      <c r="P8739" s="13"/>
      <c r="Q8739" s="13"/>
      <c r="R8739" s="13"/>
    </row>
    <row r="8740" spans="8:18" x14ac:dyDescent="0.35">
      <c r="H8740" s="13"/>
      <c r="I8740" s="13"/>
      <c r="J8740" s="13"/>
      <c r="K8740" s="13"/>
      <c r="L8740" s="13"/>
      <c r="M8740" s="13"/>
      <c r="N8740" s="13"/>
      <c r="O8740" s="13"/>
      <c r="P8740" s="13"/>
      <c r="Q8740" s="13"/>
      <c r="R8740" s="13"/>
    </row>
    <row r="8741" spans="8:18" x14ac:dyDescent="0.35">
      <c r="H8741" s="13"/>
      <c r="I8741" s="13"/>
      <c r="J8741" s="13"/>
      <c r="K8741" s="13"/>
      <c r="L8741" s="13"/>
      <c r="M8741" s="13"/>
      <c r="N8741" s="13"/>
      <c r="O8741" s="13"/>
      <c r="P8741" s="13"/>
      <c r="Q8741" s="13"/>
      <c r="R8741" s="13"/>
    </row>
    <row r="8742" spans="8:18" x14ac:dyDescent="0.35">
      <c r="H8742" s="13"/>
      <c r="I8742" s="13"/>
      <c r="J8742" s="13"/>
      <c r="K8742" s="13"/>
      <c r="L8742" s="13"/>
      <c r="M8742" s="13"/>
      <c r="N8742" s="13"/>
      <c r="O8742" s="13"/>
      <c r="P8742" s="13"/>
      <c r="Q8742" s="13"/>
      <c r="R8742" s="13"/>
    </row>
    <row r="8743" spans="8:18" x14ac:dyDescent="0.35">
      <c r="H8743" s="13"/>
      <c r="I8743" s="13"/>
      <c r="J8743" s="13"/>
      <c r="K8743" s="13"/>
      <c r="L8743" s="13"/>
      <c r="M8743" s="13"/>
      <c r="N8743" s="13"/>
      <c r="O8743" s="13"/>
      <c r="P8743" s="13"/>
      <c r="Q8743" s="13"/>
      <c r="R8743" s="13"/>
    </row>
    <row r="8744" spans="8:18" x14ac:dyDescent="0.35">
      <c r="H8744" s="13"/>
      <c r="I8744" s="13"/>
      <c r="J8744" s="13"/>
      <c r="K8744" s="13"/>
      <c r="L8744" s="13"/>
      <c r="M8744" s="13"/>
      <c r="N8744" s="13"/>
      <c r="O8744" s="13"/>
      <c r="P8744" s="13"/>
      <c r="Q8744" s="13"/>
      <c r="R8744" s="13"/>
    </row>
    <row r="8745" spans="8:18" x14ac:dyDescent="0.35">
      <c r="H8745" s="13"/>
      <c r="I8745" s="13"/>
      <c r="J8745" s="13"/>
      <c r="K8745" s="13"/>
      <c r="L8745" s="13"/>
      <c r="M8745" s="13"/>
      <c r="N8745" s="13"/>
      <c r="O8745" s="13"/>
      <c r="P8745" s="13"/>
      <c r="Q8745" s="13"/>
      <c r="R8745" s="13"/>
    </row>
    <row r="8746" spans="8:18" x14ac:dyDescent="0.35">
      <c r="H8746" s="13"/>
      <c r="I8746" s="13"/>
      <c r="J8746" s="13"/>
      <c r="K8746" s="13"/>
      <c r="L8746" s="13"/>
      <c r="M8746" s="13"/>
      <c r="N8746" s="13"/>
      <c r="O8746" s="13"/>
      <c r="P8746" s="13"/>
      <c r="Q8746" s="13"/>
      <c r="R8746" s="13"/>
    </row>
    <row r="8747" spans="8:18" x14ac:dyDescent="0.35">
      <c r="H8747" s="13"/>
      <c r="I8747" s="13"/>
      <c r="J8747" s="13"/>
      <c r="K8747" s="13"/>
      <c r="L8747" s="13"/>
      <c r="M8747" s="13"/>
      <c r="N8747" s="13"/>
      <c r="O8747" s="13"/>
      <c r="P8747" s="13"/>
      <c r="Q8747" s="13"/>
      <c r="R8747" s="13"/>
    </row>
    <row r="8748" spans="8:18" x14ac:dyDescent="0.35">
      <c r="H8748" s="13"/>
      <c r="I8748" s="13"/>
      <c r="J8748" s="13"/>
      <c r="K8748" s="13"/>
      <c r="L8748" s="13"/>
      <c r="M8748" s="13"/>
      <c r="N8748" s="13"/>
      <c r="O8748" s="13"/>
      <c r="P8748" s="13"/>
      <c r="Q8748" s="13"/>
      <c r="R8748" s="13"/>
    </row>
    <row r="8749" spans="8:18" x14ac:dyDescent="0.35">
      <c r="H8749" s="13"/>
      <c r="I8749" s="13"/>
      <c r="J8749" s="13"/>
      <c r="K8749" s="13"/>
      <c r="L8749" s="13"/>
      <c r="M8749" s="13"/>
      <c r="N8749" s="13"/>
      <c r="O8749" s="13"/>
      <c r="P8749" s="13"/>
      <c r="Q8749" s="13"/>
      <c r="R8749" s="13"/>
    </row>
    <row r="8750" spans="8:18" x14ac:dyDescent="0.35">
      <c r="H8750" s="13"/>
      <c r="I8750" s="13"/>
      <c r="J8750" s="13"/>
      <c r="K8750" s="13"/>
      <c r="L8750" s="13"/>
      <c r="M8750" s="13"/>
      <c r="N8750" s="13"/>
      <c r="O8750" s="13"/>
      <c r="P8750" s="13"/>
      <c r="Q8750" s="13"/>
      <c r="R8750" s="13"/>
    </row>
    <row r="8751" spans="8:18" x14ac:dyDescent="0.35">
      <c r="H8751" s="13"/>
      <c r="I8751" s="13"/>
      <c r="J8751" s="13"/>
      <c r="K8751" s="13"/>
      <c r="L8751" s="13"/>
      <c r="M8751" s="13"/>
      <c r="N8751" s="13"/>
      <c r="O8751" s="13"/>
      <c r="P8751" s="13"/>
      <c r="Q8751" s="13"/>
      <c r="R8751" s="13"/>
    </row>
    <row r="8752" spans="8:18" x14ac:dyDescent="0.35">
      <c r="H8752" s="13"/>
      <c r="I8752" s="13"/>
      <c r="J8752" s="13"/>
      <c r="K8752" s="13"/>
      <c r="L8752" s="13"/>
      <c r="M8752" s="13"/>
      <c r="N8752" s="13"/>
      <c r="O8752" s="13"/>
      <c r="P8752" s="13"/>
      <c r="Q8752" s="13"/>
      <c r="R8752" s="13"/>
    </row>
    <row r="8753" spans="8:18" x14ac:dyDescent="0.35">
      <c r="H8753" s="13"/>
      <c r="I8753" s="13"/>
      <c r="J8753" s="13"/>
      <c r="K8753" s="13"/>
      <c r="L8753" s="13"/>
      <c r="M8753" s="13"/>
      <c r="N8753" s="13"/>
      <c r="O8753" s="13"/>
      <c r="P8753" s="13"/>
      <c r="Q8753" s="13"/>
      <c r="R8753" s="13"/>
    </row>
    <row r="8754" spans="8:18" x14ac:dyDescent="0.35">
      <c r="H8754" s="13"/>
      <c r="I8754" s="13"/>
      <c r="J8754" s="13"/>
      <c r="K8754" s="13"/>
      <c r="L8754" s="13"/>
      <c r="M8754" s="13"/>
      <c r="N8754" s="13"/>
      <c r="O8754" s="13"/>
      <c r="P8754" s="13"/>
      <c r="Q8754" s="13"/>
      <c r="R8754" s="13"/>
    </row>
    <row r="8755" spans="8:18" x14ac:dyDescent="0.35">
      <c r="H8755" s="13"/>
      <c r="I8755" s="13"/>
      <c r="J8755" s="13"/>
      <c r="K8755" s="13"/>
      <c r="L8755" s="13"/>
      <c r="M8755" s="13"/>
      <c r="N8755" s="13"/>
      <c r="O8755" s="13"/>
      <c r="P8755" s="13"/>
      <c r="Q8755" s="13"/>
      <c r="R8755" s="13"/>
    </row>
    <row r="8756" spans="8:18" x14ac:dyDescent="0.35">
      <c r="H8756" s="13"/>
      <c r="I8756" s="13"/>
      <c r="J8756" s="13"/>
      <c r="K8756" s="13"/>
      <c r="L8756" s="13"/>
      <c r="M8756" s="13"/>
      <c r="N8756" s="13"/>
      <c r="O8756" s="13"/>
      <c r="P8756" s="13"/>
      <c r="Q8756" s="13"/>
      <c r="R8756" s="13"/>
    </row>
    <row r="8757" spans="8:18" x14ac:dyDescent="0.35">
      <c r="H8757" s="13"/>
      <c r="I8757" s="13"/>
      <c r="J8757" s="13"/>
      <c r="K8757" s="13"/>
      <c r="L8757" s="13"/>
      <c r="M8757" s="13"/>
      <c r="N8757" s="13"/>
      <c r="O8757" s="13"/>
      <c r="P8757" s="13"/>
      <c r="Q8757" s="13"/>
      <c r="R8757" s="13"/>
    </row>
    <row r="8758" spans="8:18" x14ac:dyDescent="0.35">
      <c r="H8758" s="13"/>
      <c r="I8758" s="13"/>
      <c r="J8758" s="13"/>
      <c r="K8758" s="13"/>
      <c r="L8758" s="13"/>
      <c r="M8758" s="13"/>
      <c r="N8758" s="13"/>
      <c r="O8758" s="13"/>
      <c r="P8758" s="13"/>
      <c r="Q8758" s="13"/>
      <c r="R8758" s="13"/>
    </row>
    <row r="8759" spans="8:18" x14ac:dyDescent="0.35">
      <c r="H8759" s="13"/>
      <c r="I8759" s="13"/>
      <c r="J8759" s="13"/>
      <c r="K8759" s="13"/>
      <c r="L8759" s="13"/>
      <c r="M8759" s="13"/>
      <c r="N8759" s="13"/>
      <c r="O8759" s="13"/>
      <c r="P8759" s="13"/>
      <c r="Q8759" s="13"/>
      <c r="R8759" s="13"/>
    </row>
    <row r="8760" spans="8:18" x14ac:dyDescent="0.35">
      <c r="H8760" s="13"/>
      <c r="I8760" s="13"/>
      <c r="J8760" s="13"/>
      <c r="K8760" s="13"/>
      <c r="L8760" s="13"/>
      <c r="M8760" s="13"/>
      <c r="N8760" s="13"/>
      <c r="O8760" s="13"/>
      <c r="P8760" s="13"/>
      <c r="Q8760" s="13"/>
      <c r="R8760" s="13"/>
    </row>
    <row r="8761" spans="8:18" x14ac:dyDescent="0.35">
      <c r="H8761" s="13"/>
      <c r="I8761" s="13"/>
      <c r="J8761" s="13"/>
      <c r="K8761" s="13"/>
      <c r="L8761" s="13"/>
      <c r="M8761" s="13"/>
      <c r="N8761" s="13"/>
      <c r="O8761" s="13"/>
      <c r="P8761" s="13"/>
      <c r="Q8761" s="13"/>
      <c r="R8761" s="13"/>
    </row>
    <row r="8762" spans="8:18" x14ac:dyDescent="0.35">
      <c r="H8762" s="13"/>
      <c r="I8762" s="13"/>
      <c r="J8762" s="13"/>
      <c r="K8762" s="13"/>
      <c r="L8762" s="13"/>
      <c r="M8762" s="13"/>
      <c r="N8762" s="13"/>
      <c r="O8762" s="13"/>
      <c r="P8762" s="13"/>
      <c r="Q8762" s="13"/>
      <c r="R8762" s="13"/>
    </row>
    <row r="8763" spans="8:18" x14ac:dyDescent="0.35">
      <c r="H8763" s="13"/>
      <c r="I8763" s="13"/>
      <c r="J8763" s="13"/>
      <c r="K8763" s="13"/>
      <c r="L8763" s="13"/>
      <c r="M8763" s="13"/>
      <c r="N8763" s="13"/>
      <c r="O8763" s="13"/>
      <c r="P8763" s="13"/>
      <c r="Q8763" s="13"/>
      <c r="R8763" s="13"/>
    </row>
    <row r="8764" spans="8:18" x14ac:dyDescent="0.35">
      <c r="H8764" s="13"/>
      <c r="I8764" s="13"/>
      <c r="J8764" s="13"/>
      <c r="K8764" s="13"/>
      <c r="L8764" s="13"/>
      <c r="M8764" s="13"/>
      <c r="N8764" s="13"/>
      <c r="O8764" s="13"/>
      <c r="P8764" s="13"/>
      <c r="Q8764" s="13"/>
      <c r="R8764" s="13"/>
    </row>
    <row r="8765" spans="8:18" x14ac:dyDescent="0.35">
      <c r="H8765" s="13"/>
      <c r="I8765" s="13"/>
      <c r="J8765" s="13"/>
      <c r="K8765" s="13"/>
      <c r="L8765" s="13"/>
      <c r="M8765" s="13"/>
      <c r="N8765" s="13"/>
      <c r="O8765" s="13"/>
      <c r="P8765" s="13"/>
      <c r="Q8765" s="13"/>
      <c r="R8765" s="13"/>
    </row>
    <row r="8766" spans="8:18" x14ac:dyDescent="0.35">
      <c r="H8766" s="13"/>
      <c r="I8766" s="13"/>
      <c r="J8766" s="13"/>
      <c r="K8766" s="13"/>
      <c r="L8766" s="13"/>
      <c r="M8766" s="13"/>
      <c r="N8766" s="13"/>
      <c r="O8766" s="13"/>
      <c r="P8766" s="13"/>
      <c r="Q8766" s="13"/>
      <c r="R8766" s="13"/>
    </row>
    <row r="8767" spans="8:18" x14ac:dyDescent="0.35">
      <c r="H8767" s="13"/>
      <c r="I8767" s="13"/>
      <c r="J8767" s="13"/>
      <c r="K8767" s="13"/>
      <c r="L8767" s="13"/>
      <c r="M8767" s="13"/>
      <c r="N8767" s="13"/>
      <c r="O8767" s="13"/>
      <c r="P8767" s="13"/>
      <c r="Q8767" s="13"/>
      <c r="R8767" s="13"/>
    </row>
    <row r="8768" spans="8:18" x14ac:dyDescent="0.35">
      <c r="H8768" s="13"/>
      <c r="I8768" s="13"/>
      <c r="J8768" s="13"/>
      <c r="K8768" s="13"/>
      <c r="L8768" s="13"/>
      <c r="M8768" s="13"/>
      <c r="N8768" s="13"/>
      <c r="O8768" s="13"/>
      <c r="P8768" s="13"/>
      <c r="Q8768" s="13"/>
      <c r="R8768" s="13"/>
    </row>
    <row r="8769" spans="8:18" x14ac:dyDescent="0.35">
      <c r="H8769" s="13"/>
      <c r="I8769" s="13"/>
      <c r="J8769" s="13"/>
      <c r="K8769" s="13"/>
      <c r="L8769" s="13"/>
      <c r="M8769" s="13"/>
      <c r="N8769" s="13"/>
      <c r="O8769" s="13"/>
      <c r="P8769" s="13"/>
      <c r="Q8769" s="13"/>
      <c r="R8769" s="13"/>
    </row>
    <row r="8770" spans="8:18" x14ac:dyDescent="0.35">
      <c r="H8770" s="13"/>
      <c r="I8770" s="13"/>
      <c r="J8770" s="13"/>
      <c r="K8770" s="13"/>
      <c r="L8770" s="13"/>
      <c r="M8770" s="13"/>
      <c r="N8770" s="13"/>
      <c r="O8770" s="13"/>
      <c r="P8770" s="13"/>
      <c r="Q8770" s="13"/>
      <c r="R8770" s="13"/>
    </row>
    <row r="8771" spans="8:18" x14ac:dyDescent="0.35">
      <c r="H8771" s="13"/>
      <c r="I8771" s="13"/>
      <c r="J8771" s="13"/>
      <c r="K8771" s="13"/>
      <c r="L8771" s="13"/>
      <c r="M8771" s="13"/>
      <c r="N8771" s="13"/>
      <c r="O8771" s="13"/>
      <c r="P8771" s="13"/>
      <c r="Q8771" s="13"/>
      <c r="R8771" s="13"/>
    </row>
    <row r="8772" spans="8:18" x14ac:dyDescent="0.35">
      <c r="H8772" s="13"/>
      <c r="I8772" s="13"/>
      <c r="J8772" s="13"/>
      <c r="K8772" s="13"/>
      <c r="L8772" s="13"/>
      <c r="M8772" s="13"/>
      <c r="N8772" s="13"/>
      <c r="O8772" s="13"/>
      <c r="P8772" s="13"/>
      <c r="Q8772" s="13"/>
      <c r="R8772" s="13"/>
    </row>
    <row r="8773" spans="8:18" x14ac:dyDescent="0.35">
      <c r="H8773" s="13"/>
      <c r="I8773" s="13"/>
      <c r="J8773" s="13"/>
      <c r="K8773" s="13"/>
      <c r="L8773" s="13"/>
      <c r="M8773" s="13"/>
      <c r="N8773" s="13"/>
      <c r="O8773" s="13"/>
      <c r="P8773" s="13"/>
      <c r="Q8773" s="13"/>
      <c r="R8773" s="13"/>
    </row>
    <row r="8774" spans="8:18" x14ac:dyDescent="0.35">
      <c r="H8774" s="13"/>
      <c r="I8774" s="13"/>
      <c r="J8774" s="13"/>
      <c r="K8774" s="13"/>
      <c r="L8774" s="13"/>
      <c r="M8774" s="13"/>
      <c r="N8774" s="13"/>
      <c r="O8774" s="13"/>
      <c r="P8774" s="13"/>
      <c r="Q8774" s="13"/>
      <c r="R8774" s="13"/>
    </row>
    <row r="8775" spans="8:18" x14ac:dyDescent="0.35">
      <c r="H8775" s="13"/>
      <c r="I8775" s="13"/>
      <c r="J8775" s="13"/>
      <c r="K8775" s="13"/>
      <c r="L8775" s="13"/>
      <c r="M8775" s="13"/>
      <c r="N8775" s="13"/>
      <c r="O8775" s="13"/>
      <c r="P8775" s="13"/>
      <c r="Q8775" s="13"/>
      <c r="R8775" s="13"/>
    </row>
    <row r="8776" spans="8:18" x14ac:dyDescent="0.35">
      <c r="H8776" s="13"/>
      <c r="I8776" s="13"/>
      <c r="J8776" s="13"/>
      <c r="K8776" s="13"/>
      <c r="L8776" s="13"/>
      <c r="M8776" s="13"/>
      <c r="N8776" s="13"/>
      <c r="O8776" s="13"/>
      <c r="P8776" s="13"/>
      <c r="Q8776" s="13"/>
      <c r="R8776" s="13"/>
    </row>
    <row r="8777" spans="8:18" x14ac:dyDescent="0.35">
      <c r="H8777" s="13"/>
      <c r="I8777" s="13"/>
      <c r="J8777" s="13"/>
      <c r="K8777" s="13"/>
      <c r="L8777" s="13"/>
      <c r="M8777" s="13"/>
      <c r="N8777" s="13"/>
      <c r="O8777" s="13"/>
      <c r="P8777" s="13"/>
      <c r="Q8777" s="13"/>
      <c r="R8777" s="13"/>
    </row>
    <row r="8778" spans="8:18" x14ac:dyDescent="0.35">
      <c r="H8778" s="13"/>
      <c r="I8778" s="13"/>
      <c r="J8778" s="13"/>
      <c r="K8778" s="13"/>
      <c r="L8778" s="13"/>
      <c r="M8778" s="13"/>
      <c r="N8778" s="13"/>
      <c r="O8778" s="13"/>
      <c r="P8778" s="13"/>
      <c r="Q8778" s="13"/>
      <c r="R8778" s="13"/>
    </row>
    <row r="8779" spans="8:18" x14ac:dyDescent="0.35">
      <c r="H8779" s="13"/>
      <c r="I8779" s="13"/>
      <c r="J8779" s="13"/>
      <c r="K8779" s="13"/>
      <c r="L8779" s="13"/>
      <c r="M8779" s="13"/>
      <c r="N8779" s="13"/>
      <c r="O8779" s="13"/>
      <c r="P8779" s="13"/>
      <c r="Q8779" s="13"/>
      <c r="R8779" s="13"/>
    </row>
    <row r="8780" spans="8:18" x14ac:dyDescent="0.35">
      <c r="H8780" s="13"/>
      <c r="I8780" s="13"/>
      <c r="J8780" s="13"/>
      <c r="K8780" s="13"/>
      <c r="L8780" s="13"/>
      <c r="M8780" s="13"/>
      <c r="N8780" s="13"/>
      <c r="O8780" s="13"/>
      <c r="P8780" s="13"/>
      <c r="Q8780" s="13"/>
      <c r="R8780" s="13"/>
    </row>
    <row r="8781" spans="8:18" x14ac:dyDescent="0.35">
      <c r="H8781" s="13"/>
      <c r="I8781" s="13"/>
      <c r="J8781" s="13"/>
      <c r="K8781" s="13"/>
      <c r="L8781" s="13"/>
      <c r="M8781" s="13"/>
      <c r="N8781" s="13"/>
      <c r="O8781" s="13"/>
      <c r="P8781" s="13"/>
      <c r="Q8781" s="13"/>
      <c r="R8781" s="13"/>
    </row>
    <row r="8782" spans="8:18" x14ac:dyDescent="0.35">
      <c r="H8782" s="13"/>
      <c r="I8782" s="13"/>
      <c r="J8782" s="13"/>
      <c r="K8782" s="13"/>
      <c r="L8782" s="13"/>
      <c r="M8782" s="13"/>
      <c r="N8782" s="13"/>
      <c r="O8782" s="13"/>
      <c r="P8782" s="13"/>
      <c r="Q8782" s="13"/>
      <c r="R8782" s="13"/>
    </row>
    <row r="8783" spans="8:18" x14ac:dyDescent="0.35">
      <c r="H8783" s="13"/>
      <c r="I8783" s="13"/>
      <c r="J8783" s="13"/>
      <c r="K8783" s="13"/>
      <c r="L8783" s="13"/>
      <c r="M8783" s="13"/>
      <c r="N8783" s="13"/>
      <c r="O8783" s="13"/>
      <c r="P8783" s="13"/>
      <c r="Q8783" s="13"/>
      <c r="R8783" s="13"/>
    </row>
    <row r="8784" spans="8:18" x14ac:dyDescent="0.35">
      <c r="H8784" s="13"/>
      <c r="I8784" s="13"/>
      <c r="J8784" s="13"/>
      <c r="K8784" s="13"/>
      <c r="L8784" s="13"/>
      <c r="M8784" s="13"/>
      <c r="N8784" s="13"/>
      <c r="O8784" s="13"/>
      <c r="P8784" s="13"/>
      <c r="Q8784" s="13"/>
      <c r="R8784" s="13"/>
    </row>
    <row r="8785" spans="8:18" x14ac:dyDescent="0.35">
      <c r="H8785" s="13"/>
      <c r="I8785" s="13"/>
      <c r="J8785" s="13"/>
      <c r="K8785" s="13"/>
      <c r="L8785" s="13"/>
      <c r="M8785" s="13"/>
      <c r="N8785" s="13"/>
      <c r="O8785" s="13"/>
      <c r="P8785" s="13"/>
      <c r="Q8785" s="13"/>
      <c r="R8785" s="13"/>
    </row>
    <row r="8786" spans="8:18" x14ac:dyDescent="0.35">
      <c r="H8786" s="13"/>
      <c r="I8786" s="13"/>
      <c r="J8786" s="13"/>
      <c r="K8786" s="13"/>
      <c r="L8786" s="13"/>
      <c r="M8786" s="13"/>
      <c r="N8786" s="13"/>
      <c r="O8786" s="13"/>
      <c r="P8786" s="13"/>
      <c r="Q8786" s="13"/>
      <c r="R8786" s="13"/>
    </row>
    <row r="8787" spans="8:18" x14ac:dyDescent="0.35">
      <c r="H8787" s="13"/>
      <c r="I8787" s="13"/>
      <c r="J8787" s="13"/>
      <c r="K8787" s="13"/>
      <c r="L8787" s="13"/>
      <c r="M8787" s="13"/>
      <c r="N8787" s="13"/>
      <c r="O8787" s="13"/>
      <c r="P8787" s="13"/>
      <c r="Q8787" s="13"/>
      <c r="R8787" s="13"/>
    </row>
    <row r="8788" spans="8:18" x14ac:dyDescent="0.35">
      <c r="H8788" s="13"/>
      <c r="I8788" s="13"/>
      <c r="J8788" s="13"/>
      <c r="K8788" s="13"/>
      <c r="L8788" s="13"/>
      <c r="M8788" s="13"/>
      <c r="N8788" s="13"/>
      <c r="O8788" s="13"/>
      <c r="P8788" s="13"/>
      <c r="Q8788" s="13"/>
      <c r="R8788" s="13"/>
    </row>
    <row r="8789" spans="8:18" x14ac:dyDescent="0.35">
      <c r="H8789" s="13"/>
      <c r="I8789" s="13"/>
      <c r="J8789" s="13"/>
      <c r="K8789" s="13"/>
      <c r="L8789" s="13"/>
      <c r="M8789" s="13"/>
      <c r="N8789" s="13"/>
      <c r="O8789" s="13"/>
      <c r="P8789" s="13"/>
      <c r="Q8789" s="13"/>
      <c r="R8789" s="13"/>
    </row>
    <row r="8790" spans="8:18" x14ac:dyDescent="0.35">
      <c r="H8790" s="13"/>
      <c r="I8790" s="13"/>
      <c r="J8790" s="13"/>
      <c r="K8790" s="13"/>
      <c r="L8790" s="13"/>
      <c r="M8790" s="13"/>
      <c r="N8790" s="13"/>
      <c r="O8790" s="13"/>
      <c r="P8790" s="13"/>
      <c r="Q8790" s="13"/>
      <c r="R8790" s="13"/>
    </row>
    <row r="8791" spans="8:18" x14ac:dyDescent="0.35">
      <c r="H8791" s="13"/>
      <c r="I8791" s="13"/>
      <c r="J8791" s="13"/>
      <c r="K8791" s="13"/>
      <c r="L8791" s="13"/>
      <c r="M8791" s="13"/>
      <c r="N8791" s="13"/>
      <c r="O8791" s="13"/>
      <c r="P8791" s="13"/>
      <c r="Q8791" s="13"/>
      <c r="R8791" s="13"/>
    </row>
    <row r="8792" spans="8:18" x14ac:dyDescent="0.35">
      <c r="H8792" s="13"/>
      <c r="I8792" s="13"/>
      <c r="J8792" s="13"/>
      <c r="K8792" s="13"/>
      <c r="L8792" s="13"/>
      <c r="M8792" s="13"/>
      <c r="N8792" s="13"/>
      <c r="O8792" s="13"/>
      <c r="P8792" s="13"/>
      <c r="Q8792" s="13"/>
      <c r="R8792" s="13"/>
    </row>
    <row r="8793" spans="8:18" x14ac:dyDescent="0.35">
      <c r="H8793" s="13"/>
      <c r="I8793" s="13"/>
      <c r="J8793" s="13"/>
      <c r="K8793" s="13"/>
      <c r="L8793" s="13"/>
      <c r="M8793" s="13"/>
      <c r="N8793" s="13"/>
      <c r="O8793" s="13"/>
      <c r="P8793" s="13"/>
      <c r="Q8793" s="13"/>
      <c r="R8793" s="13"/>
    </row>
    <row r="8794" spans="8:18" x14ac:dyDescent="0.35">
      <c r="H8794" s="13"/>
      <c r="I8794" s="13"/>
      <c r="J8794" s="13"/>
      <c r="K8794" s="13"/>
      <c r="L8794" s="13"/>
      <c r="M8794" s="13"/>
      <c r="N8794" s="13"/>
      <c r="O8794" s="13"/>
      <c r="P8794" s="13"/>
      <c r="Q8794" s="13"/>
      <c r="R8794" s="13"/>
    </row>
    <row r="8795" spans="8:18" x14ac:dyDescent="0.35">
      <c r="H8795" s="13"/>
      <c r="I8795" s="13"/>
      <c r="J8795" s="13"/>
      <c r="K8795" s="13"/>
      <c r="L8795" s="13"/>
      <c r="M8795" s="13"/>
      <c r="N8795" s="13"/>
      <c r="O8795" s="13"/>
      <c r="P8795" s="13"/>
      <c r="Q8795" s="13"/>
      <c r="R8795" s="13"/>
    </row>
    <row r="8796" spans="8:18" x14ac:dyDescent="0.35">
      <c r="H8796" s="13"/>
      <c r="I8796" s="13"/>
      <c r="J8796" s="13"/>
      <c r="K8796" s="13"/>
      <c r="L8796" s="13"/>
      <c r="M8796" s="13"/>
      <c r="N8796" s="13"/>
      <c r="O8796" s="13"/>
      <c r="P8796" s="13"/>
      <c r="Q8796" s="13"/>
      <c r="R8796" s="13"/>
    </row>
    <row r="8797" spans="8:18" x14ac:dyDescent="0.35">
      <c r="H8797" s="13"/>
      <c r="I8797" s="13"/>
      <c r="J8797" s="13"/>
      <c r="K8797" s="13"/>
      <c r="L8797" s="13"/>
      <c r="M8797" s="13"/>
      <c r="N8797" s="13"/>
      <c r="O8797" s="13"/>
      <c r="P8797" s="13"/>
      <c r="Q8797" s="13"/>
      <c r="R8797" s="13"/>
    </row>
    <row r="8798" spans="8:18" x14ac:dyDescent="0.35">
      <c r="H8798" s="13"/>
      <c r="I8798" s="13"/>
      <c r="J8798" s="13"/>
      <c r="K8798" s="13"/>
      <c r="L8798" s="13"/>
      <c r="M8798" s="13"/>
      <c r="N8798" s="13"/>
      <c r="O8798" s="13"/>
      <c r="P8798" s="13"/>
      <c r="Q8798" s="13"/>
      <c r="R8798" s="13"/>
    </row>
    <row r="8799" spans="8:18" x14ac:dyDescent="0.35">
      <c r="H8799" s="13"/>
      <c r="I8799" s="13"/>
      <c r="J8799" s="13"/>
      <c r="K8799" s="13"/>
      <c r="L8799" s="13"/>
      <c r="M8799" s="13"/>
      <c r="N8799" s="13"/>
      <c r="O8799" s="13"/>
      <c r="P8799" s="13"/>
      <c r="Q8799" s="13"/>
      <c r="R8799" s="13"/>
    </row>
    <row r="8800" spans="8:18" x14ac:dyDescent="0.35">
      <c r="H8800" s="13"/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</row>
    <row r="8801" spans="8:18" x14ac:dyDescent="0.35">
      <c r="H8801" s="13"/>
      <c r="I8801" s="13"/>
      <c r="J8801" s="13"/>
      <c r="K8801" s="13"/>
      <c r="L8801" s="13"/>
      <c r="M8801" s="13"/>
      <c r="N8801" s="13"/>
      <c r="O8801" s="13"/>
      <c r="P8801" s="13"/>
      <c r="Q8801" s="13"/>
      <c r="R8801" s="13"/>
    </row>
    <row r="8802" spans="8:18" x14ac:dyDescent="0.35">
      <c r="H8802" s="13"/>
      <c r="I8802" s="13"/>
      <c r="J8802" s="13"/>
      <c r="K8802" s="13"/>
      <c r="L8802" s="13"/>
      <c r="M8802" s="13"/>
      <c r="N8802" s="13"/>
      <c r="O8802" s="13"/>
      <c r="P8802" s="13"/>
      <c r="Q8802" s="13"/>
      <c r="R8802" s="13"/>
    </row>
    <row r="8803" spans="8:18" x14ac:dyDescent="0.35">
      <c r="H8803" s="13"/>
      <c r="I8803" s="13"/>
      <c r="J8803" s="13"/>
      <c r="K8803" s="13"/>
      <c r="L8803" s="13"/>
      <c r="M8803" s="13"/>
      <c r="N8803" s="13"/>
      <c r="O8803" s="13"/>
      <c r="P8803" s="13"/>
      <c r="Q8803" s="13"/>
      <c r="R8803" s="13"/>
    </row>
    <row r="8804" spans="8:18" x14ac:dyDescent="0.35">
      <c r="H8804" s="13"/>
      <c r="I8804" s="13"/>
      <c r="J8804" s="13"/>
      <c r="K8804" s="13"/>
      <c r="L8804" s="13"/>
      <c r="M8804" s="13"/>
      <c r="N8804" s="13"/>
      <c r="O8804" s="13"/>
      <c r="P8804" s="13"/>
      <c r="Q8804" s="13"/>
      <c r="R8804" s="13"/>
    </row>
    <row r="8805" spans="8:18" x14ac:dyDescent="0.35">
      <c r="H8805" s="13"/>
      <c r="I8805" s="13"/>
      <c r="J8805" s="13"/>
      <c r="K8805" s="13"/>
      <c r="L8805" s="13"/>
      <c r="M8805" s="13"/>
      <c r="N8805" s="13"/>
      <c r="O8805" s="13"/>
      <c r="P8805" s="13"/>
      <c r="Q8805" s="13"/>
      <c r="R8805" s="13"/>
    </row>
    <row r="8806" spans="8:18" x14ac:dyDescent="0.35">
      <c r="H8806" s="13"/>
      <c r="I8806" s="13"/>
      <c r="J8806" s="13"/>
      <c r="K8806" s="13"/>
      <c r="L8806" s="13"/>
      <c r="M8806" s="13"/>
      <c r="N8806" s="13"/>
      <c r="O8806" s="13"/>
      <c r="P8806" s="13"/>
      <c r="Q8806" s="13"/>
      <c r="R8806" s="13"/>
    </row>
    <row r="8807" spans="8:18" x14ac:dyDescent="0.35">
      <c r="H8807" s="13"/>
      <c r="I8807" s="13"/>
      <c r="J8807" s="13"/>
      <c r="K8807" s="13"/>
      <c r="L8807" s="13"/>
      <c r="M8807" s="13"/>
      <c r="N8807" s="13"/>
      <c r="O8807" s="13"/>
      <c r="P8807" s="13"/>
      <c r="Q8807" s="13"/>
      <c r="R8807" s="13"/>
    </row>
    <row r="8808" spans="8:18" x14ac:dyDescent="0.35">
      <c r="H8808" s="13"/>
      <c r="I8808" s="13"/>
      <c r="J8808" s="13"/>
      <c r="K8808" s="13"/>
      <c r="L8808" s="13"/>
      <c r="M8808" s="13"/>
      <c r="N8808" s="13"/>
      <c r="O8808" s="13"/>
      <c r="P8808" s="13"/>
      <c r="Q8808" s="13"/>
      <c r="R8808" s="13"/>
    </row>
    <row r="8809" spans="8:18" x14ac:dyDescent="0.35">
      <c r="H8809" s="13"/>
      <c r="I8809" s="13"/>
      <c r="J8809" s="13"/>
      <c r="K8809" s="13"/>
      <c r="L8809" s="13"/>
      <c r="M8809" s="13"/>
      <c r="N8809" s="13"/>
      <c r="O8809" s="13"/>
      <c r="P8809" s="13"/>
      <c r="Q8809" s="13"/>
      <c r="R8809" s="13"/>
    </row>
    <row r="8810" spans="8:18" x14ac:dyDescent="0.35">
      <c r="H8810" s="13"/>
      <c r="I8810" s="13"/>
      <c r="J8810" s="13"/>
      <c r="K8810" s="13"/>
      <c r="L8810" s="13"/>
      <c r="M8810" s="13"/>
      <c r="N8810" s="13"/>
      <c r="O8810" s="13"/>
      <c r="P8810" s="13"/>
      <c r="Q8810" s="13"/>
      <c r="R8810" s="13"/>
    </row>
    <row r="8811" spans="8:18" x14ac:dyDescent="0.35">
      <c r="H8811" s="13"/>
      <c r="I8811" s="13"/>
      <c r="J8811" s="13"/>
      <c r="K8811" s="13"/>
      <c r="L8811" s="13"/>
      <c r="M8811" s="13"/>
      <c r="N8811" s="13"/>
      <c r="O8811" s="13"/>
      <c r="P8811" s="13"/>
      <c r="Q8811" s="13"/>
      <c r="R8811" s="13"/>
    </row>
    <row r="8812" spans="8:18" x14ac:dyDescent="0.35">
      <c r="H8812" s="13"/>
      <c r="I8812" s="13"/>
      <c r="J8812" s="13"/>
      <c r="K8812" s="13"/>
      <c r="L8812" s="13"/>
      <c r="M8812" s="13"/>
      <c r="N8812" s="13"/>
      <c r="O8812" s="13"/>
      <c r="P8812" s="13"/>
      <c r="Q8812" s="13"/>
      <c r="R8812" s="13"/>
    </row>
    <row r="8813" spans="8:18" x14ac:dyDescent="0.35">
      <c r="H8813" s="13"/>
      <c r="I8813" s="13"/>
      <c r="J8813" s="13"/>
      <c r="K8813" s="13"/>
      <c r="L8813" s="13"/>
      <c r="M8813" s="13"/>
      <c r="N8813" s="13"/>
      <c r="O8813" s="13"/>
      <c r="P8813" s="13"/>
      <c r="Q8813" s="13"/>
      <c r="R8813" s="13"/>
    </row>
    <row r="8814" spans="8:18" x14ac:dyDescent="0.35">
      <c r="H8814" s="13"/>
      <c r="I8814" s="13"/>
      <c r="J8814" s="13"/>
      <c r="K8814" s="13"/>
      <c r="L8814" s="13"/>
      <c r="M8814" s="13"/>
      <c r="N8814" s="13"/>
      <c r="O8814" s="13"/>
      <c r="P8814" s="13"/>
      <c r="Q8814" s="13"/>
      <c r="R8814" s="13"/>
    </row>
    <row r="8815" spans="8:18" x14ac:dyDescent="0.35">
      <c r="H8815" s="13"/>
      <c r="I8815" s="13"/>
      <c r="J8815" s="13"/>
      <c r="K8815" s="13"/>
      <c r="L8815" s="13"/>
      <c r="M8815" s="13"/>
      <c r="N8815" s="13"/>
      <c r="O8815" s="13"/>
      <c r="P8815" s="13"/>
      <c r="Q8815" s="13"/>
      <c r="R8815" s="13"/>
    </row>
    <row r="8816" spans="8:18" x14ac:dyDescent="0.35">
      <c r="H8816" s="13"/>
      <c r="I8816" s="13"/>
      <c r="J8816" s="13"/>
      <c r="K8816" s="13"/>
      <c r="L8816" s="13"/>
      <c r="M8816" s="13"/>
      <c r="N8816" s="13"/>
      <c r="O8816" s="13"/>
      <c r="P8816" s="13"/>
      <c r="Q8816" s="13"/>
      <c r="R8816" s="13"/>
    </row>
    <row r="8817" spans="8:18" x14ac:dyDescent="0.35">
      <c r="H8817" s="13"/>
      <c r="I8817" s="13"/>
      <c r="J8817" s="13"/>
      <c r="K8817" s="13"/>
      <c r="L8817" s="13"/>
      <c r="M8817" s="13"/>
      <c r="N8817" s="13"/>
      <c r="O8817" s="13"/>
      <c r="P8817" s="13"/>
      <c r="Q8817" s="13"/>
      <c r="R8817" s="13"/>
    </row>
    <row r="8818" spans="8:18" x14ac:dyDescent="0.35">
      <c r="H8818" s="13"/>
      <c r="I8818" s="13"/>
      <c r="J8818" s="13"/>
      <c r="K8818" s="13"/>
      <c r="L8818" s="13"/>
      <c r="M8818" s="13"/>
      <c r="N8818" s="13"/>
      <c r="O8818" s="13"/>
      <c r="P8818" s="13"/>
      <c r="Q8818" s="13"/>
      <c r="R8818" s="13"/>
    </row>
    <row r="8819" spans="8:18" x14ac:dyDescent="0.35">
      <c r="H8819" s="13"/>
      <c r="I8819" s="13"/>
      <c r="J8819" s="13"/>
      <c r="K8819" s="13"/>
      <c r="L8819" s="13"/>
      <c r="M8819" s="13"/>
      <c r="N8819" s="13"/>
      <c r="O8819" s="13"/>
      <c r="P8819" s="13"/>
      <c r="Q8819" s="13"/>
      <c r="R8819" s="13"/>
    </row>
    <row r="8820" spans="8:18" x14ac:dyDescent="0.35">
      <c r="H8820" s="13"/>
      <c r="I8820" s="13"/>
      <c r="J8820" s="13"/>
      <c r="K8820" s="13"/>
      <c r="L8820" s="13"/>
      <c r="M8820" s="13"/>
      <c r="N8820" s="13"/>
      <c r="O8820" s="13"/>
      <c r="P8820" s="13"/>
      <c r="Q8820" s="13"/>
      <c r="R8820" s="13"/>
    </row>
    <row r="8821" spans="8:18" x14ac:dyDescent="0.35">
      <c r="H8821" s="13"/>
      <c r="I8821" s="13"/>
      <c r="J8821" s="13"/>
      <c r="K8821" s="13"/>
      <c r="L8821" s="13"/>
      <c r="M8821" s="13"/>
      <c r="N8821" s="13"/>
      <c r="O8821" s="13"/>
      <c r="P8821" s="13"/>
      <c r="Q8821" s="13"/>
      <c r="R8821" s="13"/>
    </row>
    <row r="8822" spans="8:18" x14ac:dyDescent="0.35">
      <c r="H8822" s="13"/>
      <c r="I8822" s="13"/>
      <c r="J8822" s="13"/>
      <c r="K8822" s="13"/>
      <c r="L8822" s="13"/>
      <c r="M8822" s="13"/>
      <c r="N8822" s="13"/>
      <c r="O8822" s="13"/>
      <c r="P8822" s="13"/>
      <c r="Q8822" s="13"/>
      <c r="R8822" s="13"/>
    </row>
    <row r="8823" spans="8:18" x14ac:dyDescent="0.35">
      <c r="H8823" s="13"/>
      <c r="I8823" s="13"/>
      <c r="J8823" s="13"/>
      <c r="K8823" s="13"/>
      <c r="L8823" s="13"/>
      <c r="M8823" s="13"/>
      <c r="N8823" s="13"/>
      <c r="O8823" s="13"/>
      <c r="P8823" s="13"/>
      <c r="Q8823" s="13"/>
      <c r="R8823" s="13"/>
    </row>
    <row r="8824" spans="8:18" x14ac:dyDescent="0.35">
      <c r="H8824" s="13"/>
      <c r="I8824" s="13"/>
      <c r="J8824" s="13"/>
      <c r="K8824" s="13"/>
      <c r="L8824" s="13"/>
      <c r="M8824" s="13"/>
      <c r="N8824" s="13"/>
      <c r="O8824" s="13"/>
      <c r="P8824" s="13"/>
      <c r="Q8824" s="13"/>
      <c r="R8824" s="13"/>
    </row>
    <row r="8825" spans="8:18" x14ac:dyDescent="0.35">
      <c r="H8825" s="13"/>
      <c r="I8825" s="13"/>
      <c r="J8825" s="13"/>
      <c r="K8825" s="13"/>
      <c r="L8825" s="13"/>
      <c r="M8825" s="13"/>
      <c r="N8825" s="13"/>
      <c r="O8825" s="13"/>
      <c r="P8825" s="13"/>
      <c r="Q8825" s="13"/>
      <c r="R8825" s="13"/>
    </row>
    <row r="8826" spans="8:18" x14ac:dyDescent="0.35">
      <c r="H8826" s="13"/>
      <c r="I8826" s="13"/>
      <c r="J8826" s="13"/>
      <c r="K8826" s="13"/>
      <c r="L8826" s="13"/>
      <c r="M8826" s="13"/>
      <c r="N8826" s="13"/>
      <c r="O8826" s="13"/>
      <c r="P8826" s="13"/>
      <c r="Q8826" s="13"/>
      <c r="R8826" s="13"/>
    </row>
    <row r="8827" spans="8:18" x14ac:dyDescent="0.35">
      <c r="H8827" s="13"/>
      <c r="I8827" s="13"/>
      <c r="J8827" s="13"/>
      <c r="K8827" s="13"/>
      <c r="L8827" s="13"/>
      <c r="M8827" s="13"/>
      <c r="N8827" s="13"/>
      <c r="O8827" s="13"/>
      <c r="P8827" s="13"/>
      <c r="Q8827" s="13"/>
      <c r="R8827" s="13"/>
    </row>
    <row r="8828" spans="8:18" x14ac:dyDescent="0.35">
      <c r="H8828" s="13"/>
      <c r="I8828" s="13"/>
      <c r="J8828" s="13"/>
      <c r="K8828" s="13"/>
      <c r="L8828" s="13"/>
      <c r="M8828" s="13"/>
      <c r="N8828" s="13"/>
      <c r="O8828" s="13"/>
      <c r="P8828" s="13"/>
      <c r="Q8828" s="13"/>
      <c r="R8828" s="13"/>
    </row>
    <row r="8829" spans="8:18" x14ac:dyDescent="0.35">
      <c r="H8829" s="13"/>
      <c r="I8829" s="13"/>
      <c r="J8829" s="13"/>
      <c r="K8829" s="13"/>
      <c r="L8829" s="13"/>
      <c r="M8829" s="13"/>
      <c r="N8829" s="13"/>
      <c r="O8829" s="13"/>
      <c r="P8829" s="13"/>
      <c r="Q8829" s="13"/>
      <c r="R8829" s="13"/>
    </row>
    <row r="8830" spans="8:18" x14ac:dyDescent="0.35">
      <c r="H8830" s="13"/>
      <c r="I8830" s="13"/>
      <c r="J8830" s="13"/>
      <c r="K8830" s="13"/>
      <c r="L8830" s="13"/>
      <c r="M8830" s="13"/>
      <c r="N8830" s="13"/>
      <c r="O8830" s="13"/>
      <c r="P8830" s="13"/>
      <c r="Q8830" s="13"/>
      <c r="R8830" s="13"/>
    </row>
    <row r="8831" spans="8:18" x14ac:dyDescent="0.35">
      <c r="H8831" s="13"/>
      <c r="I8831" s="13"/>
      <c r="J8831" s="13"/>
      <c r="K8831" s="13"/>
      <c r="L8831" s="13"/>
      <c r="M8831" s="13"/>
      <c r="N8831" s="13"/>
      <c r="O8831" s="13"/>
      <c r="P8831" s="13"/>
      <c r="Q8831" s="13"/>
      <c r="R8831" s="13"/>
    </row>
    <row r="8832" spans="8:18" x14ac:dyDescent="0.35">
      <c r="H8832" s="13"/>
      <c r="I8832" s="13"/>
      <c r="J8832" s="13"/>
      <c r="K8832" s="13"/>
      <c r="L8832" s="13"/>
      <c r="M8832" s="13"/>
      <c r="N8832" s="13"/>
      <c r="O8832" s="13"/>
      <c r="P8832" s="13"/>
      <c r="Q8832" s="13"/>
      <c r="R8832" s="13"/>
    </row>
    <row r="8833" spans="8:18" x14ac:dyDescent="0.35">
      <c r="H8833" s="13"/>
      <c r="I8833" s="13"/>
      <c r="J8833" s="13"/>
      <c r="K8833" s="13"/>
      <c r="L8833" s="13"/>
      <c r="M8833" s="13"/>
      <c r="N8833" s="13"/>
      <c r="O8833" s="13"/>
      <c r="P8833" s="13"/>
      <c r="Q8833" s="13"/>
      <c r="R8833" s="13"/>
    </row>
    <row r="8834" spans="8:18" x14ac:dyDescent="0.35">
      <c r="H8834" s="13"/>
      <c r="I8834" s="13"/>
      <c r="J8834" s="13"/>
      <c r="K8834" s="13"/>
      <c r="L8834" s="13"/>
      <c r="M8834" s="13"/>
      <c r="N8834" s="13"/>
      <c r="O8834" s="13"/>
      <c r="P8834" s="13"/>
      <c r="Q8834" s="13"/>
      <c r="R8834" s="13"/>
    </row>
    <row r="8835" spans="8:18" x14ac:dyDescent="0.35">
      <c r="H8835" s="13"/>
      <c r="I8835" s="13"/>
      <c r="J8835" s="13"/>
      <c r="K8835" s="13"/>
      <c r="L8835" s="13"/>
      <c r="M8835" s="13"/>
      <c r="N8835" s="13"/>
      <c r="O8835" s="13"/>
      <c r="P8835" s="13"/>
      <c r="Q8835" s="13"/>
      <c r="R8835" s="13"/>
    </row>
    <row r="8836" spans="8:18" x14ac:dyDescent="0.35">
      <c r="H8836" s="13"/>
      <c r="I8836" s="13"/>
      <c r="J8836" s="13"/>
      <c r="K8836" s="13"/>
      <c r="L8836" s="13"/>
      <c r="M8836" s="13"/>
      <c r="N8836" s="13"/>
      <c r="O8836" s="13"/>
      <c r="P8836" s="13"/>
      <c r="Q8836" s="13"/>
      <c r="R8836" s="13"/>
    </row>
    <row r="8837" spans="8:18" x14ac:dyDescent="0.35">
      <c r="H8837" s="13"/>
      <c r="I8837" s="13"/>
      <c r="J8837" s="13"/>
      <c r="K8837" s="13"/>
      <c r="L8837" s="13"/>
      <c r="M8837" s="13"/>
      <c r="N8837" s="13"/>
      <c r="O8837" s="13"/>
      <c r="P8837" s="13"/>
      <c r="Q8837" s="13"/>
      <c r="R8837" s="13"/>
    </row>
    <row r="8838" spans="8:18" x14ac:dyDescent="0.35">
      <c r="H8838" s="13"/>
      <c r="I8838" s="13"/>
      <c r="J8838" s="13"/>
      <c r="K8838" s="13"/>
      <c r="L8838" s="13"/>
      <c r="M8838" s="13"/>
      <c r="N8838" s="13"/>
      <c r="O8838" s="13"/>
      <c r="P8838" s="13"/>
      <c r="Q8838" s="13"/>
      <c r="R8838" s="13"/>
    </row>
    <row r="8839" spans="8:18" x14ac:dyDescent="0.35">
      <c r="H8839" s="13"/>
      <c r="I8839" s="13"/>
      <c r="J8839" s="13"/>
      <c r="K8839" s="13"/>
      <c r="L8839" s="13"/>
      <c r="M8839" s="13"/>
      <c r="N8839" s="13"/>
      <c r="O8839" s="13"/>
      <c r="P8839" s="13"/>
      <c r="Q8839" s="13"/>
      <c r="R8839" s="13"/>
    </row>
    <row r="8840" spans="8:18" x14ac:dyDescent="0.35">
      <c r="H8840" s="13"/>
      <c r="I8840" s="13"/>
      <c r="J8840" s="13"/>
      <c r="K8840" s="13"/>
      <c r="L8840" s="13"/>
      <c r="M8840" s="13"/>
      <c r="N8840" s="13"/>
      <c r="O8840" s="13"/>
      <c r="P8840" s="13"/>
      <c r="Q8840" s="13"/>
      <c r="R8840" s="13"/>
    </row>
    <row r="8841" spans="8:18" x14ac:dyDescent="0.35">
      <c r="H8841" s="13"/>
      <c r="I8841" s="13"/>
      <c r="J8841" s="13"/>
      <c r="K8841" s="13"/>
      <c r="L8841" s="13"/>
      <c r="M8841" s="13"/>
      <c r="N8841" s="13"/>
      <c r="O8841" s="13"/>
      <c r="P8841" s="13"/>
      <c r="Q8841" s="13"/>
      <c r="R8841" s="13"/>
    </row>
    <row r="8842" spans="8:18" x14ac:dyDescent="0.35">
      <c r="H8842" s="13"/>
      <c r="I8842" s="13"/>
      <c r="J8842" s="13"/>
      <c r="K8842" s="13"/>
      <c r="L8842" s="13"/>
      <c r="M8842" s="13"/>
      <c r="N8842" s="13"/>
      <c r="O8842" s="13"/>
      <c r="P8842" s="13"/>
      <c r="Q8842" s="13"/>
      <c r="R8842" s="13"/>
    </row>
    <row r="8843" spans="8:18" x14ac:dyDescent="0.35">
      <c r="H8843" s="13"/>
      <c r="I8843" s="13"/>
      <c r="J8843" s="13"/>
      <c r="K8843" s="13"/>
      <c r="L8843" s="13"/>
      <c r="M8843" s="13"/>
      <c r="N8843" s="13"/>
      <c r="O8843" s="13"/>
      <c r="P8843" s="13"/>
      <c r="Q8843" s="13"/>
      <c r="R8843" s="13"/>
    </row>
    <row r="8844" spans="8:18" x14ac:dyDescent="0.35">
      <c r="H8844" s="13"/>
      <c r="I8844" s="13"/>
      <c r="J8844" s="13"/>
      <c r="K8844" s="13"/>
      <c r="L8844" s="13"/>
      <c r="M8844" s="13"/>
      <c r="N8844" s="13"/>
      <c r="O8844" s="13"/>
      <c r="P8844" s="13"/>
      <c r="Q8844" s="13"/>
      <c r="R8844" s="13"/>
    </row>
    <row r="8845" spans="8:18" x14ac:dyDescent="0.35">
      <c r="H8845" s="13"/>
      <c r="I8845" s="13"/>
      <c r="J8845" s="13"/>
      <c r="K8845" s="13"/>
      <c r="L8845" s="13"/>
      <c r="M8845" s="13"/>
      <c r="N8845" s="13"/>
      <c r="O8845" s="13"/>
      <c r="P8845" s="13"/>
      <c r="Q8845" s="13"/>
      <c r="R8845" s="13"/>
    </row>
    <row r="8846" spans="8:18" x14ac:dyDescent="0.35">
      <c r="H8846" s="13"/>
      <c r="I8846" s="13"/>
      <c r="J8846" s="13"/>
      <c r="K8846" s="13"/>
      <c r="L8846" s="13"/>
      <c r="M8846" s="13"/>
      <c r="N8846" s="13"/>
      <c r="O8846" s="13"/>
      <c r="P8846" s="13"/>
      <c r="Q8846" s="13"/>
      <c r="R8846" s="13"/>
    </row>
    <row r="8847" spans="8:18" x14ac:dyDescent="0.35">
      <c r="H8847" s="13"/>
      <c r="I8847" s="13"/>
      <c r="J8847" s="13"/>
      <c r="K8847" s="13"/>
      <c r="L8847" s="13"/>
      <c r="M8847" s="13"/>
      <c r="N8847" s="13"/>
      <c r="O8847" s="13"/>
      <c r="P8847" s="13"/>
      <c r="Q8847" s="13"/>
      <c r="R8847" s="13"/>
    </row>
    <row r="8848" spans="8:18" x14ac:dyDescent="0.35">
      <c r="H8848" s="13"/>
      <c r="I8848" s="13"/>
      <c r="J8848" s="13"/>
      <c r="K8848" s="13"/>
      <c r="L8848" s="13"/>
      <c r="M8848" s="13"/>
      <c r="N8848" s="13"/>
      <c r="O8848" s="13"/>
      <c r="P8848" s="13"/>
      <c r="Q8848" s="13"/>
      <c r="R8848" s="13"/>
    </row>
    <row r="8849" spans="8:18" x14ac:dyDescent="0.35">
      <c r="H8849" s="13"/>
      <c r="I8849" s="13"/>
      <c r="J8849" s="13"/>
      <c r="K8849" s="13"/>
      <c r="L8849" s="13"/>
      <c r="M8849" s="13"/>
      <c r="N8849" s="13"/>
      <c r="O8849" s="13"/>
      <c r="P8849" s="13"/>
      <c r="Q8849" s="13"/>
      <c r="R8849" s="13"/>
    </row>
    <row r="8850" spans="8:18" x14ac:dyDescent="0.35">
      <c r="H8850" s="13"/>
      <c r="I8850" s="13"/>
      <c r="J8850" s="13"/>
      <c r="K8850" s="13"/>
      <c r="L8850" s="13"/>
      <c r="M8850" s="13"/>
      <c r="N8850" s="13"/>
      <c r="O8850" s="13"/>
      <c r="P8850" s="13"/>
      <c r="Q8850" s="13"/>
      <c r="R8850" s="13"/>
    </row>
    <row r="8851" spans="8:18" x14ac:dyDescent="0.35">
      <c r="H8851" s="13"/>
      <c r="I8851" s="13"/>
      <c r="J8851" s="13"/>
      <c r="K8851" s="13"/>
      <c r="L8851" s="13"/>
      <c r="M8851" s="13"/>
      <c r="N8851" s="13"/>
      <c r="O8851" s="13"/>
      <c r="P8851" s="13"/>
      <c r="Q8851" s="13"/>
      <c r="R8851" s="13"/>
    </row>
    <row r="8852" spans="8:18" x14ac:dyDescent="0.35">
      <c r="H8852" s="13"/>
      <c r="I8852" s="13"/>
      <c r="J8852" s="13"/>
      <c r="K8852" s="13"/>
      <c r="L8852" s="13"/>
      <c r="M8852" s="13"/>
      <c r="N8852" s="13"/>
      <c r="O8852" s="13"/>
      <c r="P8852" s="13"/>
      <c r="Q8852" s="13"/>
      <c r="R8852" s="13"/>
    </row>
    <row r="8853" spans="8:18" x14ac:dyDescent="0.35">
      <c r="H8853" s="13"/>
      <c r="I8853" s="13"/>
      <c r="J8853" s="13"/>
      <c r="K8853" s="13"/>
      <c r="L8853" s="13"/>
      <c r="M8853" s="13"/>
      <c r="N8853" s="13"/>
      <c r="O8853" s="13"/>
      <c r="P8853" s="13"/>
      <c r="Q8853" s="13"/>
      <c r="R8853" s="13"/>
    </row>
    <row r="8854" spans="8:18" x14ac:dyDescent="0.35">
      <c r="H8854" s="13"/>
      <c r="I8854" s="13"/>
      <c r="J8854" s="13"/>
      <c r="K8854" s="13"/>
      <c r="L8854" s="13"/>
      <c r="M8854" s="13"/>
      <c r="N8854" s="13"/>
      <c r="O8854" s="13"/>
      <c r="P8854" s="13"/>
      <c r="Q8854" s="13"/>
      <c r="R8854" s="13"/>
    </row>
    <row r="8855" spans="8:18" x14ac:dyDescent="0.35">
      <c r="H8855" s="13"/>
      <c r="I8855" s="13"/>
      <c r="J8855" s="13"/>
      <c r="K8855" s="13"/>
      <c r="L8855" s="13"/>
      <c r="M8855" s="13"/>
      <c r="N8855" s="13"/>
      <c r="O8855" s="13"/>
      <c r="P8855" s="13"/>
      <c r="Q8855" s="13"/>
      <c r="R8855" s="13"/>
    </row>
    <row r="8856" spans="8:18" x14ac:dyDescent="0.35">
      <c r="H8856" s="13"/>
      <c r="I8856" s="13"/>
      <c r="J8856" s="13"/>
      <c r="K8856" s="13"/>
      <c r="L8856" s="13"/>
      <c r="M8856" s="13"/>
      <c r="N8856" s="13"/>
      <c r="O8856" s="13"/>
      <c r="P8856" s="13"/>
      <c r="Q8856" s="13"/>
      <c r="R8856" s="13"/>
    </row>
    <row r="8857" spans="8:18" x14ac:dyDescent="0.35">
      <c r="H8857" s="13"/>
      <c r="I8857" s="13"/>
      <c r="J8857" s="13"/>
      <c r="K8857" s="13"/>
      <c r="L8857" s="13"/>
      <c r="M8857" s="13"/>
      <c r="N8857" s="13"/>
      <c r="O8857" s="13"/>
      <c r="P8857" s="13"/>
      <c r="Q8857" s="13"/>
      <c r="R8857" s="13"/>
    </row>
    <row r="8858" spans="8:18" x14ac:dyDescent="0.35">
      <c r="H8858" s="13"/>
      <c r="I8858" s="13"/>
      <c r="J8858" s="13"/>
      <c r="K8858" s="13"/>
      <c r="L8858" s="13"/>
      <c r="M8858" s="13"/>
      <c r="N8858" s="13"/>
      <c r="O8858" s="13"/>
      <c r="P8858" s="13"/>
      <c r="Q8858" s="13"/>
      <c r="R8858" s="13"/>
    </row>
    <row r="8859" spans="8:18" x14ac:dyDescent="0.35">
      <c r="H8859" s="13"/>
      <c r="I8859" s="13"/>
      <c r="J8859" s="13"/>
      <c r="K8859" s="13"/>
      <c r="L8859" s="13"/>
      <c r="M8859" s="13"/>
      <c r="N8859" s="13"/>
      <c r="O8859" s="13"/>
      <c r="P8859" s="13"/>
      <c r="Q8859" s="13"/>
      <c r="R8859" s="13"/>
    </row>
    <row r="8860" spans="8:18" x14ac:dyDescent="0.35">
      <c r="H8860" s="13"/>
      <c r="I8860" s="13"/>
      <c r="J8860" s="13"/>
      <c r="K8860" s="13"/>
      <c r="L8860" s="13"/>
      <c r="M8860" s="13"/>
      <c r="N8860" s="13"/>
      <c r="O8860" s="13"/>
      <c r="P8860" s="13"/>
      <c r="Q8860" s="13"/>
      <c r="R8860" s="13"/>
    </row>
    <row r="8861" spans="8:18" x14ac:dyDescent="0.35">
      <c r="H8861" s="13"/>
      <c r="I8861" s="13"/>
      <c r="J8861" s="13"/>
      <c r="K8861" s="13"/>
      <c r="L8861" s="13"/>
      <c r="M8861" s="13"/>
      <c r="N8861" s="13"/>
      <c r="O8861" s="13"/>
      <c r="P8861" s="13"/>
      <c r="Q8861" s="13"/>
      <c r="R8861" s="13"/>
    </row>
    <row r="8862" spans="8:18" x14ac:dyDescent="0.35">
      <c r="H8862" s="13"/>
      <c r="I8862" s="13"/>
      <c r="J8862" s="13"/>
      <c r="K8862" s="13"/>
      <c r="L8862" s="13"/>
      <c r="M8862" s="13"/>
      <c r="N8862" s="13"/>
      <c r="O8862" s="13"/>
      <c r="P8862" s="13"/>
      <c r="Q8862" s="13"/>
      <c r="R8862" s="13"/>
    </row>
    <row r="8863" spans="8:18" x14ac:dyDescent="0.35">
      <c r="H8863" s="13"/>
      <c r="I8863" s="13"/>
      <c r="J8863" s="13"/>
      <c r="K8863" s="13"/>
      <c r="L8863" s="13"/>
      <c r="M8863" s="13"/>
      <c r="N8863" s="13"/>
      <c r="O8863" s="13"/>
      <c r="P8863" s="13"/>
      <c r="Q8863" s="13"/>
      <c r="R8863" s="13"/>
    </row>
    <row r="8864" spans="8:18" x14ac:dyDescent="0.35">
      <c r="H8864" s="13"/>
      <c r="I8864" s="13"/>
      <c r="J8864" s="13"/>
      <c r="K8864" s="13"/>
      <c r="L8864" s="13"/>
      <c r="M8864" s="13"/>
      <c r="N8864" s="13"/>
      <c r="O8864" s="13"/>
      <c r="P8864" s="13"/>
      <c r="Q8864" s="13"/>
      <c r="R8864" s="13"/>
    </row>
    <row r="8865" spans="8:18" x14ac:dyDescent="0.35">
      <c r="H8865" s="13"/>
      <c r="I8865" s="13"/>
      <c r="J8865" s="13"/>
      <c r="K8865" s="13"/>
      <c r="L8865" s="13"/>
      <c r="M8865" s="13"/>
      <c r="N8865" s="13"/>
      <c r="O8865" s="13"/>
      <c r="P8865" s="13"/>
      <c r="Q8865" s="13"/>
      <c r="R8865" s="13"/>
    </row>
    <row r="8866" spans="8:18" x14ac:dyDescent="0.35">
      <c r="H8866" s="13"/>
      <c r="I8866" s="13"/>
      <c r="J8866" s="13"/>
      <c r="K8866" s="13"/>
      <c r="L8866" s="13"/>
      <c r="M8866" s="13"/>
      <c r="N8866" s="13"/>
      <c r="O8866" s="13"/>
      <c r="P8866" s="13"/>
      <c r="Q8866" s="13"/>
      <c r="R8866" s="13"/>
    </row>
    <row r="8867" spans="8:18" x14ac:dyDescent="0.35">
      <c r="H8867" s="13"/>
      <c r="I8867" s="13"/>
      <c r="J8867" s="13"/>
      <c r="K8867" s="13"/>
      <c r="L8867" s="13"/>
      <c r="M8867" s="13"/>
      <c r="N8867" s="13"/>
      <c r="O8867" s="13"/>
      <c r="P8867" s="13"/>
      <c r="Q8867" s="13"/>
      <c r="R8867" s="13"/>
    </row>
    <row r="8868" spans="8:18" x14ac:dyDescent="0.35">
      <c r="H8868" s="13"/>
      <c r="I8868" s="13"/>
      <c r="J8868" s="13"/>
      <c r="K8868" s="13"/>
      <c r="L8868" s="13"/>
      <c r="M8868" s="13"/>
      <c r="N8868" s="13"/>
      <c r="O8868" s="13"/>
      <c r="P8868" s="13"/>
      <c r="Q8868" s="13"/>
      <c r="R8868" s="13"/>
    </row>
    <row r="8869" spans="8:18" x14ac:dyDescent="0.35">
      <c r="H8869" s="13"/>
      <c r="I8869" s="13"/>
      <c r="J8869" s="13"/>
      <c r="K8869" s="13"/>
      <c r="L8869" s="13"/>
      <c r="M8869" s="13"/>
      <c r="N8869" s="13"/>
      <c r="O8869" s="13"/>
      <c r="P8869" s="13"/>
      <c r="Q8869" s="13"/>
      <c r="R8869" s="13"/>
    </row>
    <row r="8870" spans="8:18" x14ac:dyDescent="0.35">
      <c r="H8870" s="13"/>
      <c r="I8870" s="13"/>
      <c r="J8870" s="13"/>
      <c r="K8870" s="13"/>
      <c r="L8870" s="13"/>
      <c r="M8870" s="13"/>
      <c r="N8870" s="13"/>
      <c r="O8870" s="13"/>
      <c r="P8870" s="13"/>
      <c r="Q8870" s="13"/>
      <c r="R8870" s="13"/>
    </row>
    <row r="8871" spans="8:18" x14ac:dyDescent="0.35">
      <c r="H8871" s="13"/>
      <c r="I8871" s="13"/>
      <c r="J8871" s="13"/>
      <c r="K8871" s="13"/>
      <c r="L8871" s="13"/>
      <c r="M8871" s="13"/>
      <c r="N8871" s="13"/>
      <c r="O8871" s="13"/>
      <c r="P8871" s="13"/>
      <c r="Q8871" s="13"/>
      <c r="R8871" s="13"/>
    </row>
    <row r="8872" spans="8:18" x14ac:dyDescent="0.35">
      <c r="H8872" s="13"/>
      <c r="I8872" s="13"/>
      <c r="J8872" s="13"/>
      <c r="K8872" s="13"/>
      <c r="L8872" s="13"/>
      <c r="M8872" s="13"/>
      <c r="N8872" s="13"/>
      <c r="O8872" s="13"/>
      <c r="P8872" s="13"/>
      <c r="Q8872" s="13"/>
      <c r="R8872" s="13"/>
    </row>
    <row r="8873" spans="8:18" x14ac:dyDescent="0.35">
      <c r="H8873" s="13"/>
      <c r="I8873" s="13"/>
      <c r="J8873" s="13"/>
      <c r="K8873" s="13"/>
      <c r="L8873" s="13"/>
      <c r="M8873" s="13"/>
      <c r="N8873" s="13"/>
      <c r="O8873" s="13"/>
      <c r="P8873" s="13"/>
      <c r="Q8873" s="13"/>
      <c r="R8873" s="13"/>
    </row>
    <row r="8874" spans="8:18" x14ac:dyDescent="0.35">
      <c r="H8874" s="13"/>
      <c r="I8874" s="13"/>
      <c r="J8874" s="13"/>
      <c r="K8874" s="13"/>
      <c r="L8874" s="13"/>
      <c r="M8874" s="13"/>
      <c r="N8874" s="13"/>
      <c r="O8874" s="13"/>
      <c r="P8874" s="13"/>
      <c r="Q8874" s="13"/>
      <c r="R8874" s="13"/>
    </row>
    <row r="8875" spans="8:18" x14ac:dyDescent="0.35">
      <c r="H8875" s="13"/>
      <c r="I8875" s="13"/>
      <c r="J8875" s="13"/>
      <c r="K8875" s="13"/>
      <c r="L8875" s="13"/>
      <c r="M8875" s="13"/>
      <c r="N8875" s="13"/>
      <c r="O8875" s="13"/>
      <c r="P8875" s="13"/>
      <c r="Q8875" s="13"/>
      <c r="R8875" s="13"/>
    </row>
    <row r="8876" spans="8:18" x14ac:dyDescent="0.35">
      <c r="H8876" s="13"/>
      <c r="I8876" s="13"/>
      <c r="J8876" s="13"/>
      <c r="K8876" s="13"/>
      <c r="L8876" s="13"/>
      <c r="M8876" s="13"/>
      <c r="N8876" s="13"/>
      <c r="O8876" s="13"/>
      <c r="P8876" s="13"/>
      <c r="Q8876" s="13"/>
      <c r="R8876" s="13"/>
    </row>
    <row r="8877" spans="8:18" x14ac:dyDescent="0.35">
      <c r="H8877" s="13"/>
      <c r="I8877" s="13"/>
      <c r="J8877" s="13"/>
      <c r="K8877" s="13"/>
      <c r="L8877" s="13"/>
      <c r="M8877" s="13"/>
      <c r="N8877" s="13"/>
      <c r="O8877" s="13"/>
      <c r="P8877" s="13"/>
      <c r="Q8877" s="13"/>
      <c r="R8877" s="13"/>
    </row>
    <row r="8878" spans="8:18" x14ac:dyDescent="0.35">
      <c r="H8878" s="13"/>
      <c r="I8878" s="13"/>
      <c r="J8878" s="13"/>
      <c r="K8878" s="13"/>
      <c r="L8878" s="13"/>
      <c r="M8878" s="13"/>
      <c r="N8878" s="13"/>
      <c r="O8878" s="13"/>
      <c r="P8878" s="13"/>
      <c r="Q8878" s="13"/>
      <c r="R8878" s="13"/>
    </row>
    <row r="8879" spans="8:18" x14ac:dyDescent="0.35">
      <c r="H8879" s="13"/>
      <c r="I8879" s="13"/>
      <c r="J8879" s="13"/>
      <c r="K8879" s="13"/>
      <c r="L8879" s="13"/>
      <c r="M8879" s="13"/>
      <c r="N8879" s="13"/>
      <c r="O8879" s="13"/>
      <c r="P8879" s="13"/>
      <c r="Q8879" s="13"/>
      <c r="R8879" s="13"/>
    </row>
    <row r="8880" spans="8:18" x14ac:dyDescent="0.35">
      <c r="H8880" s="13"/>
      <c r="I8880" s="13"/>
      <c r="J8880" s="13"/>
      <c r="K8880" s="13"/>
      <c r="L8880" s="13"/>
      <c r="M8880" s="13"/>
      <c r="N8880" s="13"/>
      <c r="O8880" s="13"/>
      <c r="P8880" s="13"/>
      <c r="Q8880" s="13"/>
      <c r="R8880" s="13"/>
    </row>
    <row r="8881" spans="8:18" x14ac:dyDescent="0.35">
      <c r="H8881" s="13"/>
      <c r="I8881" s="13"/>
      <c r="J8881" s="13"/>
      <c r="K8881" s="13"/>
      <c r="L8881" s="13"/>
      <c r="M8881" s="13"/>
      <c r="N8881" s="13"/>
      <c r="O8881" s="13"/>
      <c r="P8881" s="13"/>
      <c r="Q8881" s="13"/>
      <c r="R8881" s="13"/>
    </row>
    <row r="8882" spans="8:18" x14ac:dyDescent="0.35">
      <c r="H8882" s="13"/>
      <c r="I8882" s="13"/>
      <c r="J8882" s="13"/>
      <c r="K8882" s="13"/>
      <c r="L8882" s="13"/>
      <c r="M8882" s="13"/>
      <c r="N8882" s="13"/>
      <c r="O8882" s="13"/>
      <c r="P8882" s="13"/>
      <c r="Q8882" s="13"/>
      <c r="R8882" s="13"/>
    </row>
    <row r="8883" spans="8:18" x14ac:dyDescent="0.35">
      <c r="H8883" s="13"/>
      <c r="I8883" s="13"/>
      <c r="J8883" s="13"/>
      <c r="K8883" s="13"/>
      <c r="L8883" s="13"/>
      <c r="M8883" s="13"/>
      <c r="N8883" s="13"/>
      <c r="O8883" s="13"/>
      <c r="P8883" s="13"/>
      <c r="Q8883" s="13"/>
      <c r="R8883" s="13"/>
    </row>
    <row r="8884" spans="8:18" x14ac:dyDescent="0.35">
      <c r="H8884" s="13"/>
      <c r="I8884" s="13"/>
      <c r="J8884" s="13"/>
      <c r="K8884" s="13"/>
      <c r="L8884" s="13"/>
      <c r="M8884" s="13"/>
      <c r="N8884" s="13"/>
      <c r="O8884" s="13"/>
      <c r="P8884" s="13"/>
      <c r="Q8884" s="13"/>
      <c r="R8884" s="13"/>
    </row>
    <row r="8885" spans="8:18" x14ac:dyDescent="0.35">
      <c r="H8885" s="13"/>
      <c r="I8885" s="13"/>
      <c r="J8885" s="13"/>
      <c r="K8885" s="13"/>
      <c r="L8885" s="13"/>
      <c r="M8885" s="13"/>
      <c r="N8885" s="13"/>
      <c r="O8885" s="13"/>
      <c r="P8885" s="13"/>
      <c r="Q8885" s="13"/>
      <c r="R8885" s="13"/>
    </row>
    <row r="8886" spans="8:18" x14ac:dyDescent="0.35">
      <c r="H8886" s="13"/>
      <c r="I8886" s="13"/>
      <c r="J8886" s="13"/>
      <c r="K8886" s="13"/>
      <c r="L8886" s="13"/>
      <c r="M8886" s="13"/>
      <c r="N8886" s="13"/>
      <c r="O8886" s="13"/>
      <c r="P8886" s="13"/>
      <c r="Q8886" s="13"/>
      <c r="R8886" s="13"/>
    </row>
    <row r="8887" spans="8:18" x14ac:dyDescent="0.35">
      <c r="H8887" s="13"/>
      <c r="I8887" s="13"/>
      <c r="J8887" s="13"/>
      <c r="K8887" s="13"/>
      <c r="L8887" s="13"/>
      <c r="M8887" s="13"/>
      <c r="N8887" s="13"/>
      <c r="O8887" s="13"/>
      <c r="P8887" s="13"/>
      <c r="Q8887" s="13"/>
      <c r="R8887" s="13"/>
    </row>
    <row r="8888" spans="8:18" x14ac:dyDescent="0.35">
      <c r="H8888" s="13"/>
      <c r="I8888" s="13"/>
      <c r="J8888" s="13"/>
      <c r="K8888" s="13"/>
      <c r="L8888" s="13"/>
      <c r="M8888" s="13"/>
      <c r="N8888" s="13"/>
      <c r="O8888" s="13"/>
      <c r="P8888" s="13"/>
      <c r="Q8888" s="13"/>
      <c r="R8888" s="13"/>
    </row>
    <row r="8889" spans="8:18" x14ac:dyDescent="0.35">
      <c r="H8889" s="13"/>
      <c r="I8889" s="13"/>
      <c r="J8889" s="13"/>
      <c r="K8889" s="13"/>
      <c r="L8889" s="13"/>
      <c r="M8889" s="13"/>
      <c r="N8889" s="13"/>
      <c r="O8889" s="13"/>
      <c r="P8889" s="13"/>
      <c r="Q8889" s="13"/>
      <c r="R8889" s="13"/>
    </row>
    <row r="8890" spans="8:18" x14ac:dyDescent="0.35">
      <c r="H8890" s="13"/>
      <c r="I8890" s="13"/>
      <c r="J8890" s="13"/>
      <c r="K8890" s="13"/>
      <c r="L8890" s="13"/>
      <c r="M8890" s="13"/>
      <c r="N8890" s="13"/>
      <c r="O8890" s="13"/>
      <c r="P8890" s="13"/>
      <c r="Q8890" s="13"/>
      <c r="R8890" s="13"/>
    </row>
    <row r="8891" spans="8:18" x14ac:dyDescent="0.35">
      <c r="H8891" s="13"/>
      <c r="I8891" s="13"/>
      <c r="J8891" s="13"/>
      <c r="K8891" s="13"/>
      <c r="L8891" s="13"/>
      <c r="M8891" s="13"/>
      <c r="N8891" s="13"/>
      <c r="O8891" s="13"/>
      <c r="P8891" s="13"/>
      <c r="Q8891" s="13"/>
      <c r="R8891" s="13"/>
    </row>
    <row r="8892" spans="8:18" x14ac:dyDescent="0.35">
      <c r="H8892" s="13"/>
      <c r="I8892" s="13"/>
      <c r="J8892" s="13"/>
      <c r="K8892" s="13"/>
      <c r="L8892" s="13"/>
      <c r="M8892" s="13"/>
      <c r="N8892" s="13"/>
      <c r="O8892" s="13"/>
      <c r="P8892" s="13"/>
      <c r="Q8892" s="13"/>
      <c r="R8892" s="13"/>
    </row>
    <row r="8893" spans="8:18" x14ac:dyDescent="0.35">
      <c r="H8893" s="13"/>
      <c r="I8893" s="13"/>
      <c r="J8893" s="13"/>
      <c r="K8893" s="13"/>
      <c r="L8893" s="13"/>
      <c r="M8893" s="13"/>
      <c r="N8893" s="13"/>
      <c r="O8893" s="13"/>
      <c r="P8893" s="13"/>
      <c r="Q8893" s="13"/>
      <c r="R8893" s="13"/>
    </row>
    <row r="8894" spans="8:18" x14ac:dyDescent="0.35">
      <c r="H8894" s="13"/>
      <c r="I8894" s="13"/>
      <c r="J8894" s="13"/>
      <c r="K8894" s="13"/>
      <c r="L8894" s="13"/>
      <c r="M8894" s="13"/>
      <c r="N8894" s="13"/>
      <c r="O8894" s="13"/>
      <c r="P8894" s="13"/>
      <c r="Q8894" s="13"/>
      <c r="R8894" s="13"/>
    </row>
    <row r="8895" spans="8:18" x14ac:dyDescent="0.35">
      <c r="H8895" s="13"/>
      <c r="I8895" s="13"/>
      <c r="J8895" s="13"/>
      <c r="K8895" s="13"/>
      <c r="L8895" s="13"/>
      <c r="M8895" s="13"/>
      <c r="N8895" s="13"/>
      <c r="O8895" s="13"/>
      <c r="P8895" s="13"/>
      <c r="Q8895" s="13"/>
      <c r="R8895" s="13"/>
    </row>
    <row r="8896" spans="8:18" x14ac:dyDescent="0.35">
      <c r="H8896" s="13"/>
      <c r="I8896" s="13"/>
      <c r="J8896" s="13"/>
      <c r="K8896" s="13"/>
      <c r="L8896" s="13"/>
      <c r="M8896" s="13"/>
      <c r="N8896" s="13"/>
      <c r="O8896" s="13"/>
      <c r="P8896" s="13"/>
      <c r="Q8896" s="13"/>
      <c r="R8896" s="13"/>
    </row>
    <row r="8897" spans="8:18" x14ac:dyDescent="0.35">
      <c r="H8897" s="13"/>
      <c r="I8897" s="13"/>
      <c r="J8897" s="13"/>
      <c r="K8897" s="13"/>
      <c r="L8897" s="13"/>
      <c r="M8897" s="13"/>
      <c r="N8897" s="13"/>
      <c r="O8897" s="13"/>
      <c r="P8897" s="13"/>
      <c r="Q8897" s="13"/>
      <c r="R8897" s="13"/>
    </row>
    <row r="8898" spans="8:18" x14ac:dyDescent="0.35">
      <c r="H8898" s="13"/>
      <c r="I8898" s="13"/>
      <c r="J8898" s="13"/>
      <c r="K8898" s="13"/>
      <c r="L8898" s="13"/>
      <c r="M8898" s="13"/>
      <c r="N8898" s="13"/>
      <c r="O8898" s="13"/>
      <c r="P8898" s="13"/>
      <c r="Q8898" s="13"/>
      <c r="R8898" s="13"/>
    </row>
    <row r="8899" spans="8:18" x14ac:dyDescent="0.35">
      <c r="H8899" s="13"/>
      <c r="I8899" s="13"/>
      <c r="J8899" s="13"/>
      <c r="K8899" s="13"/>
      <c r="L8899" s="13"/>
      <c r="M8899" s="13"/>
      <c r="N8899" s="13"/>
      <c r="O8899" s="13"/>
      <c r="P8899" s="13"/>
      <c r="Q8899" s="13"/>
      <c r="R8899" s="13"/>
    </row>
    <row r="8900" spans="8:18" x14ac:dyDescent="0.35">
      <c r="H8900" s="13"/>
      <c r="I8900" s="13"/>
      <c r="J8900" s="13"/>
      <c r="K8900" s="13"/>
      <c r="L8900" s="13"/>
      <c r="M8900" s="13"/>
      <c r="N8900" s="13"/>
      <c r="O8900" s="13"/>
      <c r="P8900" s="13"/>
      <c r="Q8900" s="13"/>
      <c r="R8900" s="13"/>
    </row>
    <row r="8901" spans="8:18" x14ac:dyDescent="0.35">
      <c r="H8901" s="13"/>
      <c r="I8901" s="13"/>
      <c r="J8901" s="13"/>
      <c r="K8901" s="13"/>
      <c r="L8901" s="13"/>
      <c r="M8901" s="13"/>
      <c r="N8901" s="13"/>
      <c r="O8901" s="13"/>
      <c r="P8901" s="13"/>
      <c r="Q8901" s="13"/>
      <c r="R8901" s="13"/>
    </row>
    <row r="8902" spans="8:18" x14ac:dyDescent="0.35">
      <c r="H8902" s="13"/>
      <c r="I8902" s="13"/>
      <c r="J8902" s="13"/>
      <c r="K8902" s="13"/>
      <c r="L8902" s="13"/>
      <c r="M8902" s="13"/>
      <c r="N8902" s="13"/>
      <c r="O8902" s="13"/>
      <c r="P8902" s="13"/>
      <c r="Q8902" s="13"/>
      <c r="R8902" s="13"/>
    </row>
    <row r="8903" spans="8:18" x14ac:dyDescent="0.35">
      <c r="H8903" s="13"/>
      <c r="I8903" s="13"/>
      <c r="J8903" s="13"/>
      <c r="K8903" s="13"/>
      <c r="L8903" s="13"/>
      <c r="M8903" s="13"/>
      <c r="N8903" s="13"/>
      <c r="O8903" s="13"/>
      <c r="P8903" s="13"/>
      <c r="Q8903" s="13"/>
      <c r="R8903" s="13"/>
    </row>
    <row r="8904" spans="8:18" x14ac:dyDescent="0.35">
      <c r="H8904" s="13"/>
      <c r="I8904" s="13"/>
      <c r="J8904" s="13"/>
      <c r="K8904" s="13"/>
      <c r="L8904" s="13"/>
      <c r="M8904" s="13"/>
      <c r="N8904" s="13"/>
      <c r="O8904" s="13"/>
      <c r="P8904" s="13"/>
      <c r="Q8904" s="13"/>
      <c r="R8904" s="13"/>
    </row>
    <row r="8905" spans="8:18" x14ac:dyDescent="0.35">
      <c r="H8905" s="13"/>
      <c r="I8905" s="13"/>
      <c r="J8905" s="13"/>
      <c r="K8905" s="13"/>
      <c r="L8905" s="13"/>
      <c r="M8905" s="13"/>
      <c r="N8905" s="13"/>
      <c r="O8905" s="13"/>
      <c r="P8905" s="13"/>
      <c r="Q8905" s="13"/>
      <c r="R8905" s="13"/>
    </row>
    <row r="8906" spans="8:18" x14ac:dyDescent="0.35">
      <c r="H8906" s="13"/>
      <c r="I8906" s="13"/>
      <c r="J8906" s="13"/>
      <c r="K8906" s="13"/>
      <c r="L8906" s="13"/>
      <c r="M8906" s="13"/>
      <c r="N8906" s="13"/>
      <c r="O8906" s="13"/>
      <c r="P8906" s="13"/>
      <c r="Q8906" s="13"/>
      <c r="R8906" s="13"/>
    </row>
    <row r="8907" spans="8:18" x14ac:dyDescent="0.35">
      <c r="H8907" s="13"/>
      <c r="I8907" s="13"/>
      <c r="J8907" s="13"/>
      <c r="K8907" s="13"/>
      <c r="L8907" s="13"/>
      <c r="M8907" s="13"/>
      <c r="N8907" s="13"/>
      <c r="O8907" s="13"/>
      <c r="P8907" s="13"/>
      <c r="Q8907" s="13"/>
      <c r="R8907" s="13"/>
    </row>
    <row r="8908" spans="8:18" x14ac:dyDescent="0.35">
      <c r="H8908" s="13"/>
      <c r="I8908" s="13"/>
      <c r="J8908" s="13"/>
      <c r="K8908" s="13"/>
      <c r="L8908" s="13"/>
      <c r="M8908" s="13"/>
      <c r="N8908" s="13"/>
      <c r="O8908" s="13"/>
      <c r="P8908" s="13"/>
      <c r="Q8908" s="13"/>
      <c r="R8908" s="13"/>
    </row>
    <row r="8909" spans="8:18" x14ac:dyDescent="0.35">
      <c r="H8909" s="13"/>
      <c r="I8909" s="13"/>
      <c r="J8909" s="13"/>
      <c r="K8909" s="13"/>
      <c r="L8909" s="13"/>
      <c r="M8909" s="13"/>
      <c r="N8909" s="13"/>
      <c r="O8909" s="13"/>
      <c r="P8909" s="13"/>
      <c r="Q8909" s="13"/>
      <c r="R8909" s="13"/>
    </row>
    <row r="8910" spans="8:18" x14ac:dyDescent="0.35">
      <c r="H8910" s="13"/>
      <c r="I8910" s="13"/>
      <c r="J8910" s="13"/>
      <c r="K8910" s="13"/>
      <c r="L8910" s="13"/>
      <c r="M8910" s="13"/>
      <c r="N8910" s="13"/>
      <c r="O8910" s="13"/>
      <c r="P8910" s="13"/>
      <c r="Q8910" s="13"/>
      <c r="R8910" s="13"/>
    </row>
    <row r="8911" spans="8:18" x14ac:dyDescent="0.35">
      <c r="H8911" s="13"/>
      <c r="I8911" s="13"/>
      <c r="J8911" s="13"/>
      <c r="K8911" s="13"/>
      <c r="L8911" s="13"/>
      <c r="M8911" s="13"/>
      <c r="N8911" s="13"/>
      <c r="O8911" s="13"/>
      <c r="P8911" s="13"/>
      <c r="Q8911" s="13"/>
      <c r="R8911" s="13"/>
    </row>
    <row r="8912" spans="8:18" x14ac:dyDescent="0.35">
      <c r="H8912" s="13"/>
      <c r="I8912" s="13"/>
      <c r="J8912" s="13"/>
      <c r="K8912" s="13"/>
      <c r="L8912" s="13"/>
      <c r="M8912" s="13"/>
      <c r="N8912" s="13"/>
      <c r="O8912" s="13"/>
      <c r="P8912" s="13"/>
      <c r="Q8912" s="13"/>
      <c r="R8912" s="13"/>
    </row>
    <row r="8913" spans="8:18" x14ac:dyDescent="0.35">
      <c r="H8913" s="13"/>
      <c r="I8913" s="13"/>
      <c r="J8913" s="13"/>
      <c r="K8913" s="13"/>
      <c r="L8913" s="13"/>
      <c r="M8913" s="13"/>
      <c r="N8913" s="13"/>
      <c r="O8913" s="13"/>
      <c r="P8913" s="13"/>
      <c r="Q8913" s="13"/>
      <c r="R8913" s="13"/>
    </row>
    <row r="8914" spans="8:18" x14ac:dyDescent="0.35">
      <c r="H8914" s="13"/>
      <c r="I8914" s="13"/>
      <c r="J8914" s="13"/>
      <c r="K8914" s="13"/>
      <c r="L8914" s="13"/>
      <c r="M8914" s="13"/>
      <c r="N8914" s="13"/>
      <c r="O8914" s="13"/>
      <c r="P8914" s="13"/>
      <c r="Q8914" s="13"/>
      <c r="R8914" s="13"/>
    </row>
    <row r="8915" spans="8:18" x14ac:dyDescent="0.35">
      <c r="H8915" s="13"/>
      <c r="I8915" s="13"/>
      <c r="J8915" s="13"/>
      <c r="K8915" s="13"/>
      <c r="L8915" s="13"/>
      <c r="M8915" s="13"/>
      <c r="N8915" s="13"/>
      <c r="O8915" s="13"/>
      <c r="P8915" s="13"/>
      <c r="Q8915" s="13"/>
      <c r="R8915" s="13"/>
    </row>
    <row r="8916" spans="8:18" x14ac:dyDescent="0.35">
      <c r="H8916" s="13"/>
      <c r="I8916" s="13"/>
      <c r="J8916" s="13"/>
      <c r="K8916" s="13"/>
      <c r="L8916" s="13"/>
      <c r="M8916" s="13"/>
      <c r="N8916" s="13"/>
      <c r="O8916" s="13"/>
      <c r="P8916" s="13"/>
      <c r="Q8916" s="13"/>
      <c r="R8916" s="13"/>
    </row>
    <row r="8917" spans="8:18" x14ac:dyDescent="0.35">
      <c r="H8917" s="13"/>
      <c r="I8917" s="13"/>
      <c r="J8917" s="13"/>
      <c r="K8917" s="13"/>
      <c r="L8917" s="13"/>
      <c r="M8917" s="13"/>
      <c r="N8917" s="13"/>
      <c r="O8917" s="13"/>
      <c r="P8917" s="13"/>
      <c r="Q8917" s="13"/>
      <c r="R8917" s="13"/>
    </row>
    <row r="8918" spans="8:18" x14ac:dyDescent="0.35">
      <c r="H8918" s="13"/>
      <c r="I8918" s="13"/>
      <c r="J8918" s="13"/>
      <c r="K8918" s="13"/>
      <c r="L8918" s="13"/>
      <c r="M8918" s="13"/>
      <c r="N8918" s="13"/>
      <c r="O8918" s="13"/>
      <c r="P8918" s="13"/>
      <c r="Q8918" s="13"/>
      <c r="R8918" s="13"/>
    </row>
    <row r="8919" spans="8:18" x14ac:dyDescent="0.35">
      <c r="H8919" s="13"/>
      <c r="I8919" s="13"/>
      <c r="J8919" s="13"/>
      <c r="K8919" s="13"/>
      <c r="L8919" s="13"/>
      <c r="M8919" s="13"/>
      <c r="N8919" s="13"/>
      <c r="O8919" s="13"/>
      <c r="P8919" s="13"/>
      <c r="Q8919" s="13"/>
      <c r="R8919" s="13"/>
    </row>
    <row r="8920" spans="8:18" x14ac:dyDescent="0.35">
      <c r="H8920" s="13"/>
      <c r="I8920" s="13"/>
      <c r="J8920" s="13"/>
      <c r="K8920" s="13"/>
      <c r="L8920" s="13"/>
      <c r="M8920" s="13"/>
      <c r="N8920" s="13"/>
      <c r="O8920" s="13"/>
      <c r="P8920" s="13"/>
      <c r="Q8920" s="13"/>
      <c r="R8920" s="13"/>
    </row>
    <row r="8921" spans="8:18" x14ac:dyDescent="0.35">
      <c r="H8921" s="13"/>
      <c r="I8921" s="13"/>
      <c r="J8921" s="13"/>
      <c r="K8921" s="13"/>
      <c r="L8921" s="13"/>
      <c r="M8921" s="13"/>
      <c r="N8921" s="13"/>
      <c r="O8921" s="13"/>
      <c r="P8921" s="13"/>
      <c r="Q8921" s="13"/>
      <c r="R8921" s="13"/>
    </row>
    <row r="8922" spans="8:18" x14ac:dyDescent="0.35">
      <c r="H8922" s="13"/>
      <c r="I8922" s="13"/>
      <c r="J8922" s="13"/>
      <c r="K8922" s="13"/>
      <c r="L8922" s="13"/>
      <c r="M8922" s="13"/>
      <c r="N8922" s="13"/>
      <c r="O8922" s="13"/>
      <c r="P8922" s="13"/>
      <c r="Q8922" s="13"/>
      <c r="R8922" s="13"/>
    </row>
    <row r="8923" spans="8:18" x14ac:dyDescent="0.35">
      <c r="H8923" s="13"/>
      <c r="I8923" s="13"/>
      <c r="J8923" s="13"/>
      <c r="K8923" s="13"/>
      <c r="L8923" s="13"/>
      <c r="M8923" s="13"/>
      <c r="N8923" s="13"/>
      <c r="O8923" s="13"/>
      <c r="P8923" s="13"/>
      <c r="Q8923" s="13"/>
      <c r="R8923" s="13"/>
    </row>
    <row r="8924" spans="8:18" x14ac:dyDescent="0.35">
      <c r="H8924" s="13"/>
      <c r="I8924" s="13"/>
      <c r="J8924" s="13"/>
      <c r="K8924" s="13"/>
      <c r="L8924" s="13"/>
      <c r="M8924" s="13"/>
      <c r="N8924" s="13"/>
      <c r="O8924" s="13"/>
      <c r="P8924" s="13"/>
      <c r="Q8924" s="13"/>
      <c r="R8924" s="13"/>
    </row>
    <row r="8925" spans="8:18" x14ac:dyDescent="0.35">
      <c r="H8925" s="13"/>
      <c r="I8925" s="13"/>
      <c r="J8925" s="13"/>
      <c r="K8925" s="13"/>
      <c r="L8925" s="13"/>
      <c r="M8925" s="13"/>
      <c r="N8925" s="13"/>
      <c r="O8925" s="13"/>
      <c r="P8925" s="13"/>
      <c r="Q8925" s="13"/>
      <c r="R8925" s="13"/>
    </row>
    <row r="8926" spans="8:18" x14ac:dyDescent="0.35">
      <c r="H8926" s="13"/>
      <c r="I8926" s="13"/>
      <c r="J8926" s="13"/>
      <c r="K8926" s="13"/>
      <c r="L8926" s="13"/>
      <c r="M8926" s="13"/>
      <c r="N8926" s="13"/>
      <c r="O8926" s="13"/>
      <c r="P8926" s="13"/>
      <c r="Q8926" s="13"/>
      <c r="R8926" s="13"/>
    </row>
    <row r="8927" spans="8:18" x14ac:dyDescent="0.35">
      <c r="H8927" s="13"/>
      <c r="I8927" s="13"/>
      <c r="J8927" s="13"/>
      <c r="K8927" s="13"/>
      <c r="L8927" s="13"/>
      <c r="M8927" s="13"/>
      <c r="N8927" s="13"/>
      <c r="O8927" s="13"/>
      <c r="P8927" s="13"/>
      <c r="Q8927" s="13"/>
      <c r="R8927" s="13"/>
    </row>
    <row r="8928" spans="8:18" x14ac:dyDescent="0.35">
      <c r="H8928" s="13"/>
      <c r="I8928" s="13"/>
      <c r="J8928" s="13"/>
      <c r="K8928" s="13"/>
      <c r="L8928" s="13"/>
      <c r="M8928" s="13"/>
      <c r="N8928" s="13"/>
      <c r="O8928" s="13"/>
      <c r="P8928" s="13"/>
      <c r="Q8928" s="13"/>
      <c r="R8928" s="13"/>
    </row>
    <row r="8929" spans="8:18" x14ac:dyDescent="0.35">
      <c r="H8929" s="13"/>
      <c r="I8929" s="13"/>
      <c r="J8929" s="13"/>
      <c r="K8929" s="13"/>
      <c r="L8929" s="13"/>
      <c r="M8929" s="13"/>
      <c r="N8929" s="13"/>
      <c r="O8929" s="13"/>
      <c r="P8929" s="13"/>
      <c r="Q8929" s="13"/>
      <c r="R8929" s="13"/>
    </row>
    <row r="8930" spans="8:18" x14ac:dyDescent="0.35">
      <c r="H8930" s="13"/>
      <c r="I8930" s="13"/>
      <c r="J8930" s="13"/>
      <c r="K8930" s="13"/>
      <c r="L8930" s="13"/>
      <c r="M8930" s="13"/>
      <c r="N8930" s="13"/>
      <c r="O8930" s="13"/>
      <c r="P8930" s="13"/>
      <c r="Q8930" s="13"/>
      <c r="R8930" s="13"/>
    </row>
    <row r="8931" spans="8:18" x14ac:dyDescent="0.35">
      <c r="H8931" s="13"/>
      <c r="I8931" s="13"/>
      <c r="J8931" s="13"/>
      <c r="K8931" s="13"/>
      <c r="L8931" s="13"/>
      <c r="M8931" s="13"/>
      <c r="N8931" s="13"/>
      <c r="O8931" s="13"/>
      <c r="P8931" s="13"/>
      <c r="Q8931" s="13"/>
      <c r="R8931" s="13"/>
    </row>
    <row r="8932" spans="8:18" x14ac:dyDescent="0.35">
      <c r="H8932" s="13"/>
      <c r="I8932" s="13"/>
      <c r="J8932" s="13"/>
      <c r="K8932" s="13"/>
      <c r="L8932" s="13"/>
      <c r="M8932" s="13"/>
      <c r="N8932" s="13"/>
      <c r="O8932" s="13"/>
      <c r="P8932" s="13"/>
      <c r="Q8932" s="13"/>
      <c r="R8932" s="13"/>
    </row>
    <row r="8933" spans="8:18" x14ac:dyDescent="0.35">
      <c r="H8933" s="13"/>
      <c r="I8933" s="13"/>
      <c r="J8933" s="13"/>
      <c r="K8933" s="13"/>
      <c r="L8933" s="13"/>
      <c r="M8933" s="13"/>
      <c r="N8933" s="13"/>
      <c r="O8933" s="13"/>
      <c r="P8933" s="13"/>
      <c r="Q8933" s="13"/>
      <c r="R8933" s="13"/>
    </row>
    <row r="8934" spans="8:18" x14ac:dyDescent="0.35">
      <c r="H8934" s="13"/>
      <c r="I8934" s="13"/>
      <c r="J8934" s="13"/>
      <c r="K8934" s="13"/>
      <c r="L8934" s="13"/>
      <c r="M8934" s="13"/>
      <c r="N8934" s="13"/>
      <c r="O8934" s="13"/>
      <c r="P8934" s="13"/>
      <c r="Q8934" s="13"/>
      <c r="R8934" s="13"/>
    </row>
    <row r="8935" spans="8:18" x14ac:dyDescent="0.35">
      <c r="H8935" s="13"/>
      <c r="I8935" s="13"/>
      <c r="J8935" s="13"/>
      <c r="K8935" s="13"/>
      <c r="L8935" s="13"/>
      <c r="M8935" s="13"/>
      <c r="N8935" s="13"/>
      <c r="O8935" s="13"/>
      <c r="P8935" s="13"/>
      <c r="Q8935" s="13"/>
      <c r="R8935" s="13"/>
    </row>
    <row r="8936" spans="8:18" x14ac:dyDescent="0.35">
      <c r="H8936" s="13"/>
      <c r="I8936" s="13"/>
      <c r="J8936" s="13"/>
      <c r="K8936" s="13"/>
      <c r="L8936" s="13"/>
      <c r="M8936" s="13"/>
      <c r="N8936" s="13"/>
      <c r="O8936" s="13"/>
      <c r="P8936" s="13"/>
      <c r="Q8936" s="13"/>
      <c r="R8936" s="13"/>
    </row>
    <row r="8937" spans="8:18" x14ac:dyDescent="0.35">
      <c r="H8937" s="13"/>
      <c r="I8937" s="13"/>
      <c r="J8937" s="13"/>
      <c r="K8937" s="13"/>
      <c r="L8937" s="13"/>
      <c r="M8937" s="13"/>
      <c r="N8937" s="13"/>
      <c r="O8937" s="13"/>
      <c r="P8937" s="13"/>
      <c r="Q8937" s="13"/>
      <c r="R8937" s="13"/>
    </row>
    <row r="8938" spans="8:18" x14ac:dyDescent="0.35">
      <c r="H8938" s="13"/>
      <c r="I8938" s="13"/>
      <c r="J8938" s="13"/>
      <c r="K8938" s="13"/>
      <c r="L8938" s="13"/>
      <c r="M8938" s="13"/>
      <c r="N8938" s="13"/>
      <c r="O8938" s="13"/>
      <c r="P8938" s="13"/>
      <c r="Q8938" s="13"/>
      <c r="R8938" s="13"/>
    </row>
    <row r="8939" spans="8:18" x14ac:dyDescent="0.35">
      <c r="H8939" s="13"/>
      <c r="I8939" s="13"/>
      <c r="J8939" s="13"/>
      <c r="K8939" s="13"/>
      <c r="L8939" s="13"/>
      <c r="M8939" s="13"/>
      <c r="N8939" s="13"/>
      <c r="O8939" s="13"/>
      <c r="P8939" s="13"/>
      <c r="Q8939" s="13"/>
      <c r="R8939" s="13"/>
    </row>
    <row r="8940" spans="8:18" x14ac:dyDescent="0.35">
      <c r="H8940" s="13"/>
      <c r="I8940" s="13"/>
      <c r="J8940" s="13"/>
      <c r="K8940" s="13"/>
      <c r="L8940" s="13"/>
      <c r="M8940" s="13"/>
      <c r="N8940" s="13"/>
      <c r="O8940" s="13"/>
      <c r="P8940" s="13"/>
      <c r="Q8940" s="13"/>
      <c r="R8940" s="13"/>
    </row>
    <row r="8941" spans="8:18" x14ac:dyDescent="0.35">
      <c r="H8941" s="13"/>
      <c r="I8941" s="13"/>
      <c r="J8941" s="13"/>
      <c r="K8941" s="13"/>
      <c r="L8941" s="13"/>
      <c r="M8941" s="13"/>
      <c r="N8941" s="13"/>
      <c r="O8941" s="13"/>
      <c r="P8941" s="13"/>
      <c r="Q8941" s="13"/>
      <c r="R8941" s="13"/>
    </row>
    <row r="8942" spans="8:18" x14ac:dyDescent="0.35">
      <c r="H8942" s="13"/>
      <c r="I8942" s="13"/>
      <c r="J8942" s="13"/>
      <c r="K8942" s="13"/>
      <c r="L8942" s="13"/>
      <c r="M8942" s="13"/>
      <c r="N8942" s="13"/>
      <c r="O8942" s="13"/>
      <c r="P8942" s="13"/>
      <c r="Q8942" s="13"/>
      <c r="R8942" s="13"/>
    </row>
    <row r="8943" spans="8:18" x14ac:dyDescent="0.35">
      <c r="H8943" s="13"/>
      <c r="I8943" s="13"/>
      <c r="J8943" s="13"/>
      <c r="K8943" s="13"/>
      <c r="L8943" s="13"/>
      <c r="M8943" s="13"/>
      <c r="N8943" s="13"/>
      <c r="O8943" s="13"/>
      <c r="P8943" s="13"/>
      <c r="Q8943" s="13"/>
      <c r="R8943" s="13"/>
    </row>
    <row r="8944" spans="8:18" x14ac:dyDescent="0.35">
      <c r="H8944" s="13"/>
      <c r="I8944" s="13"/>
      <c r="J8944" s="13"/>
      <c r="K8944" s="13"/>
      <c r="L8944" s="13"/>
      <c r="M8944" s="13"/>
      <c r="N8944" s="13"/>
      <c r="O8944" s="13"/>
      <c r="P8944" s="13"/>
      <c r="Q8944" s="13"/>
      <c r="R8944" s="13"/>
    </row>
    <row r="8945" spans="8:18" x14ac:dyDescent="0.35">
      <c r="H8945" s="13"/>
      <c r="I8945" s="13"/>
      <c r="J8945" s="13"/>
      <c r="K8945" s="13"/>
      <c r="L8945" s="13"/>
      <c r="M8945" s="13"/>
      <c r="N8945" s="13"/>
      <c r="O8945" s="13"/>
      <c r="P8945" s="13"/>
      <c r="Q8945" s="13"/>
      <c r="R8945" s="13"/>
    </row>
    <row r="8946" spans="8:18" x14ac:dyDescent="0.35">
      <c r="H8946" s="13"/>
      <c r="I8946" s="13"/>
      <c r="J8946" s="13"/>
      <c r="K8946" s="13"/>
      <c r="L8946" s="13"/>
      <c r="M8946" s="13"/>
      <c r="N8946" s="13"/>
      <c r="O8946" s="13"/>
      <c r="P8946" s="13"/>
      <c r="Q8946" s="13"/>
      <c r="R8946" s="13"/>
    </row>
    <row r="8947" spans="8:18" x14ac:dyDescent="0.35">
      <c r="H8947" s="13"/>
      <c r="I8947" s="13"/>
      <c r="J8947" s="13"/>
      <c r="K8947" s="13"/>
      <c r="L8947" s="13"/>
      <c r="M8947" s="13"/>
      <c r="N8947" s="13"/>
      <c r="O8947" s="13"/>
      <c r="P8947" s="13"/>
      <c r="Q8947" s="13"/>
      <c r="R8947" s="13"/>
    </row>
    <row r="8948" spans="8:18" x14ac:dyDescent="0.35">
      <c r="H8948" s="13"/>
      <c r="I8948" s="13"/>
      <c r="J8948" s="13"/>
      <c r="K8948" s="13"/>
      <c r="L8948" s="13"/>
      <c r="M8948" s="13"/>
      <c r="N8948" s="13"/>
      <c r="O8948" s="13"/>
      <c r="P8948" s="13"/>
      <c r="Q8948" s="13"/>
      <c r="R8948" s="13"/>
    </row>
    <row r="8949" spans="8:18" x14ac:dyDescent="0.35">
      <c r="H8949" s="13"/>
      <c r="I8949" s="13"/>
      <c r="J8949" s="13"/>
      <c r="K8949" s="13"/>
      <c r="L8949" s="13"/>
      <c r="M8949" s="13"/>
      <c r="N8949" s="13"/>
      <c r="O8949" s="13"/>
      <c r="P8949" s="13"/>
      <c r="Q8949" s="13"/>
      <c r="R8949" s="13"/>
    </row>
    <row r="8950" spans="8:18" x14ac:dyDescent="0.35">
      <c r="H8950" s="13"/>
      <c r="I8950" s="13"/>
      <c r="J8950" s="13"/>
      <c r="K8950" s="13"/>
      <c r="L8950" s="13"/>
      <c r="M8950" s="13"/>
      <c r="N8950" s="13"/>
      <c r="O8950" s="13"/>
      <c r="P8950" s="13"/>
      <c r="Q8950" s="13"/>
      <c r="R8950" s="13"/>
    </row>
    <row r="8951" spans="8:18" x14ac:dyDescent="0.35">
      <c r="H8951" s="13"/>
      <c r="I8951" s="13"/>
      <c r="J8951" s="13"/>
      <c r="K8951" s="13"/>
      <c r="L8951" s="13"/>
      <c r="M8951" s="13"/>
      <c r="N8951" s="13"/>
      <c r="O8951" s="13"/>
      <c r="P8951" s="13"/>
      <c r="Q8951" s="13"/>
      <c r="R8951" s="13"/>
    </row>
    <row r="8952" spans="8:18" x14ac:dyDescent="0.35">
      <c r="H8952" s="13"/>
      <c r="I8952" s="13"/>
      <c r="J8952" s="13"/>
      <c r="K8952" s="13"/>
      <c r="L8952" s="13"/>
      <c r="M8952" s="13"/>
      <c r="N8952" s="13"/>
      <c r="O8952" s="13"/>
      <c r="P8952" s="13"/>
      <c r="Q8952" s="13"/>
      <c r="R8952" s="13"/>
    </row>
    <row r="8953" spans="8:18" x14ac:dyDescent="0.35">
      <c r="H8953" s="13"/>
      <c r="I8953" s="13"/>
      <c r="J8953" s="13"/>
      <c r="K8953" s="13"/>
      <c r="L8953" s="13"/>
      <c r="M8953" s="13"/>
      <c r="N8953" s="13"/>
      <c r="O8953" s="13"/>
      <c r="P8953" s="13"/>
      <c r="Q8953" s="13"/>
      <c r="R8953" s="13"/>
    </row>
    <row r="8954" spans="8:18" x14ac:dyDescent="0.35">
      <c r="H8954" s="13"/>
      <c r="I8954" s="13"/>
      <c r="J8954" s="13"/>
      <c r="K8954" s="13"/>
      <c r="L8954" s="13"/>
      <c r="M8954" s="13"/>
      <c r="N8954" s="13"/>
      <c r="O8954" s="13"/>
      <c r="P8954" s="13"/>
      <c r="Q8954" s="13"/>
      <c r="R8954" s="13"/>
    </row>
    <row r="8955" spans="8:18" x14ac:dyDescent="0.35">
      <c r="H8955" s="13"/>
      <c r="I8955" s="13"/>
      <c r="J8955" s="13"/>
      <c r="K8955" s="13"/>
      <c r="L8955" s="13"/>
      <c r="M8955" s="13"/>
      <c r="N8955" s="13"/>
      <c r="O8955" s="13"/>
      <c r="P8955" s="13"/>
      <c r="Q8955" s="13"/>
      <c r="R8955" s="13"/>
    </row>
    <row r="8956" spans="8:18" x14ac:dyDescent="0.35">
      <c r="H8956" s="13"/>
      <c r="I8956" s="13"/>
      <c r="J8956" s="13"/>
      <c r="K8956" s="13"/>
      <c r="L8956" s="13"/>
      <c r="M8956" s="13"/>
      <c r="N8956" s="13"/>
      <c r="O8956" s="13"/>
      <c r="P8956" s="13"/>
      <c r="Q8956" s="13"/>
      <c r="R8956" s="13"/>
    </row>
    <row r="8957" spans="8:18" x14ac:dyDescent="0.35">
      <c r="H8957" s="13"/>
      <c r="I8957" s="13"/>
      <c r="J8957" s="13"/>
      <c r="K8957" s="13"/>
      <c r="L8957" s="13"/>
      <c r="M8957" s="13"/>
      <c r="N8957" s="13"/>
      <c r="O8957" s="13"/>
      <c r="P8957" s="13"/>
      <c r="Q8957" s="13"/>
      <c r="R8957" s="13"/>
    </row>
    <row r="8958" spans="8:18" x14ac:dyDescent="0.35">
      <c r="H8958" s="13"/>
      <c r="I8958" s="13"/>
      <c r="J8958" s="13"/>
      <c r="K8958" s="13"/>
      <c r="L8958" s="13"/>
      <c r="M8958" s="13"/>
      <c r="N8958" s="13"/>
      <c r="O8958" s="13"/>
      <c r="P8958" s="13"/>
      <c r="Q8958" s="13"/>
      <c r="R8958" s="13"/>
    </row>
    <row r="8959" spans="8:18" x14ac:dyDescent="0.35">
      <c r="H8959" s="13"/>
      <c r="I8959" s="13"/>
      <c r="J8959" s="13"/>
      <c r="K8959" s="13"/>
      <c r="L8959" s="13"/>
      <c r="M8959" s="13"/>
      <c r="N8959" s="13"/>
      <c r="O8959" s="13"/>
      <c r="P8959" s="13"/>
      <c r="Q8959" s="13"/>
      <c r="R8959" s="13"/>
    </row>
    <row r="8960" spans="8:18" x14ac:dyDescent="0.35">
      <c r="H8960" s="13"/>
      <c r="I8960" s="13"/>
      <c r="J8960" s="13"/>
      <c r="K8960" s="13"/>
      <c r="L8960" s="13"/>
      <c r="M8960" s="13"/>
      <c r="N8960" s="13"/>
      <c r="O8960" s="13"/>
      <c r="P8960" s="13"/>
      <c r="Q8960" s="13"/>
      <c r="R8960" s="13"/>
    </row>
    <row r="8961" spans="8:18" x14ac:dyDescent="0.35">
      <c r="H8961" s="13"/>
      <c r="I8961" s="13"/>
      <c r="J8961" s="13"/>
      <c r="K8961" s="13"/>
      <c r="L8961" s="13"/>
      <c r="M8961" s="13"/>
      <c r="N8961" s="13"/>
      <c r="O8961" s="13"/>
      <c r="P8961" s="13"/>
      <c r="Q8961" s="13"/>
      <c r="R8961" s="13"/>
    </row>
    <row r="8962" spans="8:18" x14ac:dyDescent="0.35">
      <c r="H8962" s="13"/>
      <c r="I8962" s="13"/>
      <c r="J8962" s="13"/>
      <c r="K8962" s="13"/>
      <c r="L8962" s="13"/>
      <c r="M8962" s="13"/>
      <c r="N8962" s="13"/>
      <c r="O8962" s="13"/>
      <c r="P8962" s="13"/>
      <c r="Q8962" s="13"/>
      <c r="R8962" s="13"/>
    </row>
    <row r="8963" spans="8:18" x14ac:dyDescent="0.35">
      <c r="H8963" s="13"/>
      <c r="I8963" s="13"/>
      <c r="J8963" s="13"/>
      <c r="K8963" s="13"/>
      <c r="L8963" s="13"/>
      <c r="M8963" s="13"/>
      <c r="N8963" s="13"/>
      <c r="O8963" s="13"/>
      <c r="P8963" s="13"/>
      <c r="Q8963" s="13"/>
      <c r="R8963" s="13"/>
    </row>
    <row r="8964" spans="8:18" x14ac:dyDescent="0.35">
      <c r="H8964" s="13"/>
      <c r="I8964" s="13"/>
      <c r="J8964" s="13"/>
      <c r="K8964" s="13"/>
      <c r="L8964" s="13"/>
      <c r="M8964" s="13"/>
      <c r="N8964" s="13"/>
      <c r="O8964" s="13"/>
      <c r="P8964" s="13"/>
      <c r="Q8964" s="13"/>
      <c r="R8964" s="13"/>
    </row>
    <row r="8965" spans="8:18" x14ac:dyDescent="0.35">
      <c r="H8965" s="13"/>
      <c r="I8965" s="13"/>
      <c r="J8965" s="13"/>
      <c r="K8965" s="13"/>
      <c r="L8965" s="13"/>
      <c r="M8965" s="13"/>
      <c r="N8965" s="13"/>
      <c r="O8965" s="13"/>
      <c r="P8965" s="13"/>
      <c r="Q8965" s="13"/>
      <c r="R8965" s="13"/>
    </row>
    <row r="8966" spans="8:18" x14ac:dyDescent="0.35">
      <c r="H8966" s="13"/>
      <c r="I8966" s="13"/>
      <c r="J8966" s="13"/>
      <c r="K8966" s="13"/>
      <c r="L8966" s="13"/>
      <c r="M8966" s="13"/>
      <c r="N8966" s="13"/>
      <c r="O8966" s="13"/>
      <c r="P8966" s="13"/>
      <c r="Q8966" s="13"/>
      <c r="R8966" s="13"/>
    </row>
    <row r="8967" spans="8:18" x14ac:dyDescent="0.35">
      <c r="H8967" s="13"/>
      <c r="I8967" s="13"/>
      <c r="J8967" s="13"/>
      <c r="K8967" s="13"/>
      <c r="L8967" s="13"/>
      <c r="M8967" s="13"/>
      <c r="N8967" s="13"/>
      <c r="O8967" s="13"/>
      <c r="P8967" s="13"/>
      <c r="Q8967" s="13"/>
      <c r="R8967" s="13"/>
    </row>
    <row r="8968" spans="8:18" x14ac:dyDescent="0.35">
      <c r="H8968" s="13"/>
      <c r="I8968" s="13"/>
      <c r="J8968" s="13"/>
      <c r="K8968" s="13"/>
      <c r="L8968" s="13"/>
      <c r="M8968" s="13"/>
      <c r="N8968" s="13"/>
      <c r="O8968" s="13"/>
      <c r="P8968" s="13"/>
      <c r="Q8968" s="13"/>
      <c r="R8968" s="13"/>
    </row>
    <row r="8969" spans="8:18" x14ac:dyDescent="0.35">
      <c r="H8969" s="13"/>
      <c r="I8969" s="13"/>
      <c r="J8969" s="13"/>
      <c r="K8969" s="13"/>
      <c r="L8969" s="13"/>
      <c r="M8969" s="13"/>
      <c r="N8969" s="13"/>
      <c r="O8969" s="13"/>
      <c r="P8969" s="13"/>
      <c r="Q8969" s="13"/>
      <c r="R8969" s="13"/>
    </row>
    <row r="8970" spans="8:18" x14ac:dyDescent="0.35">
      <c r="H8970" s="13"/>
      <c r="I8970" s="13"/>
      <c r="J8970" s="13"/>
      <c r="K8970" s="13"/>
      <c r="L8970" s="13"/>
      <c r="M8970" s="13"/>
      <c r="N8970" s="13"/>
      <c r="O8970" s="13"/>
      <c r="P8970" s="13"/>
      <c r="Q8970" s="13"/>
      <c r="R8970" s="13"/>
    </row>
    <row r="8971" spans="8:18" x14ac:dyDescent="0.35">
      <c r="H8971" s="13"/>
      <c r="I8971" s="13"/>
      <c r="J8971" s="13"/>
      <c r="K8971" s="13"/>
      <c r="L8971" s="13"/>
      <c r="M8971" s="13"/>
      <c r="N8971" s="13"/>
      <c r="O8971" s="13"/>
      <c r="P8971" s="13"/>
      <c r="Q8971" s="13"/>
      <c r="R8971" s="13"/>
    </row>
    <row r="8972" spans="8:18" x14ac:dyDescent="0.35">
      <c r="H8972" s="13"/>
      <c r="I8972" s="13"/>
      <c r="J8972" s="13"/>
      <c r="K8972" s="13"/>
      <c r="L8972" s="13"/>
      <c r="M8972" s="13"/>
      <c r="N8972" s="13"/>
      <c r="O8972" s="13"/>
      <c r="P8972" s="13"/>
      <c r="Q8972" s="13"/>
      <c r="R8972" s="13"/>
    </row>
    <row r="8973" spans="8:18" x14ac:dyDescent="0.35">
      <c r="H8973" s="13"/>
      <c r="I8973" s="13"/>
      <c r="J8973" s="13"/>
      <c r="K8973" s="13"/>
      <c r="L8973" s="13"/>
      <c r="M8973" s="13"/>
      <c r="N8973" s="13"/>
      <c r="O8973" s="13"/>
      <c r="P8973" s="13"/>
      <c r="Q8973" s="13"/>
      <c r="R8973" s="13"/>
    </row>
    <row r="8974" spans="8:18" x14ac:dyDescent="0.35">
      <c r="H8974" s="13"/>
      <c r="I8974" s="13"/>
      <c r="J8974" s="13"/>
      <c r="K8974" s="13"/>
      <c r="L8974" s="13"/>
      <c r="M8974" s="13"/>
      <c r="N8974" s="13"/>
      <c r="O8974" s="13"/>
      <c r="P8974" s="13"/>
      <c r="Q8974" s="13"/>
      <c r="R8974" s="13"/>
    </row>
    <row r="8975" spans="8:18" x14ac:dyDescent="0.35">
      <c r="H8975" s="13"/>
      <c r="I8975" s="13"/>
      <c r="J8975" s="13"/>
      <c r="K8975" s="13"/>
      <c r="L8975" s="13"/>
      <c r="M8975" s="13"/>
      <c r="N8975" s="13"/>
      <c r="O8975" s="13"/>
      <c r="P8975" s="13"/>
      <c r="Q8975" s="13"/>
      <c r="R8975" s="13"/>
    </row>
    <row r="8976" spans="8:18" x14ac:dyDescent="0.35">
      <c r="H8976" s="13"/>
      <c r="I8976" s="13"/>
      <c r="J8976" s="13"/>
      <c r="K8976" s="13"/>
      <c r="L8976" s="13"/>
      <c r="M8976" s="13"/>
      <c r="N8976" s="13"/>
      <c r="O8976" s="13"/>
      <c r="P8976" s="13"/>
      <c r="Q8976" s="13"/>
      <c r="R8976" s="13"/>
    </row>
    <row r="8977" spans="8:18" x14ac:dyDescent="0.35">
      <c r="H8977" s="13"/>
      <c r="I8977" s="13"/>
      <c r="J8977" s="13"/>
      <c r="K8977" s="13"/>
      <c r="L8977" s="13"/>
      <c r="M8977" s="13"/>
      <c r="N8977" s="13"/>
      <c r="O8977" s="13"/>
      <c r="P8977" s="13"/>
      <c r="Q8977" s="13"/>
      <c r="R8977" s="13"/>
    </row>
    <row r="8978" spans="8:18" x14ac:dyDescent="0.35">
      <c r="H8978" s="13"/>
      <c r="I8978" s="13"/>
      <c r="J8978" s="13"/>
      <c r="K8978" s="13"/>
      <c r="L8978" s="13"/>
      <c r="M8978" s="13"/>
      <c r="N8978" s="13"/>
      <c r="O8978" s="13"/>
      <c r="P8978" s="13"/>
      <c r="Q8978" s="13"/>
      <c r="R8978" s="13"/>
    </row>
    <row r="8979" spans="8:18" x14ac:dyDescent="0.35">
      <c r="H8979" s="13"/>
      <c r="I8979" s="13"/>
      <c r="J8979" s="13"/>
      <c r="K8979" s="13"/>
      <c r="L8979" s="13"/>
      <c r="M8979" s="13"/>
      <c r="N8979" s="13"/>
      <c r="O8979" s="13"/>
      <c r="P8979" s="13"/>
      <c r="Q8979" s="13"/>
      <c r="R8979" s="13"/>
    </row>
    <row r="8980" spans="8:18" x14ac:dyDescent="0.35">
      <c r="H8980" s="13"/>
      <c r="I8980" s="13"/>
      <c r="J8980" s="13"/>
      <c r="K8980" s="13"/>
      <c r="L8980" s="13"/>
      <c r="M8980" s="13"/>
      <c r="N8980" s="13"/>
      <c r="O8980" s="13"/>
      <c r="P8980" s="13"/>
      <c r="Q8980" s="13"/>
      <c r="R8980" s="13"/>
    </row>
    <row r="8981" spans="8:18" x14ac:dyDescent="0.35">
      <c r="H8981" s="13"/>
      <c r="I8981" s="13"/>
      <c r="J8981" s="13"/>
      <c r="K8981" s="13"/>
      <c r="L8981" s="13"/>
      <c r="M8981" s="13"/>
      <c r="N8981" s="13"/>
      <c r="O8981" s="13"/>
      <c r="P8981" s="13"/>
      <c r="Q8981" s="13"/>
      <c r="R8981" s="13"/>
    </row>
    <row r="8982" spans="8:18" x14ac:dyDescent="0.35">
      <c r="H8982" s="13"/>
      <c r="I8982" s="13"/>
      <c r="J8982" s="13"/>
      <c r="K8982" s="13"/>
      <c r="L8982" s="13"/>
      <c r="M8982" s="13"/>
      <c r="N8982" s="13"/>
      <c r="O8982" s="13"/>
      <c r="P8982" s="13"/>
      <c r="Q8982" s="13"/>
      <c r="R8982" s="13"/>
    </row>
    <row r="8983" spans="8:18" x14ac:dyDescent="0.35">
      <c r="H8983" s="13"/>
      <c r="I8983" s="13"/>
      <c r="J8983" s="13"/>
      <c r="K8983" s="13"/>
      <c r="L8983" s="13"/>
      <c r="M8983" s="13"/>
      <c r="N8983" s="13"/>
      <c r="O8983" s="13"/>
      <c r="P8983" s="13"/>
      <c r="Q8983" s="13"/>
      <c r="R8983" s="13"/>
    </row>
    <row r="8984" spans="8:18" x14ac:dyDescent="0.35">
      <c r="H8984" s="13"/>
      <c r="I8984" s="13"/>
      <c r="J8984" s="13"/>
      <c r="K8984" s="13"/>
      <c r="L8984" s="13"/>
      <c r="M8984" s="13"/>
      <c r="N8984" s="13"/>
      <c r="O8984" s="13"/>
      <c r="P8984" s="13"/>
      <c r="Q8984" s="13"/>
      <c r="R8984" s="13"/>
    </row>
    <row r="8985" spans="8:18" x14ac:dyDescent="0.35">
      <c r="H8985" s="13"/>
      <c r="I8985" s="13"/>
      <c r="J8985" s="13"/>
      <c r="K8985" s="13"/>
      <c r="L8985" s="13"/>
      <c r="M8985" s="13"/>
      <c r="N8985" s="13"/>
      <c r="O8985" s="13"/>
      <c r="P8985" s="13"/>
      <c r="Q8985" s="13"/>
      <c r="R8985" s="13"/>
    </row>
    <row r="8986" spans="8:18" x14ac:dyDescent="0.35">
      <c r="H8986" s="13"/>
      <c r="I8986" s="13"/>
      <c r="J8986" s="13"/>
      <c r="K8986" s="13"/>
      <c r="L8986" s="13"/>
      <c r="M8986" s="13"/>
      <c r="N8986" s="13"/>
      <c r="O8986" s="13"/>
      <c r="P8986" s="13"/>
      <c r="Q8986" s="13"/>
      <c r="R8986" s="13"/>
    </row>
    <row r="8987" spans="8:18" x14ac:dyDescent="0.35">
      <c r="H8987" s="13"/>
      <c r="I8987" s="13"/>
      <c r="J8987" s="13"/>
      <c r="K8987" s="13"/>
      <c r="L8987" s="13"/>
      <c r="M8987" s="13"/>
      <c r="N8987" s="13"/>
      <c r="O8987" s="13"/>
      <c r="P8987" s="13"/>
      <c r="Q8987" s="13"/>
      <c r="R8987" s="13"/>
    </row>
    <row r="8988" spans="8:18" x14ac:dyDescent="0.35">
      <c r="H8988" s="13"/>
      <c r="I8988" s="13"/>
      <c r="J8988" s="13"/>
      <c r="K8988" s="13"/>
      <c r="L8988" s="13"/>
      <c r="M8988" s="13"/>
      <c r="N8988" s="13"/>
      <c r="O8988" s="13"/>
      <c r="P8988" s="13"/>
      <c r="Q8988" s="13"/>
      <c r="R8988" s="13"/>
    </row>
    <row r="8989" spans="8:18" x14ac:dyDescent="0.35">
      <c r="H8989" s="13"/>
      <c r="I8989" s="13"/>
      <c r="J8989" s="13"/>
      <c r="K8989" s="13"/>
      <c r="L8989" s="13"/>
      <c r="M8989" s="13"/>
      <c r="N8989" s="13"/>
      <c r="O8989" s="13"/>
      <c r="P8989" s="13"/>
      <c r="Q8989" s="13"/>
      <c r="R8989" s="13"/>
    </row>
    <row r="8990" spans="8:18" x14ac:dyDescent="0.35">
      <c r="H8990" s="13"/>
      <c r="I8990" s="13"/>
      <c r="J8990" s="13"/>
      <c r="K8990" s="13"/>
      <c r="L8990" s="13"/>
      <c r="M8990" s="13"/>
      <c r="N8990" s="13"/>
      <c r="O8990" s="13"/>
      <c r="P8990" s="13"/>
      <c r="Q8990" s="13"/>
      <c r="R8990" s="13"/>
    </row>
    <row r="8991" spans="8:18" x14ac:dyDescent="0.35">
      <c r="H8991" s="13"/>
      <c r="I8991" s="13"/>
      <c r="J8991" s="13"/>
      <c r="K8991" s="13"/>
      <c r="L8991" s="13"/>
      <c r="M8991" s="13"/>
      <c r="N8991" s="13"/>
      <c r="O8991" s="13"/>
      <c r="P8991" s="13"/>
      <c r="Q8991" s="13"/>
      <c r="R8991" s="13"/>
    </row>
    <row r="8992" spans="8:18" x14ac:dyDescent="0.35">
      <c r="H8992" s="13"/>
      <c r="I8992" s="13"/>
      <c r="J8992" s="13"/>
      <c r="K8992" s="13"/>
      <c r="L8992" s="13"/>
      <c r="M8992" s="13"/>
      <c r="N8992" s="13"/>
      <c r="O8992" s="13"/>
      <c r="P8992" s="13"/>
      <c r="Q8992" s="13"/>
      <c r="R8992" s="13"/>
    </row>
    <row r="8993" spans="8:18" x14ac:dyDescent="0.35">
      <c r="H8993" s="13"/>
      <c r="I8993" s="13"/>
      <c r="J8993" s="13"/>
      <c r="K8993" s="13"/>
      <c r="L8993" s="13"/>
      <c r="M8993" s="13"/>
      <c r="N8993" s="13"/>
      <c r="O8993" s="13"/>
      <c r="P8993" s="13"/>
      <c r="Q8993" s="13"/>
      <c r="R8993" s="13"/>
    </row>
    <row r="8994" spans="8:18" x14ac:dyDescent="0.35">
      <c r="H8994" s="13"/>
      <c r="I8994" s="13"/>
      <c r="J8994" s="13"/>
      <c r="K8994" s="13"/>
      <c r="L8994" s="13"/>
      <c r="M8994" s="13"/>
      <c r="N8994" s="13"/>
      <c r="O8994" s="13"/>
      <c r="P8994" s="13"/>
      <c r="Q8994" s="13"/>
      <c r="R8994" s="13"/>
    </row>
    <row r="8995" spans="8:18" x14ac:dyDescent="0.35">
      <c r="H8995" s="13"/>
      <c r="I8995" s="13"/>
      <c r="J8995" s="13"/>
      <c r="K8995" s="13"/>
      <c r="L8995" s="13"/>
      <c r="M8995" s="13"/>
      <c r="N8995" s="13"/>
      <c r="O8995" s="13"/>
      <c r="P8995" s="13"/>
      <c r="Q8995" s="13"/>
      <c r="R8995" s="13"/>
    </row>
    <row r="8996" spans="8:18" x14ac:dyDescent="0.35">
      <c r="H8996" s="13"/>
      <c r="I8996" s="13"/>
      <c r="J8996" s="13"/>
      <c r="K8996" s="13"/>
      <c r="L8996" s="13"/>
      <c r="M8996" s="13"/>
      <c r="N8996" s="13"/>
      <c r="O8996" s="13"/>
      <c r="P8996" s="13"/>
      <c r="Q8996" s="13"/>
      <c r="R8996" s="13"/>
    </row>
    <row r="8997" spans="8:18" x14ac:dyDescent="0.35">
      <c r="H8997" s="13"/>
      <c r="I8997" s="13"/>
      <c r="J8997" s="13"/>
      <c r="K8997" s="13"/>
      <c r="L8997" s="13"/>
      <c r="M8997" s="13"/>
      <c r="N8997" s="13"/>
      <c r="O8997" s="13"/>
      <c r="P8997" s="13"/>
      <c r="Q8997" s="13"/>
      <c r="R8997" s="13"/>
    </row>
    <row r="8998" spans="8:18" x14ac:dyDescent="0.35">
      <c r="H8998" s="13"/>
      <c r="I8998" s="13"/>
      <c r="J8998" s="13"/>
      <c r="K8998" s="13"/>
      <c r="L8998" s="13"/>
      <c r="M8998" s="13"/>
      <c r="N8998" s="13"/>
      <c r="O8998" s="13"/>
      <c r="P8998" s="13"/>
      <c r="Q8998" s="13"/>
      <c r="R8998" s="13"/>
    </row>
    <row r="8999" spans="8:18" x14ac:dyDescent="0.35">
      <c r="H8999" s="13"/>
      <c r="I8999" s="13"/>
      <c r="J8999" s="13"/>
      <c r="K8999" s="13"/>
      <c r="L8999" s="13"/>
      <c r="M8999" s="13"/>
      <c r="N8999" s="13"/>
      <c r="O8999" s="13"/>
      <c r="P8999" s="13"/>
      <c r="Q8999" s="13"/>
      <c r="R8999" s="13"/>
    </row>
    <row r="9000" spans="8:18" x14ac:dyDescent="0.35">
      <c r="H9000" s="13"/>
      <c r="I9000" s="13"/>
      <c r="J9000" s="13"/>
      <c r="K9000" s="13"/>
      <c r="L9000" s="13"/>
      <c r="M9000" s="13"/>
      <c r="N9000" s="13"/>
      <c r="O9000" s="13"/>
      <c r="P9000" s="13"/>
      <c r="Q9000" s="13"/>
      <c r="R9000" s="13"/>
    </row>
    <row r="9001" spans="8:18" x14ac:dyDescent="0.35">
      <c r="H9001" s="13"/>
      <c r="I9001" s="13"/>
      <c r="J9001" s="13"/>
      <c r="K9001" s="13"/>
      <c r="L9001" s="13"/>
      <c r="M9001" s="13"/>
      <c r="N9001" s="13"/>
      <c r="O9001" s="13"/>
      <c r="P9001" s="13"/>
      <c r="Q9001" s="13"/>
      <c r="R9001" s="13"/>
    </row>
    <row r="9002" spans="8:18" x14ac:dyDescent="0.35">
      <c r="H9002" s="13"/>
      <c r="I9002" s="13"/>
      <c r="J9002" s="13"/>
      <c r="K9002" s="13"/>
      <c r="L9002" s="13"/>
      <c r="M9002" s="13"/>
      <c r="N9002" s="13"/>
      <c r="O9002" s="13"/>
      <c r="P9002" s="13"/>
      <c r="Q9002" s="13"/>
      <c r="R9002" s="13"/>
    </row>
    <row r="9003" spans="8:18" x14ac:dyDescent="0.35">
      <c r="H9003" s="13"/>
      <c r="I9003" s="13"/>
      <c r="J9003" s="13"/>
      <c r="K9003" s="13"/>
      <c r="L9003" s="13"/>
      <c r="M9003" s="13"/>
      <c r="N9003" s="13"/>
      <c r="O9003" s="13"/>
      <c r="P9003" s="13"/>
      <c r="Q9003" s="13"/>
      <c r="R9003" s="13"/>
    </row>
    <row r="9004" spans="8:18" x14ac:dyDescent="0.35">
      <c r="H9004" s="13"/>
      <c r="I9004" s="13"/>
      <c r="J9004" s="13"/>
      <c r="K9004" s="13"/>
      <c r="L9004" s="13"/>
      <c r="M9004" s="13"/>
      <c r="N9004" s="13"/>
      <c r="O9004" s="13"/>
      <c r="P9004" s="13"/>
      <c r="Q9004" s="13"/>
      <c r="R9004" s="13"/>
    </row>
    <row r="9005" spans="8:18" x14ac:dyDescent="0.35">
      <c r="H9005" s="13"/>
      <c r="I9005" s="13"/>
      <c r="J9005" s="13"/>
      <c r="K9005" s="13"/>
      <c r="L9005" s="13"/>
      <c r="M9005" s="13"/>
      <c r="N9005" s="13"/>
      <c r="O9005" s="13"/>
      <c r="P9005" s="13"/>
      <c r="Q9005" s="13"/>
      <c r="R9005" s="13"/>
    </row>
    <row r="9006" spans="8:18" x14ac:dyDescent="0.35">
      <c r="H9006" s="13"/>
      <c r="I9006" s="13"/>
      <c r="J9006" s="13"/>
      <c r="K9006" s="13"/>
      <c r="L9006" s="13"/>
      <c r="M9006" s="13"/>
      <c r="N9006" s="13"/>
      <c r="O9006" s="13"/>
      <c r="P9006" s="13"/>
      <c r="Q9006" s="13"/>
      <c r="R9006" s="13"/>
    </row>
    <row r="9007" spans="8:18" x14ac:dyDescent="0.35">
      <c r="H9007" s="13"/>
      <c r="I9007" s="13"/>
      <c r="J9007" s="13"/>
      <c r="K9007" s="13"/>
      <c r="L9007" s="13"/>
      <c r="M9007" s="13"/>
      <c r="N9007" s="13"/>
      <c r="O9007" s="13"/>
      <c r="P9007" s="13"/>
      <c r="Q9007" s="13"/>
      <c r="R9007" s="13"/>
    </row>
    <row r="9008" spans="8:18" x14ac:dyDescent="0.35">
      <c r="H9008" s="13"/>
      <c r="I9008" s="13"/>
      <c r="J9008" s="13"/>
      <c r="K9008" s="13"/>
      <c r="L9008" s="13"/>
      <c r="M9008" s="13"/>
      <c r="N9008" s="13"/>
      <c r="O9008" s="13"/>
      <c r="P9008" s="13"/>
      <c r="Q9008" s="13"/>
      <c r="R9008" s="13"/>
    </row>
    <row r="9009" spans="8:18" x14ac:dyDescent="0.35">
      <c r="H9009" s="13"/>
      <c r="I9009" s="13"/>
      <c r="J9009" s="13"/>
      <c r="K9009" s="13"/>
      <c r="L9009" s="13"/>
      <c r="M9009" s="13"/>
      <c r="N9009" s="13"/>
      <c r="O9009" s="13"/>
      <c r="P9009" s="13"/>
      <c r="Q9009" s="13"/>
      <c r="R9009" s="13"/>
    </row>
    <row r="9010" spans="8:18" x14ac:dyDescent="0.35">
      <c r="H9010" s="13"/>
      <c r="I9010" s="13"/>
      <c r="J9010" s="13"/>
      <c r="K9010" s="13"/>
      <c r="L9010" s="13"/>
      <c r="M9010" s="13"/>
      <c r="N9010" s="13"/>
      <c r="O9010" s="13"/>
      <c r="P9010" s="13"/>
      <c r="Q9010" s="13"/>
      <c r="R9010" s="13"/>
    </row>
    <row r="9011" spans="8:18" x14ac:dyDescent="0.35">
      <c r="H9011" s="13"/>
      <c r="I9011" s="13"/>
      <c r="J9011" s="13"/>
      <c r="K9011" s="13"/>
      <c r="L9011" s="13"/>
      <c r="M9011" s="13"/>
      <c r="N9011" s="13"/>
      <c r="O9011" s="13"/>
      <c r="P9011" s="13"/>
      <c r="Q9011" s="13"/>
      <c r="R9011" s="13"/>
    </row>
    <row r="9012" spans="8:18" x14ac:dyDescent="0.35">
      <c r="H9012" s="13"/>
      <c r="I9012" s="13"/>
      <c r="J9012" s="13"/>
      <c r="K9012" s="13"/>
      <c r="L9012" s="13"/>
      <c r="M9012" s="13"/>
      <c r="N9012" s="13"/>
      <c r="O9012" s="13"/>
      <c r="P9012" s="13"/>
      <c r="Q9012" s="13"/>
      <c r="R9012" s="13"/>
    </row>
    <row r="9013" spans="8:18" x14ac:dyDescent="0.35">
      <c r="H9013" s="13"/>
      <c r="I9013" s="13"/>
      <c r="J9013" s="13"/>
      <c r="K9013" s="13"/>
      <c r="L9013" s="13"/>
      <c r="M9013" s="13"/>
      <c r="N9013" s="13"/>
      <c r="O9013" s="13"/>
      <c r="P9013" s="13"/>
      <c r="Q9013" s="13"/>
      <c r="R9013" s="13"/>
    </row>
    <row r="9014" spans="8:18" x14ac:dyDescent="0.35">
      <c r="H9014" s="13"/>
      <c r="I9014" s="13"/>
      <c r="J9014" s="13"/>
      <c r="K9014" s="13"/>
      <c r="L9014" s="13"/>
      <c r="M9014" s="13"/>
      <c r="N9014" s="13"/>
      <c r="O9014" s="13"/>
      <c r="P9014" s="13"/>
      <c r="Q9014" s="13"/>
      <c r="R9014" s="13"/>
    </row>
    <row r="9015" spans="8:18" x14ac:dyDescent="0.35">
      <c r="H9015" s="13"/>
      <c r="I9015" s="13"/>
      <c r="J9015" s="13"/>
      <c r="K9015" s="13"/>
      <c r="L9015" s="13"/>
      <c r="M9015" s="13"/>
      <c r="N9015" s="13"/>
      <c r="O9015" s="13"/>
      <c r="P9015" s="13"/>
      <c r="Q9015" s="13"/>
      <c r="R9015" s="13"/>
    </row>
    <row r="9016" spans="8:18" x14ac:dyDescent="0.35">
      <c r="H9016" s="13"/>
      <c r="I9016" s="13"/>
      <c r="J9016" s="13"/>
      <c r="K9016" s="13"/>
      <c r="L9016" s="13"/>
      <c r="M9016" s="13"/>
      <c r="N9016" s="13"/>
      <c r="O9016" s="13"/>
      <c r="P9016" s="13"/>
      <c r="Q9016" s="13"/>
      <c r="R9016" s="13"/>
    </row>
    <row r="9017" spans="8:18" x14ac:dyDescent="0.35">
      <c r="H9017" s="13"/>
      <c r="I9017" s="13"/>
      <c r="J9017" s="13"/>
      <c r="K9017" s="13"/>
      <c r="L9017" s="13"/>
      <c r="M9017" s="13"/>
      <c r="N9017" s="13"/>
      <c r="O9017" s="13"/>
      <c r="P9017" s="13"/>
      <c r="Q9017" s="13"/>
      <c r="R9017" s="13"/>
    </row>
    <row r="9018" spans="8:18" x14ac:dyDescent="0.35">
      <c r="H9018" s="13"/>
      <c r="I9018" s="13"/>
      <c r="J9018" s="13"/>
      <c r="K9018" s="13"/>
      <c r="L9018" s="13"/>
      <c r="M9018" s="13"/>
      <c r="N9018" s="13"/>
      <c r="O9018" s="13"/>
      <c r="P9018" s="13"/>
      <c r="Q9018" s="13"/>
      <c r="R9018" s="13"/>
    </row>
    <row r="9019" spans="8:18" x14ac:dyDescent="0.35">
      <c r="H9019" s="13"/>
      <c r="I9019" s="13"/>
      <c r="J9019" s="13"/>
      <c r="K9019" s="13"/>
      <c r="L9019" s="13"/>
      <c r="M9019" s="13"/>
      <c r="N9019" s="13"/>
      <c r="O9019" s="13"/>
      <c r="P9019" s="13"/>
      <c r="Q9019" s="13"/>
      <c r="R9019" s="13"/>
    </row>
    <row r="9020" spans="8:18" x14ac:dyDescent="0.35">
      <c r="H9020" s="13"/>
      <c r="I9020" s="13"/>
      <c r="J9020" s="13"/>
      <c r="K9020" s="13"/>
      <c r="L9020" s="13"/>
      <c r="M9020" s="13"/>
      <c r="N9020" s="13"/>
      <c r="O9020" s="13"/>
      <c r="P9020" s="13"/>
      <c r="Q9020" s="13"/>
      <c r="R9020" s="13"/>
    </row>
    <row r="9021" spans="8:18" x14ac:dyDescent="0.35">
      <c r="H9021" s="13"/>
      <c r="I9021" s="13"/>
      <c r="J9021" s="13"/>
      <c r="K9021" s="13"/>
      <c r="L9021" s="13"/>
      <c r="M9021" s="13"/>
      <c r="N9021" s="13"/>
      <c r="O9021" s="13"/>
      <c r="P9021" s="13"/>
      <c r="Q9021" s="13"/>
      <c r="R9021" s="13"/>
    </row>
    <row r="9022" spans="8:18" x14ac:dyDescent="0.35">
      <c r="H9022" s="13"/>
      <c r="I9022" s="13"/>
      <c r="J9022" s="13"/>
      <c r="K9022" s="13"/>
      <c r="L9022" s="13"/>
      <c r="M9022" s="13"/>
      <c r="N9022" s="13"/>
      <c r="O9022" s="13"/>
      <c r="P9022" s="13"/>
      <c r="Q9022" s="13"/>
      <c r="R9022" s="13"/>
    </row>
    <row r="9023" spans="8:18" x14ac:dyDescent="0.35">
      <c r="H9023" s="13"/>
      <c r="I9023" s="13"/>
      <c r="J9023" s="13"/>
      <c r="K9023" s="13"/>
      <c r="L9023" s="13"/>
      <c r="M9023" s="13"/>
      <c r="N9023" s="13"/>
      <c r="O9023" s="13"/>
      <c r="P9023" s="13"/>
      <c r="Q9023" s="13"/>
      <c r="R9023" s="13"/>
    </row>
    <row r="9024" spans="8:18" x14ac:dyDescent="0.35">
      <c r="H9024" s="13"/>
      <c r="I9024" s="13"/>
      <c r="J9024" s="13"/>
      <c r="K9024" s="13"/>
      <c r="L9024" s="13"/>
      <c r="M9024" s="13"/>
      <c r="N9024" s="13"/>
      <c r="O9024" s="13"/>
      <c r="P9024" s="13"/>
      <c r="Q9024" s="13"/>
      <c r="R9024" s="13"/>
    </row>
    <row r="9025" spans="8:18" x14ac:dyDescent="0.35">
      <c r="H9025" s="13"/>
      <c r="I9025" s="13"/>
      <c r="J9025" s="13"/>
      <c r="K9025" s="13"/>
      <c r="L9025" s="13"/>
      <c r="M9025" s="13"/>
      <c r="N9025" s="13"/>
      <c r="O9025" s="13"/>
      <c r="P9025" s="13"/>
      <c r="Q9025" s="13"/>
      <c r="R9025" s="13"/>
    </row>
    <row r="9026" spans="8:18" x14ac:dyDescent="0.35">
      <c r="H9026" s="13"/>
      <c r="I9026" s="13"/>
      <c r="J9026" s="13"/>
      <c r="K9026" s="13"/>
      <c r="L9026" s="13"/>
      <c r="M9026" s="13"/>
      <c r="N9026" s="13"/>
      <c r="O9026" s="13"/>
      <c r="P9026" s="13"/>
      <c r="Q9026" s="13"/>
      <c r="R9026" s="13"/>
    </row>
    <row r="9027" spans="8:18" x14ac:dyDescent="0.35">
      <c r="H9027" s="13"/>
      <c r="I9027" s="13"/>
      <c r="J9027" s="13"/>
      <c r="K9027" s="13"/>
      <c r="L9027" s="13"/>
      <c r="M9027" s="13"/>
      <c r="N9027" s="13"/>
      <c r="O9027" s="13"/>
      <c r="P9027" s="13"/>
      <c r="Q9027" s="13"/>
      <c r="R9027" s="13"/>
    </row>
    <row r="9028" spans="8:18" x14ac:dyDescent="0.35">
      <c r="H9028" s="13"/>
      <c r="I9028" s="13"/>
      <c r="J9028" s="13"/>
      <c r="K9028" s="13"/>
      <c r="L9028" s="13"/>
      <c r="M9028" s="13"/>
      <c r="N9028" s="13"/>
      <c r="O9028" s="13"/>
      <c r="P9028" s="13"/>
      <c r="Q9028" s="13"/>
      <c r="R9028" s="13"/>
    </row>
    <row r="9029" spans="8:18" x14ac:dyDescent="0.35">
      <c r="H9029" s="13"/>
      <c r="I9029" s="13"/>
      <c r="J9029" s="13"/>
      <c r="K9029" s="13"/>
      <c r="L9029" s="13"/>
      <c r="M9029" s="13"/>
      <c r="N9029" s="13"/>
      <c r="O9029" s="13"/>
      <c r="P9029" s="13"/>
      <c r="Q9029" s="13"/>
      <c r="R9029" s="13"/>
    </row>
    <row r="9030" spans="8:18" x14ac:dyDescent="0.35">
      <c r="H9030" s="13"/>
      <c r="I9030" s="13"/>
      <c r="J9030" s="13"/>
      <c r="K9030" s="13"/>
      <c r="L9030" s="13"/>
      <c r="M9030" s="13"/>
      <c r="N9030" s="13"/>
      <c r="O9030" s="13"/>
      <c r="P9030" s="13"/>
      <c r="Q9030" s="13"/>
      <c r="R9030" s="13"/>
    </row>
    <row r="9031" spans="8:18" x14ac:dyDescent="0.35">
      <c r="H9031" s="13"/>
      <c r="I9031" s="13"/>
      <c r="J9031" s="13"/>
      <c r="K9031" s="13"/>
      <c r="L9031" s="13"/>
      <c r="M9031" s="13"/>
      <c r="N9031" s="13"/>
      <c r="O9031" s="13"/>
      <c r="P9031" s="13"/>
      <c r="Q9031" s="13"/>
      <c r="R9031" s="13"/>
    </row>
    <row r="9032" spans="8:18" x14ac:dyDescent="0.35">
      <c r="H9032" s="13"/>
      <c r="I9032" s="13"/>
      <c r="J9032" s="13"/>
      <c r="K9032" s="13"/>
      <c r="L9032" s="13"/>
      <c r="M9032" s="13"/>
      <c r="N9032" s="13"/>
      <c r="O9032" s="13"/>
      <c r="P9032" s="13"/>
      <c r="Q9032" s="13"/>
      <c r="R9032" s="13"/>
    </row>
    <row r="9033" spans="8:18" x14ac:dyDescent="0.35">
      <c r="H9033" s="13"/>
      <c r="I9033" s="13"/>
      <c r="J9033" s="13"/>
      <c r="K9033" s="13"/>
      <c r="L9033" s="13"/>
      <c r="M9033" s="13"/>
      <c r="N9033" s="13"/>
      <c r="O9033" s="13"/>
      <c r="P9033" s="13"/>
      <c r="Q9033" s="13"/>
      <c r="R9033" s="13"/>
    </row>
    <row r="9034" spans="8:18" x14ac:dyDescent="0.35">
      <c r="H9034" s="13"/>
      <c r="I9034" s="13"/>
      <c r="J9034" s="13"/>
      <c r="K9034" s="13"/>
      <c r="L9034" s="13"/>
      <c r="M9034" s="13"/>
      <c r="N9034" s="13"/>
      <c r="O9034" s="13"/>
      <c r="P9034" s="13"/>
      <c r="Q9034" s="13"/>
      <c r="R9034" s="13"/>
    </row>
    <row r="9035" spans="8:18" x14ac:dyDescent="0.35">
      <c r="H9035" s="13"/>
      <c r="I9035" s="13"/>
      <c r="J9035" s="13"/>
      <c r="K9035" s="13"/>
      <c r="L9035" s="13"/>
      <c r="M9035" s="13"/>
      <c r="N9035" s="13"/>
      <c r="O9035" s="13"/>
      <c r="P9035" s="13"/>
      <c r="Q9035" s="13"/>
      <c r="R9035" s="13"/>
    </row>
    <row r="9036" spans="8:18" x14ac:dyDescent="0.35">
      <c r="H9036" s="13"/>
      <c r="I9036" s="13"/>
      <c r="J9036" s="13"/>
      <c r="K9036" s="13"/>
      <c r="L9036" s="13"/>
      <c r="M9036" s="13"/>
      <c r="N9036" s="13"/>
      <c r="O9036" s="13"/>
      <c r="P9036" s="13"/>
      <c r="Q9036" s="13"/>
      <c r="R9036" s="13"/>
    </row>
    <row r="9037" spans="8:18" x14ac:dyDescent="0.35">
      <c r="H9037" s="13"/>
      <c r="I9037" s="13"/>
      <c r="J9037" s="13"/>
      <c r="K9037" s="13"/>
      <c r="L9037" s="13"/>
      <c r="M9037" s="13"/>
      <c r="N9037" s="13"/>
      <c r="O9037" s="13"/>
      <c r="P9037" s="13"/>
      <c r="Q9037" s="13"/>
      <c r="R9037" s="13"/>
    </row>
    <row r="9038" spans="8:18" x14ac:dyDescent="0.35">
      <c r="H9038" s="13"/>
      <c r="I9038" s="13"/>
      <c r="J9038" s="13"/>
      <c r="K9038" s="13"/>
      <c r="L9038" s="13"/>
      <c r="M9038" s="13"/>
      <c r="N9038" s="13"/>
      <c r="O9038" s="13"/>
      <c r="P9038" s="13"/>
      <c r="Q9038" s="13"/>
      <c r="R9038" s="13"/>
    </row>
    <row r="9039" spans="8:18" x14ac:dyDescent="0.35">
      <c r="H9039" s="13"/>
      <c r="I9039" s="13"/>
      <c r="J9039" s="13"/>
      <c r="K9039" s="13"/>
      <c r="L9039" s="13"/>
      <c r="M9039" s="13"/>
      <c r="N9039" s="13"/>
      <c r="O9039" s="13"/>
      <c r="P9039" s="13"/>
      <c r="Q9039" s="13"/>
      <c r="R9039" s="13"/>
    </row>
    <row r="9040" spans="8:18" x14ac:dyDescent="0.35">
      <c r="H9040" s="13"/>
      <c r="I9040" s="13"/>
      <c r="J9040" s="13"/>
      <c r="K9040" s="13"/>
      <c r="L9040" s="13"/>
      <c r="M9040" s="13"/>
      <c r="N9040" s="13"/>
      <c r="O9040" s="13"/>
      <c r="P9040" s="13"/>
      <c r="Q9040" s="13"/>
      <c r="R9040" s="13"/>
    </row>
    <row r="9041" spans="8:18" x14ac:dyDescent="0.35">
      <c r="H9041" s="13"/>
      <c r="I9041" s="13"/>
      <c r="J9041" s="13"/>
      <c r="K9041" s="13"/>
      <c r="L9041" s="13"/>
      <c r="M9041" s="13"/>
      <c r="N9041" s="13"/>
      <c r="O9041" s="13"/>
      <c r="P9041" s="13"/>
      <c r="Q9041" s="13"/>
      <c r="R9041" s="13"/>
    </row>
    <row r="9042" spans="8:18" x14ac:dyDescent="0.35">
      <c r="H9042" s="13"/>
      <c r="I9042" s="13"/>
      <c r="J9042" s="13"/>
      <c r="K9042" s="13"/>
      <c r="L9042" s="13"/>
      <c r="M9042" s="13"/>
      <c r="N9042" s="13"/>
      <c r="O9042" s="13"/>
      <c r="P9042" s="13"/>
      <c r="Q9042" s="13"/>
      <c r="R9042" s="13"/>
    </row>
    <row r="9043" spans="8:18" x14ac:dyDescent="0.35">
      <c r="H9043" s="13"/>
      <c r="I9043" s="13"/>
      <c r="J9043" s="13"/>
      <c r="K9043" s="13"/>
      <c r="L9043" s="13"/>
      <c r="M9043" s="13"/>
      <c r="N9043" s="13"/>
      <c r="O9043" s="13"/>
      <c r="P9043" s="13"/>
      <c r="Q9043" s="13"/>
      <c r="R9043" s="13"/>
    </row>
    <row r="9044" spans="8:18" x14ac:dyDescent="0.35">
      <c r="H9044" s="13"/>
      <c r="I9044" s="13"/>
      <c r="J9044" s="13"/>
      <c r="K9044" s="13"/>
      <c r="L9044" s="13"/>
      <c r="M9044" s="13"/>
      <c r="N9044" s="13"/>
      <c r="O9044" s="13"/>
      <c r="P9044" s="13"/>
      <c r="Q9044" s="13"/>
      <c r="R9044" s="13"/>
    </row>
    <row r="9045" spans="8:18" x14ac:dyDescent="0.35">
      <c r="H9045" s="13"/>
      <c r="I9045" s="13"/>
      <c r="J9045" s="13"/>
      <c r="K9045" s="13"/>
      <c r="L9045" s="13"/>
      <c r="M9045" s="13"/>
      <c r="N9045" s="13"/>
      <c r="O9045" s="13"/>
      <c r="P9045" s="13"/>
      <c r="Q9045" s="13"/>
      <c r="R9045" s="13"/>
    </row>
    <row r="9046" spans="8:18" x14ac:dyDescent="0.35">
      <c r="H9046" s="13"/>
      <c r="I9046" s="13"/>
      <c r="J9046" s="13"/>
      <c r="K9046" s="13"/>
      <c r="L9046" s="13"/>
      <c r="M9046" s="13"/>
      <c r="N9046" s="13"/>
      <c r="O9046" s="13"/>
      <c r="P9046" s="13"/>
      <c r="Q9046" s="13"/>
      <c r="R9046" s="13"/>
    </row>
    <row r="9047" spans="8:18" x14ac:dyDescent="0.35">
      <c r="H9047" s="13"/>
      <c r="I9047" s="13"/>
      <c r="J9047" s="13"/>
      <c r="K9047" s="13"/>
      <c r="L9047" s="13"/>
      <c r="M9047" s="13"/>
      <c r="N9047" s="13"/>
      <c r="O9047" s="13"/>
      <c r="P9047" s="13"/>
      <c r="Q9047" s="13"/>
      <c r="R9047" s="13"/>
    </row>
    <row r="9048" spans="8:18" x14ac:dyDescent="0.35">
      <c r="H9048" s="13"/>
      <c r="I9048" s="13"/>
      <c r="J9048" s="13"/>
      <c r="K9048" s="13"/>
      <c r="L9048" s="13"/>
      <c r="M9048" s="13"/>
      <c r="N9048" s="13"/>
      <c r="O9048" s="13"/>
      <c r="P9048" s="13"/>
      <c r="Q9048" s="13"/>
      <c r="R9048" s="13"/>
    </row>
    <row r="9049" spans="8:18" x14ac:dyDescent="0.35">
      <c r="H9049" s="13"/>
      <c r="I9049" s="13"/>
      <c r="J9049" s="13"/>
      <c r="K9049" s="13"/>
      <c r="L9049" s="13"/>
      <c r="M9049" s="13"/>
      <c r="N9049" s="13"/>
      <c r="O9049" s="13"/>
      <c r="P9049" s="13"/>
      <c r="Q9049" s="13"/>
      <c r="R9049" s="13"/>
    </row>
    <row r="9050" spans="8:18" x14ac:dyDescent="0.35">
      <c r="H9050" s="13"/>
      <c r="I9050" s="13"/>
      <c r="J9050" s="13"/>
      <c r="K9050" s="13"/>
      <c r="L9050" s="13"/>
      <c r="M9050" s="13"/>
      <c r="N9050" s="13"/>
      <c r="O9050" s="13"/>
      <c r="P9050" s="13"/>
      <c r="Q9050" s="13"/>
      <c r="R9050" s="13"/>
    </row>
    <row r="9051" spans="8:18" x14ac:dyDescent="0.35">
      <c r="H9051" s="13"/>
      <c r="I9051" s="13"/>
      <c r="J9051" s="13"/>
      <c r="K9051" s="13"/>
      <c r="L9051" s="13"/>
      <c r="M9051" s="13"/>
      <c r="N9051" s="13"/>
      <c r="O9051" s="13"/>
      <c r="P9051" s="13"/>
      <c r="Q9051" s="13"/>
      <c r="R9051" s="13"/>
    </row>
    <row r="9052" spans="8:18" x14ac:dyDescent="0.35">
      <c r="H9052" s="13"/>
      <c r="I9052" s="13"/>
      <c r="J9052" s="13"/>
      <c r="K9052" s="13"/>
      <c r="L9052" s="13"/>
      <c r="M9052" s="13"/>
      <c r="N9052" s="13"/>
      <c r="O9052" s="13"/>
      <c r="P9052" s="13"/>
      <c r="Q9052" s="13"/>
      <c r="R9052" s="13"/>
    </row>
    <row r="9053" spans="8:18" x14ac:dyDescent="0.35">
      <c r="H9053" s="13"/>
      <c r="I9053" s="13"/>
      <c r="J9053" s="13"/>
      <c r="K9053" s="13"/>
      <c r="L9053" s="13"/>
      <c r="M9053" s="13"/>
      <c r="N9053" s="13"/>
      <c r="O9053" s="13"/>
      <c r="P9053" s="13"/>
      <c r="Q9053" s="13"/>
      <c r="R9053" s="13"/>
    </row>
    <row r="9054" spans="8:18" x14ac:dyDescent="0.35">
      <c r="H9054" s="13"/>
      <c r="I9054" s="13"/>
      <c r="J9054" s="13"/>
      <c r="K9054" s="13"/>
      <c r="L9054" s="13"/>
      <c r="M9054" s="13"/>
      <c r="N9054" s="13"/>
      <c r="O9054" s="13"/>
      <c r="P9054" s="13"/>
      <c r="Q9054" s="13"/>
      <c r="R9054" s="13"/>
    </row>
    <row r="9055" spans="8:18" x14ac:dyDescent="0.35">
      <c r="H9055" s="13"/>
      <c r="I9055" s="13"/>
      <c r="J9055" s="13"/>
      <c r="K9055" s="13"/>
      <c r="L9055" s="13"/>
      <c r="M9055" s="13"/>
      <c r="N9055" s="13"/>
      <c r="O9055" s="13"/>
      <c r="P9055" s="13"/>
      <c r="Q9055" s="13"/>
      <c r="R9055" s="13"/>
    </row>
    <row r="9056" spans="8:18" x14ac:dyDescent="0.35">
      <c r="H9056" s="13"/>
      <c r="I9056" s="13"/>
      <c r="J9056" s="13"/>
      <c r="K9056" s="13"/>
      <c r="L9056" s="13"/>
      <c r="M9056" s="13"/>
      <c r="N9056" s="13"/>
      <c r="O9056" s="13"/>
      <c r="P9056" s="13"/>
      <c r="Q9056" s="13"/>
      <c r="R9056" s="13"/>
    </row>
    <row r="9057" spans="8:18" x14ac:dyDescent="0.35">
      <c r="H9057" s="13"/>
      <c r="I9057" s="13"/>
      <c r="J9057" s="13"/>
      <c r="K9057" s="13"/>
      <c r="L9057" s="13"/>
      <c r="M9057" s="13"/>
      <c r="N9057" s="13"/>
      <c r="O9057" s="13"/>
      <c r="P9057" s="13"/>
      <c r="Q9057" s="13"/>
      <c r="R9057" s="13"/>
    </row>
    <row r="9058" spans="8:18" x14ac:dyDescent="0.35">
      <c r="H9058" s="13"/>
      <c r="I9058" s="13"/>
      <c r="J9058" s="13"/>
      <c r="K9058" s="13"/>
      <c r="L9058" s="13"/>
      <c r="M9058" s="13"/>
      <c r="N9058" s="13"/>
      <c r="O9058" s="13"/>
      <c r="P9058" s="13"/>
      <c r="Q9058" s="13"/>
      <c r="R9058" s="13"/>
    </row>
    <row r="9059" spans="8:18" x14ac:dyDescent="0.35">
      <c r="H9059" s="13"/>
      <c r="I9059" s="13"/>
      <c r="J9059" s="13"/>
      <c r="K9059" s="13"/>
      <c r="L9059" s="13"/>
      <c r="M9059" s="13"/>
      <c r="N9059" s="13"/>
      <c r="O9059" s="13"/>
      <c r="P9059" s="13"/>
      <c r="Q9059" s="13"/>
      <c r="R9059" s="13"/>
    </row>
    <row r="9060" spans="8:18" x14ac:dyDescent="0.35">
      <c r="H9060" s="13"/>
      <c r="I9060" s="13"/>
      <c r="J9060" s="13"/>
      <c r="K9060" s="13"/>
      <c r="L9060" s="13"/>
      <c r="M9060" s="13"/>
      <c r="N9060" s="13"/>
      <c r="O9060" s="13"/>
      <c r="P9060" s="13"/>
      <c r="Q9060" s="13"/>
      <c r="R9060" s="13"/>
    </row>
    <row r="9061" spans="8:18" x14ac:dyDescent="0.35">
      <c r="H9061" s="13"/>
      <c r="I9061" s="13"/>
      <c r="J9061" s="13"/>
      <c r="K9061" s="13"/>
      <c r="L9061" s="13"/>
      <c r="M9061" s="13"/>
      <c r="N9061" s="13"/>
      <c r="O9061" s="13"/>
      <c r="P9061" s="13"/>
      <c r="Q9061" s="13"/>
      <c r="R9061" s="13"/>
    </row>
    <row r="9062" spans="8:18" x14ac:dyDescent="0.35">
      <c r="H9062" s="13"/>
      <c r="I9062" s="13"/>
      <c r="J9062" s="13"/>
      <c r="K9062" s="13"/>
      <c r="L9062" s="13"/>
      <c r="M9062" s="13"/>
      <c r="N9062" s="13"/>
      <c r="O9062" s="13"/>
      <c r="P9062" s="13"/>
      <c r="Q9062" s="13"/>
      <c r="R9062" s="13"/>
    </row>
    <row r="9063" spans="8:18" x14ac:dyDescent="0.35">
      <c r="H9063" s="13"/>
      <c r="I9063" s="13"/>
      <c r="J9063" s="13"/>
      <c r="K9063" s="13"/>
      <c r="L9063" s="13"/>
      <c r="M9063" s="13"/>
      <c r="N9063" s="13"/>
      <c r="O9063" s="13"/>
      <c r="P9063" s="13"/>
      <c r="Q9063" s="13"/>
      <c r="R9063" s="13"/>
    </row>
    <row r="9064" spans="8:18" x14ac:dyDescent="0.35">
      <c r="H9064" s="13"/>
      <c r="I9064" s="13"/>
      <c r="J9064" s="13"/>
      <c r="K9064" s="13"/>
      <c r="L9064" s="13"/>
      <c r="M9064" s="13"/>
      <c r="N9064" s="13"/>
      <c r="O9064" s="13"/>
      <c r="P9064" s="13"/>
      <c r="Q9064" s="13"/>
      <c r="R9064" s="13"/>
    </row>
    <row r="9065" spans="8:18" x14ac:dyDescent="0.35">
      <c r="H9065" s="13"/>
      <c r="I9065" s="13"/>
      <c r="J9065" s="13"/>
      <c r="K9065" s="13"/>
      <c r="L9065" s="13"/>
      <c r="M9065" s="13"/>
      <c r="N9065" s="13"/>
      <c r="O9065" s="13"/>
      <c r="P9065" s="13"/>
      <c r="Q9065" s="13"/>
      <c r="R9065" s="13"/>
    </row>
    <row r="9066" spans="8:18" x14ac:dyDescent="0.35">
      <c r="H9066" s="13"/>
      <c r="I9066" s="13"/>
      <c r="J9066" s="13"/>
      <c r="K9066" s="13"/>
      <c r="L9066" s="13"/>
      <c r="M9066" s="13"/>
      <c r="N9066" s="13"/>
      <c r="O9066" s="13"/>
      <c r="P9066" s="13"/>
      <c r="Q9066" s="13"/>
      <c r="R9066" s="13"/>
    </row>
    <row r="9067" spans="8:18" x14ac:dyDescent="0.35">
      <c r="H9067" s="13"/>
      <c r="I9067" s="13"/>
      <c r="J9067" s="13"/>
      <c r="K9067" s="13"/>
      <c r="L9067" s="13"/>
      <c r="M9067" s="13"/>
      <c r="N9067" s="13"/>
      <c r="O9067" s="13"/>
      <c r="P9067" s="13"/>
      <c r="Q9067" s="13"/>
      <c r="R9067" s="13"/>
    </row>
    <row r="9068" spans="8:18" x14ac:dyDescent="0.35">
      <c r="H9068" s="13"/>
      <c r="I9068" s="13"/>
      <c r="J9068" s="13"/>
      <c r="K9068" s="13"/>
      <c r="L9068" s="13"/>
      <c r="M9068" s="13"/>
      <c r="N9068" s="13"/>
      <c r="O9068" s="13"/>
      <c r="P9068" s="13"/>
      <c r="Q9068" s="13"/>
      <c r="R9068" s="13"/>
    </row>
    <row r="9069" spans="8:18" x14ac:dyDescent="0.35">
      <c r="H9069" s="13"/>
      <c r="I9069" s="13"/>
      <c r="J9069" s="13"/>
      <c r="K9069" s="13"/>
      <c r="L9069" s="13"/>
      <c r="M9069" s="13"/>
      <c r="N9069" s="13"/>
      <c r="O9069" s="13"/>
      <c r="P9069" s="13"/>
      <c r="Q9069" s="13"/>
      <c r="R9069" s="13"/>
    </row>
    <row r="9070" spans="8:18" x14ac:dyDescent="0.35">
      <c r="H9070" s="13"/>
      <c r="I9070" s="13"/>
      <c r="J9070" s="13"/>
      <c r="K9070" s="13"/>
      <c r="L9070" s="13"/>
      <c r="M9070" s="13"/>
      <c r="N9070" s="13"/>
      <c r="O9070" s="13"/>
      <c r="P9070" s="13"/>
      <c r="Q9070" s="13"/>
      <c r="R9070" s="13"/>
    </row>
    <row r="9071" spans="8:18" x14ac:dyDescent="0.35">
      <c r="H9071" s="13"/>
      <c r="I9071" s="13"/>
      <c r="J9071" s="13"/>
      <c r="K9071" s="13"/>
      <c r="L9071" s="13"/>
      <c r="M9071" s="13"/>
      <c r="N9071" s="13"/>
      <c r="O9071" s="13"/>
      <c r="P9071" s="13"/>
      <c r="Q9071" s="13"/>
      <c r="R9071" s="13"/>
    </row>
    <row r="9072" spans="8:18" x14ac:dyDescent="0.35">
      <c r="H9072" s="13"/>
      <c r="I9072" s="13"/>
      <c r="J9072" s="13"/>
      <c r="K9072" s="13"/>
      <c r="L9072" s="13"/>
      <c r="M9072" s="13"/>
      <c r="N9072" s="13"/>
      <c r="O9072" s="13"/>
      <c r="P9072" s="13"/>
      <c r="Q9072" s="13"/>
      <c r="R9072" s="13"/>
    </row>
    <row r="9073" spans="8:18" x14ac:dyDescent="0.35">
      <c r="H9073" s="13"/>
      <c r="I9073" s="13"/>
      <c r="J9073" s="13"/>
      <c r="K9073" s="13"/>
      <c r="L9073" s="13"/>
      <c r="M9073" s="13"/>
      <c r="N9073" s="13"/>
      <c r="O9073" s="13"/>
      <c r="P9073" s="13"/>
      <c r="Q9073" s="13"/>
      <c r="R9073" s="13"/>
    </row>
    <row r="9074" spans="8:18" x14ac:dyDescent="0.35">
      <c r="H9074" s="13"/>
      <c r="I9074" s="13"/>
      <c r="J9074" s="13"/>
      <c r="K9074" s="13"/>
      <c r="L9074" s="13"/>
      <c r="M9074" s="13"/>
      <c r="N9074" s="13"/>
      <c r="O9074" s="13"/>
      <c r="P9074" s="13"/>
      <c r="Q9074" s="13"/>
      <c r="R9074" s="13"/>
    </row>
    <row r="9075" spans="8:18" x14ac:dyDescent="0.35">
      <c r="H9075" s="13"/>
      <c r="I9075" s="13"/>
      <c r="J9075" s="13"/>
      <c r="K9075" s="13"/>
      <c r="L9075" s="13"/>
      <c r="M9075" s="13"/>
      <c r="N9075" s="13"/>
      <c r="O9075" s="13"/>
      <c r="P9075" s="13"/>
      <c r="Q9075" s="13"/>
      <c r="R9075" s="13"/>
    </row>
    <row r="9076" spans="8:18" x14ac:dyDescent="0.35">
      <c r="H9076" s="13"/>
      <c r="I9076" s="13"/>
      <c r="J9076" s="13"/>
      <c r="K9076" s="13"/>
      <c r="L9076" s="13"/>
      <c r="M9076" s="13"/>
      <c r="N9076" s="13"/>
      <c r="O9076" s="13"/>
      <c r="P9076" s="13"/>
      <c r="Q9076" s="13"/>
      <c r="R9076" s="13"/>
    </row>
    <row r="9077" spans="8:18" x14ac:dyDescent="0.35">
      <c r="H9077" s="13"/>
      <c r="I9077" s="13"/>
      <c r="J9077" s="13"/>
      <c r="K9077" s="13"/>
      <c r="L9077" s="13"/>
      <c r="M9077" s="13"/>
      <c r="N9077" s="13"/>
      <c r="O9077" s="13"/>
      <c r="P9077" s="13"/>
      <c r="Q9077" s="13"/>
      <c r="R9077" s="13"/>
    </row>
    <row r="9078" spans="8:18" x14ac:dyDescent="0.35">
      <c r="H9078" s="13"/>
      <c r="I9078" s="13"/>
      <c r="J9078" s="13"/>
      <c r="K9078" s="13"/>
      <c r="L9078" s="13"/>
      <c r="M9078" s="13"/>
      <c r="N9078" s="13"/>
      <c r="O9078" s="13"/>
      <c r="P9078" s="13"/>
      <c r="Q9078" s="13"/>
      <c r="R9078" s="13"/>
    </row>
    <row r="9079" spans="8:18" x14ac:dyDescent="0.35">
      <c r="H9079" s="13"/>
      <c r="I9079" s="13"/>
      <c r="J9079" s="13"/>
      <c r="K9079" s="13"/>
      <c r="L9079" s="13"/>
      <c r="M9079" s="13"/>
      <c r="N9079" s="13"/>
      <c r="O9079" s="13"/>
      <c r="P9079" s="13"/>
      <c r="Q9079" s="13"/>
      <c r="R9079" s="13"/>
    </row>
    <row r="9080" spans="8:18" x14ac:dyDescent="0.35">
      <c r="H9080" s="13"/>
      <c r="I9080" s="13"/>
      <c r="J9080" s="13"/>
      <c r="K9080" s="13"/>
      <c r="L9080" s="13"/>
      <c r="M9080" s="13"/>
      <c r="N9080" s="13"/>
      <c r="O9080" s="13"/>
      <c r="P9080" s="13"/>
      <c r="Q9080" s="13"/>
      <c r="R9080" s="13"/>
    </row>
    <row r="9081" spans="8:18" x14ac:dyDescent="0.35">
      <c r="H9081" s="13"/>
      <c r="I9081" s="13"/>
      <c r="J9081" s="13"/>
      <c r="K9081" s="13"/>
      <c r="L9081" s="13"/>
      <c r="M9081" s="13"/>
      <c r="N9081" s="13"/>
      <c r="O9081" s="13"/>
      <c r="P9081" s="13"/>
      <c r="Q9081" s="13"/>
      <c r="R9081" s="13"/>
    </row>
    <row r="9082" spans="8:18" x14ac:dyDescent="0.35">
      <c r="H9082" s="13"/>
      <c r="I9082" s="13"/>
      <c r="J9082" s="13"/>
      <c r="K9082" s="13"/>
      <c r="L9082" s="13"/>
      <c r="M9082" s="13"/>
      <c r="N9082" s="13"/>
      <c r="O9082" s="13"/>
      <c r="P9082" s="13"/>
      <c r="Q9082" s="13"/>
      <c r="R9082" s="13"/>
    </row>
    <row r="9083" spans="8:18" x14ac:dyDescent="0.35">
      <c r="H9083" s="13"/>
      <c r="I9083" s="13"/>
      <c r="J9083" s="13"/>
      <c r="K9083" s="13"/>
      <c r="L9083" s="13"/>
      <c r="M9083" s="13"/>
      <c r="N9083" s="13"/>
      <c r="O9083" s="13"/>
      <c r="P9083" s="13"/>
      <c r="Q9083" s="13"/>
      <c r="R9083" s="13"/>
    </row>
    <row r="9084" spans="8:18" x14ac:dyDescent="0.35">
      <c r="H9084" s="13"/>
      <c r="I9084" s="13"/>
      <c r="J9084" s="13"/>
      <c r="K9084" s="13"/>
      <c r="L9084" s="13"/>
      <c r="M9084" s="13"/>
      <c r="N9084" s="13"/>
      <c r="O9084" s="13"/>
      <c r="P9084" s="13"/>
      <c r="Q9084" s="13"/>
      <c r="R9084" s="13"/>
    </row>
    <row r="9085" spans="8:18" x14ac:dyDescent="0.35">
      <c r="H9085" s="13"/>
      <c r="I9085" s="13"/>
      <c r="J9085" s="13"/>
      <c r="K9085" s="13"/>
      <c r="L9085" s="13"/>
      <c r="M9085" s="13"/>
      <c r="N9085" s="13"/>
      <c r="O9085" s="13"/>
      <c r="P9085" s="13"/>
      <c r="Q9085" s="13"/>
      <c r="R9085" s="13"/>
    </row>
    <row r="9086" spans="8:18" x14ac:dyDescent="0.35">
      <c r="H9086" s="13"/>
      <c r="I9086" s="13"/>
      <c r="J9086" s="13"/>
      <c r="K9086" s="13"/>
      <c r="L9086" s="13"/>
      <c r="M9086" s="13"/>
      <c r="N9086" s="13"/>
      <c r="O9086" s="13"/>
      <c r="P9086" s="13"/>
      <c r="Q9086" s="13"/>
      <c r="R9086" s="13"/>
    </row>
    <row r="9087" spans="8:18" x14ac:dyDescent="0.35">
      <c r="H9087" s="13"/>
      <c r="I9087" s="13"/>
      <c r="J9087" s="13"/>
      <c r="K9087" s="13"/>
      <c r="L9087" s="13"/>
      <c r="M9087" s="13"/>
      <c r="N9087" s="13"/>
      <c r="O9087" s="13"/>
      <c r="P9087" s="13"/>
      <c r="Q9087" s="13"/>
      <c r="R9087" s="13"/>
    </row>
    <row r="9088" spans="8:18" x14ac:dyDescent="0.35">
      <c r="H9088" s="13"/>
      <c r="I9088" s="13"/>
      <c r="J9088" s="13"/>
      <c r="K9088" s="13"/>
      <c r="L9088" s="13"/>
      <c r="M9088" s="13"/>
      <c r="N9088" s="13"/>
      <c r="O9088" s="13"/>
      <c r="P9088" s="13"/>
      <c r="Q9088" s="13"/>
      <c r="R9088" s="13"/>
    </row>
    <row r="9089" spans="8:18" x14ac:dyDescent="0.35">
      <c r="H9089" s="13"/>
      <c r="I9089" s="13"/>
      <c r="J9089" s="13"/>
      <c r="K9089" s="13"/>
      <c r="L9089" s="13"/>
      <c r="M9089" s="13"/>
      <c r="N9089" s="13"/>
      <c r="O9089" s="13"/>
      <c r="P9089" s="13"/>
      <c r="Q9089" s="13"/>
      <c r="R9089" s="13"/>
    </row>
    <row r="9090" spans="8:18" x14ac:dyDescent="0.35">
      <c r="H9090" s="13"/>
      <c r="I9090" s="13"/>
      <c r="J9090" s="13"/>
      <c r="K9090" s="13"/>
      <c r="L9090" s="13"/>
      <c r="M9090" s="13"/>
      <c r="N9090" s="13"/>
      <c r="O9090" s="13"/>
      <c r="P9090" s="13"/>
      <c r="Q9090" s="13"/>
      <c r="R9090" s="13"/>
    </row>
    <row r="9091" spans="8:18" x14ac:dyDescent="0.35">
      <c r="H9091" s="13"/>
      <c r="I9091" s="13"/>
      <c r="J9091" s="13"/>
      <c r="K9091" s="13"/>
      <c r="L9091" s="13"/>
      <c r="M9091" s="13"/>
      <c r="N9091" s="13"/>
      <c r="O9091" s="13"/>
      <c r="P9091" s="13"/>
      <c r="Q9091" s="13"/>
      <c r="R9091" s="13"/>
    </row>
    <row r="9092" spans="8:18" x14ac:dyDescent="0.35">
      <c r="H9092" s="13"/>
      <c r="I9092" s="13"/>
      <c r="J9092" s="13"/>
      <c r="K9092" s="13"/>
      <c r="L9092" s="13"/>
      <c r="M9092" s="13"/>
      <c r="N9092" s="13"/>
      <c r="O9092" s="13"/>
      <c r="P9092" s="13"/>
      <c r="Q9092" s="13"/>
      <c r="R9092" s="13"/>
    </row>
    <row r="9093" spans="8:18" x14ac:dyDescent="0.35">
      <c r="H9093" s="13"/>
      <c r="I9093" s="13"/>
      <c r="J9093" s="13"/>
      <c r="K9093" s="13"/>
      <c r="L9093" s="13"/>
      <c r="M9093" s="13"/>
      <c r="N9093" s="13"/>
      <c r="O9093" s="13"/>
      <c r="P9093" s="13"/>
      <c r="Q9093" s="13"/>
      <c r="R9093" s="13"/>
    </row>
    <row r="9094" spans="8:18" x14ac:dyDescent="0.35">
      <c r="H9094" s="13"/>
      <c r="I9094" s="13"/>
      <c r="J9094" s="13"/>
      <c r="K9094" s="13"/>
      <c r="L9094" s="13"/>
      <c r="M9094" s="13"/>
      <c r="N9094" s="13"/>
      <c r="O9094" s="13"/>
      <c r="P9094" s="13"/>
      <c r="Q9094" s="13"/>
      <c r="R9094" s="13"/>
    </row>
    <row r="9095" spans="8:18" x14ac:dyDescent="0.35">
      <c r="H9095" s="13"/>
      <c r="I9095" s="13"/>
      <c r="J9095" s="13"/>
      <c r="K9095" s="13"/>
      <c r="L9095" s="13"/>
      <c r="M9095" s="13"/>
      <c r="N9095" s="13"/>
      <c r="O9095" s="13"/>
      <c r="P9095" s="13"/>
      <c r="Q9095" s="13"/>
      <c r="R9095" s="13"/>
    </row>
    <row r="9096" spans="8:18" x14ac:dyDescent="0.35">
      <c r="H9096" s="13"/>
      <c r="I9096" s="13"/>
      <c r="J9096" s="13"/>
      <c r="K9096" s="13"/>
      <c r="L9096" s="13"/>
      <c r="M9096" s="13"/>
      <c r="N9096" s="13"/>
      <c r="O9096" s="13"/>
      <c r="P9096" s="13"/>
      <c r="Q9096" s="13"/>
      <c r="R9096" s="13"/>
    </row>
    <row r="9097" spans="8:18" x14ac:dyDescent="0.35">
      <c r="H9097" s="13"/>
      <c r="I9097" s="13"/>
      <c r="J9097" s="13"/>
      <c r="K9097" s="13"/>
      <c r="L9097" s="13"/>
      <c r="M9097" s="13"/>
      <c r="N9097" s="13"/>
      <c r="O9097" s="13"/>
      <c r="P9097" s="13"/>
      <c r="Q9097" s="13"/>
      <c r="R9097" s="13"/>
    </row>
    <row r="9098" spans="8:18" x14ac:dyDescent="0.35">
      <c r="H9098" s="13"/>
      <c r="I9098" s="13"/>
      <c r="J9098" s="13"/>
      <c r="K9098" s="13"/>
      <c r="L9098" s="13"/>
      <c r="M9098" s="13"/>
      <c r="N9098" s="13"/>
      <c r="O9098" s="13"/>
      <c r="P9098" s="13"/>
      <c r="Q9098" s="13"/>
      <c r="R9098" s="13"/>
    </row>
    <row r="9099" spans="8:18" x14ac:dyDescent="0.35">
      <c r="H9099" s="13"/>
      <c r="I9099" s="13"/>
      <c r="J9099" s="13"/>
      <c r="K9099" s="13"/>
      <c r="L9099" s="13"/>
      <c r="M9099" s="13"/>
      <c r="N9099" s="13"/>
      <c r="O9099" s="13"/>
      <c r="P9099" s="13"/>
      <c r="Q9099" s="13"/>
      <c r="R9099" s="13"/>
    </row>
    <row r="9100" spans="8:18" x14ac:dyDescent="0.35">
      <c r="H9100" s="13"/>
      <c r="I9100" s="13"/>
      <c r="J9100" s="13"/>
      <c r="K9100" s="13"/>
      <c r="L9100" s="13"/>
      <c r="M9100" s="13"/>
      <c r="N9100" s="13"/>
      <c r="O9100" s="13"/>
      <c r="P9100" s="13"/>
      <c r="Q9100" s="13"/>
      <c r="R9100" s="13"/>
    </row>
    <row r="9101" spans="8:18" x14ac:dyDescent="0.35">
      <c r="H9101" s="13"/>
      <c r="I9101" s="13"/>
      <c r="J9101" s="13"/>
      <c r="K9101" s="13"/>
      <c r="L9101" s="13"/>
      <c r="M9101" s="13"/>
      <c r="N9101" s="13"/>
      <c r="O9101" s="13"/>
      <c r="P9101" s="13"/>
      <c r="Q9101" s="13"/>
      <c r="R9101" s="13"/>
    </row>
    <row r="9102" spans="8:18" x14ac:dyDescent="0.35">
      <c r="H9102" s="13"/>
      <c r="I9102" s="13"/>
      <c r="J9102" s="13"/>
      <c r="K9102" s="13"/>
      <c r="L9102" s="13"/>
      <c r="M9102" s="13"/>
      <c r="N9102" s="13"/>
      <c r="O9102" s="13"/>
      <c r="P9102" s="13"/>
      <c r="Q9102" s="13"/>
      <c r="R9102" s="13"/>
    </row>
    <row r="9103" spans="8:18" x14ac:dyDescent="0.35">
      <c r="H9103" s="13"/>
      <c r="I9103" s="13"/>
      <c r="J9103" s="13"/>
      <c r="K9103" s="13"/>
      <c r="L9103" s="13"/>
      <c r="M9103" s="13"/>
      <c r="N9103" s="13"/>
      <c r="O9103" s="13"/>
      <c r="P9103" s="13"/>
      <c r="Q9103" s="13"/>
      <c r="R9103" s="13"/>
    </row>
    <row r="9104" spans="8:18" x14ac:dyDescent="0.35">
      <c r="H9104" s="13"/>
      <c r="I9104" s="13"/>
      <c r="J9104" s="13"/>
      <c r="K9104" s="13"/>
      <c r="L9104" s="13"/>
      <c r="M9104" s="13"/>
      <c r="N9104" s="13"/>
      <c r="O9104" s="13"/>
      <c r="P9104" s="13"/>
      <c r="Q9104" s="13"/>
      <c r="R9104" s="13"/>
    </row>
    <row r="9105" spans="8:18" x14ac:dyDescent="0.35">
      <c r="H9105" s="13"/>
      <c r="I9105" s="13"/>
      <c r="J9105" s="13"/>
      <c r="K9105" s="13"/>
      <c r="L9105" s="13"/>
      <c r="M9105" s="13"/>
      <c r="N9105" s="13"/>
      <c r="O9105" s="13"/>
      <c r="P9105" s="13"/>
      <c r="Q9105" s="13"/>
      <c r="R9105" s="13"/>
    </row>
    <row r="9106" spans="8:18" x14ac:dyDescent="0.35">
      <c r="H9106" s="13"/>
      <c r="I9106" s="13"/>
      <c r="J9106" s="13"/>
      <c r="K9106" s="13"/>
      <c r="L9106" s="13"/>
      <c r="M9106" s="13"/>
      <c r="N9106" s="13"/>
      <c r="O9106" s="13"/>
      <c r="P9106" s="13"/>
      <c r="Q9106" s="13"/>
      <c r="R9106" s="13"/>
    </row>
    <row r="9107" spans="8:18" x14ac:dyDescent="0.35">
      <c r="H9107" s="13"/>
      <c r="I9107" s="13"/>
      <c r="J9107" s="13"/>
      <c r="K9107" s="13"/>
      <c r="L9107" s="13"/>
      <c r="M9107" s="13"/>
      <c r="N9107" s="13"/>
      <c r="O9107" s="13"/>
      <c r="P9107" s="13"/>
      <c r="Q9107" s="13"/>
      <c r="R9107" s="13"/>
    </row>
    <row r="9108" spans="8:18" x14ac:dyDescent="0.35">
      <c r="H9108" s="13"/>
      <c r="I9108" s="13"/>
      <c r="J9108" s="13"/>
      <c r="K9108" s="13"/>
      <c r="L9108" s="13"/>
      <c r="M9108" s="13"/>
      <c r="N9108" s="13"/>
      <c r="O9108" s="13"/>
      <c r="P9108" s="13"/>
      <c r="Q9108" s="13"/>
      <c r="R9108" s="13"/>
    </row>
    <row r="9109" spans="8:18" x14ac:dyDescent="0.35">
      <c r="H9109" s="13"/>
      <c r="I9109" s="13"/>
      <c r="J9109" s="13"/>
      <c r="K9109" s="13"/>
      <c r="L9109" s="13"/>
      <c r="M9109" s="13"/>
      <c r="N9109" s="13"/>
      <c r="O9109" s="13"/>
      <c r="P9109" s="13"/>
      <c r="Q9109" s="13"/>
      <c r="R9109" s="13"/>
    </row>
    <row r="9110" spans="8:18" x14ac:dyDescent="0.35">
      <c r="H9110" s="13"/>
      <c r="I9110" s="13"/>
      <c r="J9110" s="13"/>
      <c r="K9110" s="13"/>
      <c r="L9110" s="13"/>
      <c r="M9110" s="13"/>
      <c r="N9110" s="13"/>
      <c r="O9110" s="13"/>
      <c r="P9110" s="13"/>
      <c r="Q9110" s="13"/>
      <c r="R9110" s="13"/>
    </row>
    <row r="9111" spans="8:18" x14ac:dyDescent="0.35">
      <c r="H9111" s="13"/>
      <c r="I9111" s="13"/>
      <c r="J9111" s="13"/>
      <c r="K9111" s="13"/>
      <c r="L9111" s="13"/>
      <c r="M9111" s="13"/>
      <c r="N9111" s="13"/>
      <c r="O9111" s="13"/>
      <c r="P9111" s="13"/>
      <c r="Q9111" s="13"/>
      <c r="R9111" s="13"/>
    </row>
    <row r="9112" spans="8:18" x14ac:dyDescent="0.35">
      <c r="H9112" s="13"/>
      <c r="I9112" s="13"/>
      <c r="J9112" s="13"/>
      <c r="K9112" s="13"/>
      <c r="L9112" s="13"/>
      <c r="M9112" s="13"/>
      <c r="N9112" s="13"/>
      <c r="O9112" s="13"/>
      <c r="P9112" s="13"/>
      <c r="Q9112" s="13"/>
      <c r="R9112" s="13"/>
    </row>
    <row r="9113" spans="8:18" x14ac:dyDescent="0.35">
      <c r="H9113" s="13"/>
      <c r="I9113" s="13"/>
      <c r="J9113" s="13"/>
      <c r="K9113" s="13"/>
      <c r="L9113" s="13"/>
      <c r="M9113" s="13"/>
      <c r="N9113" s="13"/>
      <c r="O9113" s="13"/>
      <c r="P9113" s="13"/>
      <c r="Q9113" s="13"/>
      <c r="R9113" s="13"/>
    </row>
    <row r="9114" spans="8:18" x14ac:dyDescent="0.35">
      <c r="H9114" s="13"/>
      <c r="I9114" s="13"/>
      <c r="J9114" s="13"/>
      <c r="K9114" s="13"/>
      <c r="L9114" s="13"/>
      <c r="M9114" s="13"/>
      <c r="N9114" s="13"/>
      <c r="O9114" s="13"/>
      <c r="P9114" s="13"/>
      <c r="Q9114" s="13"/>
      <c r="R9114" s="13"/>
    </row>
    <row r="9115" spans="8:18" x14ac:dyDescent="0.35">
      <c r="H9115" s="13"/>
      <c r="I9115" s="13"/>
      <c r="J9115" s="13"/>
      <c r="K9115" s="13"/>
      <c r="L9115" s="13"/>
      <c r="M9115" s="13"/>
      <c r="N9115" s="13"/>
      <c r="O9115" s="13"/>
      <c r="P9115" s="13"/>
      <c r="Q9115" s="13"/>
      <c r="R9115" s="13"/>
    </row>
    <row r="9116" spans="8:18" x14ac:dyDescent="0.35">
      <c r="H9116" s="13"/>
      <c r="I9116" s="13"/>
      <c r="J9116" s="13"/>
      <c r="K9116" s="13"/>
      <c r="L9116" s="13"/>
      <c r="M9116" s="13"/>
      <c r="N9116" s="13"/>
      <c r="O9116" s="13"/>
      <c r="P9116" s="13"/>
      <c r="Q9116" s="13"/>
      <c r="R9116" s="13"/>
    </row>
    <row r="9117" spans="8:18" x14ac:dyDescent="0.35">
      <c r="H9117" s="13"/>
      <c r="I9117" s="13"/>
      <c r="J9117" s="13"/>
      <c r="K9117" s="13"/>
      <c r="L9117" s="13"/>
      <c r="M9117" s="13"/>
      <c r="N9117" s="13"/>
      <c r="O9117" s="13"/>
      <c r="P9117" s="13"/>
      <c r="Q9117" s="13"/>
      <c r="R9117" s="13"/>
    </row>
    <row r="9118" spans="8:18" x14ac:dyDescent="0.35">
      <c r="H9118" s="13"/>
      <c r="I9118" s="13"/>
      <c r="J9118" s="13"/>
      <c r="K9118" s="13"/>
      <c r="L9118" s="13"/>
      <c r="M9118" s="13"/>
      <c r="N9118" s="13"/>
      <c r="O9118" s="13"/>
      <c r="P9118" s="13"/>
      <c r="Q9118" s="13"/>
      <c r="R9118" s="13"/>
    </row>
    <row r="9119" spans="8:18" x14ac:dyDescent="0.35">
      <c r="H9119" s="13"/>
      <c r="I9119" s="13"/>
      <c r="J9119" s="13"/>
      <c r="K9119" s="13"/>
      <c r="L9119" s="13"/>
      <c r="M9119" s="13"/>
      <c r="N9119" s="13"/>
      <c r="O9119" s="13"/>
      <c r="P9119" s="13"/>
      <c r="Q9119" s="13"/>
      <c r="R9119" s="13"/>
    </row>
    <row r="9120" spans="8:18" x14ac:dyDescent="0.35">
      <c r="H9120" s="13"/>
      <c r="I9120" s="13"/>
      <c r="J9120" s="13"/>
      <c r="K9120" s="13"/>
      <c r="L9120" s="13"/>
      <c r="M9120" s="13"/>
      <c r="N9120" s="13"/>
      <c r="O9120" s="13"/>
      <c r="P9120" s="13"/>
      <c r="Q9120" s="13"/>
      <c r="R9120" s="13"/>
    </row>
    <row r="9121" spans="8:18" x14ac:dyDescent="0.35">
      <c r="H9121" s="13"/>
      <c r="I9121" s="13"/>
      <c r="J9121" s="13"/>
      <c r="K9121" s="13"/>
      <c r="L9121" s="13"/>
      <c r="M9121" s="13"/>
      <c r="N9121" s="13"/>
      <c r="O9121" s="13"/>
      <c r="P9121" s="13"/>
      <c r="Q9121" s="13"/>
      <c r="R9121" s="13"/>
    </row>
    <row r="9122" spans="8:18" x14ac:dyDescent="0.35">
      <c r="H9122" s="13"/>
      <c r="I9122" s="13"/>
      <c r="J9122" s="13"/>
      <c r="K9122" s="13"/>
      <c r="L9122" s="13"/>
      <c r="M9122" s="13"/>
      <c r="N9122" s="13"/>
      <c r="O9122" s="13"/>
      <c r="P9122" s="13"/>
      <c r="Q9122" s="13"/>
      <c r="R9122" s="13"/>
    </row>
    <row r="9123" spans="8:18" x14ac:dyDescent="0.35">
      <c r="H9123" s="13"/>
      <c r="I9123" s="13"/>
      <c r="J9123" s="13"/>
      <c r="K9123" s="13"/>
      <c r="L9123" s="13"/>
      <c r="M9123" s="13"/>
      <c r="N9123" s="13"/>
      <c r="O9123" s="13"/>
      <c r="P9123" s="13"/>
      <c r="Q9123" s="13"/>
      <c r="R9123" s="13"/>
    </row>
    <row r="9124" spans="8:18" x14ac:dyDescent="0.35">
      <c r="H9124" s="13"/>
      <c r="I9124" s="13"/>
      <c r="J9124" s="13"/>
      <c r="K9124" s="13"/>
      <c r="L9124" s="13"/>
      <c r="M9124" s="13"/>
      <c r="N9124" s="13"/>
      <c r="O9124" s="13"/>
      <c r="P9124" s="13"/>
      <c r="Q9124" s="13"/>
      <c r="R9124" s="13"/>
    </row>
    <row r="9125" spans="8:18" x14ac:dyDescent="0.35">
      <c r="H9125" s="13"/>
      <c r="I9125" s="13"/>
      <c r="J9125" s="13"/>
      <c r="K9125" s="13"/>
      <c r="L9125" s="13"/>
      <c r="M9125" s="13"/>
      <c r="N9125" s="13"/>
      <c r="O9125" s="13"/>
      <c r="P9125" s="13"/>
      <c r="Q9125" s="13"/>
      <c r="R9125" s="13"/>
    </row>
    <row r="9126" spans="8:18" x14ac:dyDescent="0.35">
      <c r="H9126" s="13"/>
      <c r="I9126" s="13"/>
      <c r="J9126" s="13"/>
      <c r="K9126" s="13"/>
      <c r="L9126" s="13"/>
      <c r="M9126" s="13"/>
      <c r="N9126" s="13"/>
      <c r="O9126" s="13"/>
      <c r="P9126" s="13"/>
      <c r="Q9126" s="13"/>
      <c r="R9126" s="13"/>
    </row>
    <row r="9127" spans="8:18" x14ac:dyDescent="0.35">
      <c r="H9127" s="13"/>
      <c r="I9127" s="13"/>
      <c r="J9127" s="13"/>
      <c r="K9127" s="13"/>
      <c r="L9127" s="13"/>
      <c r="M9127" s="13"/>
      <c r="N9127" s="13"/>
      <c r="O9127" s="13"/>
      <c r="P9127" s="13"/>
      <c r="Q9127" s="13"/>
      <c r="R9127" s="13"/>
    </row>
    <row r="9128" spans="8:18" x14ac:dyDescent="0.35">
      <c r="H9128" s="13"/>
      <c r="I9128" s="13"/>
      <c r="J9128" s="13"/>
      <c r="K9128" s="13"/>
      <c r="L9128" s="13"/>
      <c r="M9128" s="13"/>
      <c r="N9128" s="13"/>
      <c r="O9128" s="13"/>
      <c r="P9128" s="13"/>
      <c r="Q9128" s="13"/>
      <c r="R9128" s="13"/>
    </row>
    <row r="9129" spans="8:18" x14ac:dyDescent="0.35">
      <c r="H9129" s="13"/>
      <c r="I9129" s="13"/>
      <c r="J9129" s="13"/>
      <c r="K9129" s="13"/>
      <c r="L9129" s="13"/>
      <c r="M9129" s="13"/>
      <c r="N9129" s="13"/>
      <c r="O9129" s="13"/>
      <c r="P9129" s="13"/>
      <c r="Q9129" s="13"/>
      <c r="R9129" s="13"/>
    </row>
    <row r="9130" spans="8:18" x14ac:dyDescent="0.35">
      <c r="H9130" s="13"/>
      <c r="I9130" s="13"/>
      <c r="J9130" s="13"/>
      <c r="K9130" s="13"/>
      <c r="L9130" s="13"/>
      <c r="M9130" s="13"/>
      <c r="N9130" s="13"/>
      <c r="O9130" s="13"/>
      <c r="P9130" s="13"/>
      <c r="Q9130" s="13"/>
      <c r="R9130" s="13"/>
    </row>
    <row r="9131" spans="8:18" x14ac:dyDescent="0.35">
      <c r="H9131" s="13"/>
      <c r="I9131" s="13"/>
      <c r="J9131" s="13"/>
      <c r="K9131" s="13"/>
      <c r="L9131" s="13"/>
      <c r="M9131" s="13"/>
      <c r="N9131" s="13"/>
      <c r="O9131" s="13"/>
      <c r="P9131" s="13"/>
      <c r="Q9131" s="13"/>
      <c r="R9131" s="13"/>
    </row>
    <row r="9132" spans="8:18" x14ac:dyDescent="0.35">
      <c r="H9132" s="13"/>
      <c r="I9132" s="13"/>
      <c r="J9132" s="13"/>
      <c r="K9132" s="13"/>
      <c r="L9132" s="13"/>
      <c r="M9132" s="13"/>
      <c r="N9132" s="13"/>
      <c r="O9132" s="13"/>
      <c r="P9132" s="13"/>
      <c r="Q9132" s="13"/>
      <c r="R9132" s="13"/>
    </row>
    <row r="9133" spans="8:18" x14ac:dyDescent="0.35">
      <c r="H9133" s="13"/>
      <c r="I9133" s="13"/>
      <c r="J9133" s="13"/>
      <c r="K9133" s="13"/>
      <c r="L9133" s="13"/>
      <c r="M9133" s="13"/>
      <c r="N9133" s="13"/>
      <c r="O9133" s="13"/>
      <c r="P9133" s="13"/>
      <c r="Q9133" s="13"/>
      <c r="R9133" s="13"/>
    </row>
    <row r="9134" spans="8:18" x14ac:dyDescent="0.35">
      <c r="H9134" s="13"/>
      <c r="I9134" s="13"/>
      <c r="J9134" s="13"/>
      <c r="K9134" s="13"/>
      <c r="L9134" s="13"/>
      <c r="M9134" s="13"/>
      <c r="N9134" s="13"/>
      <c r="O9134" s="13"/>
      <c r="P9134" s="13"/>
      <c r="Q9134" s="13"/>
      <c r="R9134" s="13"/>
    </row>
    <row r="9135" spans="8:18" x14ac:dyDescent="0.35">
      <c r="H9135" s="13"/>
      <c r="I9135" s="13"/>
      <c r="J9135" s="13"/>
      <c r="K9135" s="13"/>
      <c r="L9135" s="13"/>
      <c r="M9135" s="13"/>
      <c r="N9135" s="13"/>
      <c r="O9135" s="13"/>
      <c r="P9135" s="13"/>
      <c r="Q9135" s="13"/>
      <c r="R9135" s="13"/>
    </row>
    <row r="9136" spans="8:18" x14ac:dyDescent="0.35">
      <c r="H9136" s="13"/>
      <c r="I9136" s="13"/>
      <c r="J9136" s="13"/>
      <c r="K9136" s="13"/>
      <c r="L9136" s="13"/>
      <c r="M9136" s="13"/>
      <c r="N9136" s="13"/>
      <c r="O9136" s="13"/>
      <c r="P9136" s="13"/>
      <c r="Q9136" s="13"/>
      <c r="R9136" s="13"/>
    </row>
    <row r="9137" spans="8:18" x14ac:dyDescent="0.35">
      <c r="H9137" s="13"/>
      <c r="I9137" s="13"/>
      <c r="J9137" s="13"/>
      <c r="K9137" s="13"/>
      <c r="L9137" s="13"/>
      <c r="M9137" s="13"/>
      <c r="N9137" s="13"/>
      <c r="O9137" s="13"/>
      <c r="P9137" s="13"/>
      <c r="Q9137" s="13"/>
      <c r="R9137" s="13"/>
    </row>
    <row r="9138" spans="8:18" x14ac:dyDescent="0.35">
      <c r="H9138" s="13"/>
      <c r="I9138" s="13"/>
      <c r="J9138" s="13"/>
      <c r="K9138" s="13"/>
      <c r="L9138" s="13"/>
      <c r="M9138" s="13"/>
      <c r="N9138" s="13"/>
      <c r="O9138" s="13"/>
      <c r="P9138" s="13"/>
      <c r="Q9138" s="13"/>
      <c r="R9138" s="13"/>
    </row>
    <row r="9139" spans="8:18" x14ac:dyDescent="0.35">
      <c r="H9139" s="13"/>
      <c r="I9139" s="13"/>
      <c r="J9139" s="13"/>
      <c r="K9139" s="13"/>
      <c r="L9139" s="13"/>
      <c r="M9139" s="13"/>
      <c r="N9139" s="13"/>
      <c r="O9139" s="13"/>
      <c r="P9139" s="13"/>
      <c r="Q9139" s="13"/>
      <c r="R9139" s="13"/>
    </row>
    <row r="9140" spans="8:18" x14ac:dyDescent="0.35">
      <c r="H9140" s="13"/>
      <c r="I9140" s="13"/>
      <c r="J9140" s="13"/>
      <c r="K9140" s="13"/>
      <c r="L9140" s="13"/>
      <c r="M9140" s="13"/>
      <c r="N9140" s="13"/>
      <c r="O9140" s="13"/>
      <c r="P9140" s="13"/>
      <c r="Q9140" s="13"/>
      <c r="R9140" s="13"/>
    </row>
    <row r="9141" spans="8:18" x14ac:dyDescent="0.35">
      <c r="H9141" s="13"/>
      <c r="I9141" s="13"/>
      <c r="J9141" s="13"/>
      <c r="K9141" s="13"/>
      <c r="L9141" s="13"/>
      <c r="M9141" s="13"/>
      <c r="N9141" s="13"/>
      <c r="O9141" s="13"/>
      <c r="P9141" s="13"/>
      <c r="Q9141" s="13"/>
      <c r="R9141" s="13"/>
    </row>
    <row r="9142" spans="8:18" x14ac:dyDescent="0.35">
      <c r="H9142" s="13"/>
      <c r="I9142" s="13"/>
      <c r="J9142" s="13"/>
      <c r="K9142" s="13"/>
      <c r="L9142" s="13"/>
      <c r="M9142" s="13"/>
      <c r="N9142" s="13"/>
      <c r="O9142" s="13"/>
      <c r="P9142" s="13"/>
      <c r="Q9142" s="13"/>
      <c r="R9142" s="13"/>
    </row>
    <row r="9143" spans="8:18" x14ac:dyDescent="0.35">
      <c r="H9143" s="13"/>
      <c r="I9143" s="13"/>
      <c r="J9143" s="13"/>
      <c r="K9143" s="13"/>
      <c r="L9143" s="13"/>
      <c r="M9143" s="13"/>
      <c r="N9143" s="13"/>
      <c r="O9143" s="13"/>
      <c r="P9143" s="13"/>
      <c r="Q9143" s="13"/>
      <c r="R9143" s="13"/>
    </row>
    <row r="9144" spans="8:18" x14ac:dyDescent="0.35">
      <c r="H9144" s="13"/>
      <c r="I9144" s="13"/>
      <c r="J9144" s="13"/>
      <c r="K9144" s="13"/>
      <c r="L9144" s="13"/>
      <c r="M9144" s="13"/>
      <c r="N9144" s="13"/>
      <c r="O9144" s="13"/>
      <c r="P9144" s="13"/>
      <c r="Q9144" s="13"/>
      <c r="R9144" s="13"/>
    </row>
    <row r="9145" spans="8:18" x14ac:dyDescent="0.35">
      <c r="H9145" s="13"/>
      <c r="I9145" s="13"/>
      <c r="J9145" s="13"/>
      <c r="K9145" s="13"/>
      <c r="L9145" s="13"/>
      <c r="M9145" s="13"/>
      <c r="N9145" s="13"/>
      <c r="O9145" s="13"/>
      <c r="P9145" s="13"/>
      <c r="Q9145" s="13"/>
      <c r="R9145" s="13"/>
    </row>
    <row r="9146" spans="8:18" x14ac:dyDescent="0.35">
      <c r="H9146" s="13"/>
      <c r="I9146" s="13"/>
      <c r="J9146" s="13"/>
      <c r="K9146" s="13"/>
      <c r="L9146" s="13"/>
      <c r="M9146" s="13"/>
      <c r="N9146" s="13"/>
      <c r="O9146" s="13"/>
      <c r="P9146" s="13"/>
      <c r="Q9146" s="13"/>
      <c r="R9146" s="13"/>
    </row>
    <row r="9147" spans="8:18" x14ac:dyDescent="0.35">
      <c r="H9147" s="13"/>
      <c r="I9147" s="13"/>
      <c r="J9147" s="13"/>
      <c r="K9147" s="13"/>
      <c r="L9147" s="13"/>
      <c r="M9147" s="13"/>
      <c r="N9147" s="13"/>
      <c r="O9147" s="13"/>
      <c r="P9147" s="13"/>
      <c r="Q9147" s="13"/>
      <c r="R9147" s="13"/>
    </row>
    <row r="9148" spans="8:18" x14ac:dyDescent="0.35">
      <c r="H9148" s="13"/>
      <c r="I9148" s="13"/>
      <c r="J9148" s="13"/>
      <c r="K9148" s="13"/>
      <c r="L9148" s="13"/>
      <c r="M9148" s="13"/>
      <c r="N9148" s="13"/>
      <c r="O9148" s="13"/>
      <c r="P9148" s="13"/>
      <c r="Q9148" s="13"/>
      <c r="R9148" s="13"/>
    </row>
    <row r="9149" spans="8:18" x14ac:dyDescent="0.35">
      <c r="H9149" s="13"/>
      <c r="I9149" s="13"/>
      <c r="J9149" s="13"/>
      <c r="K9149" s="13"/>
      <c r="L9149" s="13"/>
      <c r="M9149" s="13"/>
      <c r="N9149" s="13"/>
      <c r="O9149" s="13"/>
      <c r="P9149" s="13"/>
      <c r="Q9149" s="13"/>
      <c r="R9149" s="13"/>
    </row>
    <row r="9150" spans="8:18" x14ac:dyDescent="0.35">
      <c r="H9150" s="13"/>
      <c r="I9150" s="13"/>
      <c r="J9150" s="13"/>
      <c r="K9150" s="13"/>
      <c r="L9150" s="13"/>
      <c r="M9150" s="13"/>
      <c r="N9150" s="13"/>
      <c r="O9150" s="13"/>
      <c r="P9150" s="13"/>
      <c r="Q9150" s="13"/>
      <c r="R9150" s="13"/>
    </row>
    <row r="9151" spans="8:18" x14ac:dyDescent="0.35">
      <c r="H9151" s="13"/>
      <c r="I9151" s="13"/>
      <c r="J9151" s="13"/>
      <c r="K9151" s="13"/>
      <c r="L9151" s="13"/>
      <c r="M9151" s="13"/>
      <c r="N9151" s="13"/>
      <c r="O9151" s="13"/>
      <c r="P9151" s="13"/>
      <c r="Q9151" s="13"/>
      <c r="R9151" s="13"/>
    </row>
    <row r="9152" spans="8:18" x14ac:dyDescent="0.35">
      <c r="H9152" s="13"/>
      <c r="I9152" s="13"/>
      <c r="J9152" s="13"/>
      <c r="K9152" s="13"/>
      <c r="L9152" s="13"/>
      <c r="M9152" s="13"/>
      <c r="N9152" s="13"/>
      <c r="O9152" s="13"/>
      <c r="P9152" s="13"/>
      <c r="Q9152" s="13"/>
      <c r="R9152" s="13"/>
    </row>
    <row r="9153" spans="8:18" x14ac:dyDescent="0.35">
      <c r="H9153" s="13"/>
      <c r="I9153" s="13"/>
      <c r="J9153" s="13"/>
      <c r="K9153" s="13"/>
      <c r="L9153" s="13"/>
      <c r="M9153" s="13"/>
      <c r="N9153" s="13"/>
      <c r="O9153" s="13"/>
      <c r="P9153" s="13"/>
      <c r="Q9153" s="13"/>
      <c r="R9153" s="13"/>
    </row>
    <row r="9154" spans="8:18" x14ac:dyDescent="0.35">
      <c r="H9154" s="13"/>
      <c r="I9154" s="13"/>
      <c r="J9154" s="13"/>
      <c r="K9154" s="13"/>
      <c r="L9154" s="13"/>
      <c r="M9154" s="13"/>
      <c r="N9154" s="13"/>
      <c r="O9154" s="13"/>
      <c r="P9154" s="13"/>
      <c r="Q9154" s="13"/>
      <c r="R9154" s="13"/>
    </row>
    <row r="9155" spans="8:18" x14ac:dyDescent="0.35">
      <c r="H9155" s="13"/>
      <c r="I9155" s="13"/>
      <c r="J9155" s="13"/>
      <c r="K9155" s="13"/>
      <c r="L9155" s="13"/>
      <c r="M9155" s="13"/>
      <c r="N9155" s="13"/>
      <c r="O9155" s="13"/>
      <c r="P9155" s="13"/>
      <c r="Q9155" s="13"/>
      <c r="R9155" s="13"/>
    </row>
    <row r="9156" spans="8:18" x14ac:dyDescent="0.35">
      <c r="H9156" s="13"/>
      <c r="I9156" s="13"/>
      <c r="J9156" s="13"/>
      <c r="K9156" s="13"/>
      <c r="L9156" s="13"/>
      <c r="M9156" s="13"/>
      <c r="N9156" s="13"/>
      <c r="O9156" s="13"/>
      <c r="P9156" s="13"/>
      <c r="Q9156" s="13"/>
      <c r="R9156" s="13"/>
    </row>
    <row r="9157" spans="8:18" x14ac:dyDescent="0.35">
      <c r="H9157" s="13"/>
      <c r="I9157" s="13"/>
      <c r="J9157" s="13"/>
      <c r="K9157" s="13"/>
      <c r="L9157" s="13"/>
      <c r="M9157" s="13"/>
      <c r="N9157" s="13"/>
      <c r="O9157" s="13"/>
      <c r="P9157" s="13"/>
      <c r="Q9157" s="13"/>
      <c r="R9157" s="13"/>
    </row>
    <row r="9158" spans="8:18" x14ac:dyDescent="0.35">
      <c r="H9158" s="13"/>
      <c r="I9158" s="13"/>
      <c r="J9158" s="13"/>
      <c r="K9158" s="13"/>
      <c r="L9158" s="13"/>
      <c r="M9158" s="13"/>
      <c r="N9158" s="13"/>
      <c r="O9158" s="13"/>
      <c r="P9158" s="13"/>
      <c r="Q9158" s="13"/>
      <c r="R9158" s="13"/>
    </row>
    <row r="9159" spans="8:18" x14ac:dyDescent="0.35">
      <c r="H9159" s="13"/>
      <c r="I9159" s="13"/>
      <c r="J9159" s="13"/>
      <c r="K9159" s="13"/>
      <c r="L9159" s="13"/>
      <c r="M9159" s="13"/>
      <c r="N9159" s="13"/>
      <c r="O9159" s="13"/>
      <c r="P9159" s="13"/>
      <c r="Q9159" s="13"/>
      <c r="R9159" s="13"/>
    </row>
    <row r="9160" spans="8:18" x14ac:dyDescent="0.35">
      <c r="H9160" s="13"/>
      <c r="I9160" s="13"/>
      <c r="J9160" s="13"/>
      <c r="K9160" s="13"/>
      <c r="L9160" s="13"/>
      <c r="M9160" s="13"/>
      <c r="N9160" s="13"/>
      <c r="O9160" s="13"/>
      <c r="P9160" s="13"/>
      <c r="Q9160" s="13"/>
      <c r="R9160" s="13"/>
    </row>
    <row r="9161" spans="8:18" x14ac:dyDescent="0.35">
      <c r="H9161" s="13"/>
      <c r="I9161" s="13"/>
      <c r="J9161" s="13"/>
      <c r="K9161" s="13"/>
      <c r="L9161" s="13"/>
      <c r="M9161" s="13"/>
      <c r="N9161" s="13"/>
      <c r="O9161" s="13"/>
      <c r="P9161" s="13"/>
      <c r="Q9161" s="13"/>
      <c r="R9161" s="13"/>
    </row>
    <row r="9162" spans="8:18" x14ac:dyDescent="0.35">
      <c r="H9162" s="13"/>
      <c r="I9162" s="13"/>
      <c r="J9162" s="13"/>
      <c r="K9162" s="13"/>
      <c r="L9162" s="13"/>
      <c r="M9162" s="13"/>
      <c r="N9162" s="13"/>
      <c r="O9162" s="13"/>
      <c r="P9162" s="13"/>
      <c r="Q9162" s="13"/>
      <c r="R9162" s="13"/>
    </row>
    <row r="9163" spans="8:18" x14ac:dyDescent="0.35">
      <c r="H9163" s="13"/>
      <c r="I9163" s="13"/>
      <c r="J9163" s="13"/>
      <c r="K9163" s="13"/>
      <c r="L9163" s="13"/>
      <c r="M9163" s="13"/>
      <c r="N9163" s="13"/>
      <c r="O9163" s="13"/>
      <c r="P9163" s="13"/>
      <c r="Q9163" s="13"/>
      <c r="R9163" s="13"/>
    </row>
    <row r="9164" spans="8:18" x14ac:dyDescent="0.35">
      <c r="H9164" s="13"/>
      <c r="I9164" s="13"/>
      <c r="J9164" s="13"/>
      <c r="K9164" s="13"/>
      <c r="L9164" s="13"/>
      <c r="M9164" s="13"/>
      <c r="N9164" s="13"/>
      <c r="O9164" s="13"/>
      <c r="P9164" s="13"/>
      <c r="Q9164" s="13"/>
      <c r="R9164" s="13"/>
    </row>
    <row r="9165" spans="8:18" x14ac:dyDescent="0.35">
      <c r="H9165" s="13"/>
      <c r="I9165" s="13"/>
      <c r="J9165" s="13"/>
      <c r="K9165" s="13"/>
      <c r="L9165" s="13"/>
      <c r="M9165" s="13"/>
      <c r="N9165" s="13"/>
      <c r="O9165" s="13"/>
      <c r="P9165" s="13"/>
      <c r="Q9165" s="13"/>
      <c r="R9165" s="13"/>
    </row>
    <row r="9166" spans="8:18" x14ac:dyDescent="0.35">
      <c r="H9166" s="13"/>
      <c r="I9166" s="13"/>
      <c r="J9166" s="13"/>
      <c r="K9166" s="13"/>
      <c r="L9166" s="13"/>
      <c r="M9166" s="13"/>
      <c r="N9166" s="13"/>
      <c r="O9166" s="13"/>
      <c r="P9166" s="13"/>
      <c r="Q9166" s="13"/>
      <c r="R9166" s="13"/>
    </row>
    <row r="9167" spans="8:18" x14ac:dyDescent="0.35">
      <c r="H9167" s="13"/>
      <c r="I9167" s="13"/>
      <c r="J9167" s="13"/>
      <c r="K9167" s="13"/>
      <c r="L9167" s="13"/>
      <c r="M9167" s="13"/>
      <c r="N9167" s="13"/>
      <c r="O9167" s="13"/>
      <c r="P9167" s="13"/>
      <c r="Q9167" s="13"/>
      <c r="R9167" s="13"/>
    </row>
    <row r="9168" spans="8:18" x14ac:dyDescent="0.35">
      <c r="H9168" s="13"/>
      <c r="I9168" s="13"/>
      <c r="J9168" s="13"/>
      <c r="K9168" s="13"/>
      <c r="L9168" s="13"/>
      <c r="M9168" s="13"/>
      <c r="N9168" s="13"/>
      <c r="O9168" s="13"/>
      <c r="P9168" s="13"/>
      <c r="Q9168" s="13"/>
      <c r="R9168" s="13"/>
    </row>
    <row r="9169" spans="8:18" x14ac:dyDescent="0.35">
      <c r="H9169" s="13"/>
      <c r="I9169" s="13"/>
      <c r="J9169" s="13"/>
      <c r="K9169" s="13"/>
      <c r="L9169" s="13"/>
      <c r="M9169" s="13"/>
      <c r="N9169" s="13"/>
      <c r="O9169" s="13"/>
      <c r="P9169" s="13"/>
      <c r="Q9169" s="13"/>
      <c r="R9169" s="13"/>
    </row>
    <row r="9170" spans="8:18" x14ac:dyDescent="0.35">
      <c r="H9170" s="13"/>
      <c r="I9170" s="13"/>
      <c r="J9170" s="13"/>
      <c r="K9170" s="13"/>
      <c r="L9170" s="13"/>
      <c r="M9170" s="13"/>
      <c r="N9170" s="13"/>
      <c r="O9170" s="13"/>
      <c r="P9170" s="13"/>
      <c r="Q9170" s="13"/>
      <c r="R9170" s="13"/>
    </row>
    <row r="9171" spans="8:18" x14ac:dyDescent="0.35">
      <c r="H9171" s="13"/>
      <c r="I9171" s="13"/>
      <c r="J9171" s="13"/>
      <c r="K9171" s="13"/>
      <c r="L9171" s="13"/>
      <c r="M9171" s="13"/>
      <c r="N9171" s="13"/>
      <c r="O9171" s="13"/>
      <c r="P9171" s="13"/>
      <c r="Q9171" s="13"/>
      <c r="R9171" s="13"/>
    </row>
    <row r="9172" spans="8:18" x14ac:dyDescent="0.35">
      <c r="H9172" s="13"/>
      <c r="I9172" s="13"/>
      <c r="J9172" s="13"/>
      <c r="K9172" s="13"/>
      <c r="L9172" s="13"/>
      <c r="M9172" s="13"/>
      <c r="N9172" s="13"/>
      <c r="O9172" s="13"/>
      <c r="P9172" s="13"/>
      <c r="Q9172" s="13"/>
      <c r="R9172" s="13"/>
    </row>
    <row r="9173" spans="8:18" x14ac:dyDescent="0.35">
      <c r="H9173" s="13"/>
      <c r="I9173" s="13"/>
      <c r="J9173" s="13"/>
      <c r="K9173" s="13"/>
      <c r="L9173" s="13"/>
      <c r="M9173" s="13"/>
      <c r="N9173" s="13"/>
      <c r="O9173" s="13"/>
      <c r="P9173" s="13"/>
      <c r="Q9173" s="13"/>
      <c r="R9173" s="13"/>
    </row>
    <row r="9174" spans="8:18" x14ac:dyDescent="0.35">
      <c r="H9174" s="13"/>
      <c r="I9174" s="13"/>
      <c r="J9174" s="13"/>
      <c r="K9174" s="13"/>
      <c r="L9174" s="13"/>
      <c r="M9174" s="13"/>
      <c r="N9174" s="13"/>
      <c r="O9174" s="13"/>
      <c r="P9174" s="13"/>
      <c r="Q9174" s="13"/>
      <c r="R9174" s="13"/>
    </row>
    <row r="9175" spans="8:18" x14ac:dyDescent="0.35">
      <c r="H9175" s="13"/>
      <c r="I9175" s="13"/>
      <c r="J9175" s="13"/>
      <c r="K9175" s="13"/>
      <c r="L9175" s="13"/>
      <c r="M9175" s="13"/>
      <c r="N9175" s="13"/>
      <c r="O9175" s="13"/>
      <c r="P9175" s="13"/>
      <c r="Q9175" s="13"/>
      <c r="R9175" s="13"/>
    </row>
    <row r="9176" spans="8:18" x14ac:dyDescent="0.35">
      <c r="H9176" s="13"/>
      <c r="I9176" s="13"/>
      <c r="J9176" s="13"/>
      <c r="K9176" s="13"/>
      <c r="L9176" s="13"/>
      <c r="M9176" s="13"/>
      <c r="N9176" s="13"/>
      <c r="O9176" s="13"/>
      <c r="P9176" s="13"/>
      <c r="Q9176" s="13"/>
      <c r="R9176" s="13"/>
    </row>
    <row r="9177" spans="8:18" x14ac:dyDescent="0.35">
      <c r="H9177" s="13"/>
      <c r="I9177" s="13"/>
      <c r="J9177" s="13"/>
      <c r="K9177" s="13"/>
      <c r="L9177" s="13"/>
      <c r="M9177" s="13"/>
      <c r="N9177" s="13"/>
      <c r="O9177" s="13"/>
      <c r="P9177" s="13"/>
      <c r="Q9177" s="13"/>
      <c r="R9177" s="13"/>
    </row>
    <row r="9178" spans="8:18" x14ac:dyDescent="0.35">
      <c r="H9178" s="13"/>
      <c r="I9178" s="13"/>
      <c r="J9178" s="13"/>
      <c r="K9178" s="13"/>
      <c r="L9178" s="13"/>
      <c r="M9178" s="13"/>
      <c r="N9178" s="13"/>
      <c r="O9178" s="13"/>
      <c r="P9178" s="13"/>
      <c r="Q9178" s="13"/>
      <c r="R9178" s="13"/>
    </row>
    <row r="9179" spans="8:18" x14ac:dyDescent="0.35">
      <c r="H9179" s="13"/>
      <c r="I9179" s="13"/>
      <c r="J9179" s="13"/>
      <c r="K9179" s="13"/>
      <c r="L9179" s="13"/>
      <c r="M9179" s="13"/>
      <c r="N9179" s="13"/>
      <c r="O9179" s="13"/>
      <c r="P9179" s="13"/>
      <c r="Q9179" s="13"/>
      <c r="R9179" s="13"/>
    </row>
    <row r="9180" spans="8:18" x14ac:dyDescent="0.35">
      <c r="H9180" s="13"/>
      <c r="I9180" s="13"/>
      <c r="J9180" s="13"/>
      <c r="K9180" s="13"/>
      <c r="L9180" s="13"/>
      <c r="M9180" s="13"/>
      <c r="N9180" s="13"/>
      <c r="O9180" s="13"/>
      <c r="P9180" s="13"/>
      <c r="Q9180" s="13"/>
      <c r="R9180" s="13"/>
    </row>
    <row r="9181" spans="8:18" x14ac:dyDescent="0.35">
      <c r="H9181" s="13"/>
      <c r="I9181" s="13"/>
      <c r="J9181" s="13"/>
      <c r="K9181" s="13"/>
      <c r="L9181" s="13"/>
      <c r="M9181" s="13"/>
      <c r="N9181" s="13"/>
      <c r="O9181" s="13"/>
      <c r="P9181" s="13"/>
      <c r="Q9181" s="13"/>
      <c r="R9181" s="13"/>
    </row>
    <row r="9182" spans="8:18" x14ac:dyDescent="0.35">
      <c r="H9182" s="13"/>
      <c r="I9182" s="13"/>
      <c r="J9182" s="13"/>
      <c r="K9182" s="13"/>
      <c r="L9182" s="13"/>
      <c r="M9182" s="13"/>
      <c r="N9182" s="13"/>
      <c r="O9182" s="13"/>
      <c r="P9182" s="13"/>
      <c r="Q9182" s="13"/>
      <c r="R9182" s="13"/>
    </row>
    <row r="9183" spans="8:18" x14ac:dyDescent="0.35">
      <c r="H9183" s="13"/>
      <c r="I9183" s="13"/>
      <c r="J9183" s="13"/>
      <c r="K9183" s="13"/>
      <c r="L9183" s="13"/>
      <c r="M9183" s="13"/>
      <c r="N9183" s="13"/>
      <c r="O9183" s="13"/>
      <c r="P9183" s="13"/>
      <c r="Q9183" s="13"/>
      <c r="R9183" s="13"/>
    </row>
    <row r="9184" spans="8:18" x14ac:dyDescent="0.35">
      <c r="H9184" s="13"/>
      <c r="I9184" s="13"/>
      <c r="J9184" s="13"/>
      <c r="K9184" s="13"/>
      <c r="L9184" s="13"/>
      <c r="M9184" s="13"/>
      <c r="N9184" s="13"/>
      <c r="O9184" s="13"/>
      <c r="P9184" s="13"/>
      <c r="Q9184" s="13"/>
      <c r="R9184" s="13"/>
    </row>
    <row r="9185" spans="8:18" x14ac:dyDescent="0.35">
      <c r="H9185" s="13"/>
      <c r="I9185" s="13"/>
      <c r="J9185" s="13"/>
      <c r="K9185" s="13"/>
      <c r="L9185" s="13"/>
      <c r="M9185" s="13"/>
      <c r="N9185" s="13"/>
      <c r="O9185" s="13"/>
      <c r="P9185" s="13"/>
      <c r="Q9185" s="13"/>
      <c r="R9185" s="13"/>
    </row>
    <row r="9186" spans="8:18" x14ac:dyDescent="0.35">
      <c r="H9186" s="13"/>
      <c r="I9186" s="13"/>
      <c r="J9186" s="13"/>
      <c r="K9186" s="13"/>
      <c r="L9186" s="13"/>
      <c r="M9186" s="13"/>
      <c r="N9186" s="13"/>
      <c r="O9186" s="13"/>
      <c r="P9186" s="13"/>
      <c r="Q9186" s="13"/>
      <c r="R9186" s="13"/>
    </row>
    <row r="9187" spans="8:18" x14ac:dyDescent="0.35">
      <c r="H9187" s="13"/>
      <c r="I9187" s="13"/>
      <c r="J9187" s="13"/>
      <c r="K9187" s="13"/>
      <c r="L9187" s="13"/>
      <c r="M9187" s="13"/>
      <c r="N9187" s="13"/>
      <c r="O9187" s="13"/>
      <c r="P9187" s="13"/>
      <c r="Q9187" s="13"/>
      <c r="R9187" s="13"/>
    </row>
    <row r="9188" spans="8:18" x14ac:dyDescent="0.35">
      <c r="H9188" s="13"/>
      <c r="I9188" s="13"/>
      <c r="J9188" s="13"/>
      <c r="K9188" s="13"/>
      <c r="L9188" s="13"/>
      <c r="M9188" s="13"/>
      <c r="N9188" s="13"/>
      <c r="O9188" s="13"/>
      <c r="P9188" s="13"/>
      <c r="Q9188" s="13"/>
      <c r="R9188" s="13"/>
    </row>
    <row r="9189" spans="8:18" x14ac:dyDescent="0.35">
      <c r="H9189" s="13"/>
      <c r="I9189" s="13"/>
      <c r="J9189" s="13"/>
      <c r="K9189" s="13"/>
      <c r="L9189" s="13"/>
      <c r="M9189" s="13"/>
      <c r="N9189" s="13"/>
      <c r="O9189" s="13"/>
      <c r="P9189" s="13"/>
      <c r="Q9189" s="13"/>
      <c r="R9189" s="13"/>
    </row>
    <row r="9190" spans="8:18" x14ac:dyDescent="0.35">
      <c r="H9190" s="13"/>
      <c r="I9190" s="13"/>
      <c r="J9190" s="13"/>
      <c r="K9190" s="13"/>
      <c r="L9190" s="13"/>
      <c r="M9190" s="13"/>
      <c r="N9190" s="13"/>
      <c r="O9190" s="13"/>
      <c r="P9190" s="13"/>
      <c r="Q9190" s="13"/>
      <c r="R9190" s="13"/>
    </row>
    <row r="9191" spans="8:18" x14ac:dyDescent="0.35">
      <c r="H9191" s="13"/>
      <c r="I9191" s="13"/>
      <c r="J9191" s="13"/>
      <c r="K9191" s="13"/>
      <c r="L9191" s="13"/>
      <c r="M9191" s="13"/>
      <c r="N9191" s="13"/>
      <c r="O9191" s="13"/>
      <c r="P9191" s="13"/>
      <c r="Q9191" s="13"/>
      <c r="R9191" s="13"/>
    </row>
    <row r="9192" spans="8:18" x14ac:dyDescent="0.35">
      <c r="H9192" s="13"/>
      <c r="I9192" s="13"/>
      <c r="J9192" s="13"/>
      <c r="K9192" s="13"/>
      <c r="L9192" s="13"/>
      <c r="M9192" s="13"/>
      <c r="N9192" s="13"/>
      <c r="O9192" s="13"/>
      <c r="P9192" s="13"/>
      <c r="Q9192" s="13"/>
      <c r="R9192" s="13"/>
    </row>
    <row r="9193" spans="8:18" x14ac:dyDescent="0.35">
      <c r="H9193" s="13"/>
      <c r="I9193" s="13"/>
      <c r="J9193" s="13"/>
      <c r="K9193" s="13"/>
      <c r="L9193" s="13"/>
      <c r="M9193" s="13"/>
      <c r="N9193" s="13"/>
      <c r="O9193" s="13"/>
      <c r="P9193" s="13"/>
      <c r="Q9193" s="13"/>
      <c r="R9193" s="13"/>
    </row>
    <row r="9194" spans="8:18" x14ac:dyDescent="0.35">
      <c r="H9194" s="13"/>
      <c r="I9194" s="13"/>
      <c r="J9194" s="13"/>
      <c r="K9194" s="13"/>
      <c r="L9194" s="13"/>
      <c r="M9194" s="13"/>
      <c r="N9194" s="13"/>
      <c r="O9194" s="13"/>
      <c r="P9194" s="13"/>
      <c r="Q9194" s="13"/>
      <c r="R9194" s="13"/>
    </row>
    <row r="9195" spans="8:18" x14ac:dyDescent="0.35">
      <c r="H9195" s="13"/>
      <c r="I9195" s="13"/>
      <c r="J9195" s="13"/>
      <c r="K9195" s="13"/>
      <c r="L9195" s="13"/>
      <c r="M9195" s="13"/>
      <c r="N9195" s="13"/>
      <c r="O9195" s="13"/>
      <c r="P9195" s="13"/>
      <c r="Q9195" s="13"/>
      <c r="R9195" s="13"/>
    </row>
    <row r="9196" spans="8:18" x14ac:dyDescent="0.35">
      <c r="H9196" s="13"/>
      <c r="I9196" s="13"/>
      <c r="J9196" s="13"/>
      <c r="K9196" s="13"/>
      <c r="L9196" s="13"/>
      <c r="M9196" s="13"/>
      <c r="N9196" s="13"/>
      <c r="O9196" s="13"/>
      <c r="P9196" s="13"/>
      <c r="Q9196" s="13"/>
      <c r="R9196" s="13"/>
    </row>
    <row r="9197" spans="8:18" x14ac:dyDescent="0.35">
      <c r="H9197" s="13"/>
      <c r="I9197" s="13"/>
      <c r="J9197" s="13"/>
      <c r="K9197" s="13"/>
      <c r="L9197" s="13"/>
      <c r="M9197" s="13"/>
      <c r="N9197" s="13"/>
      <c r="O9197" s="13"/>
      <c r="P9197" s="13"/>
      <c r="Q9197" s="13"/>
      <c r="R9197" s="13"/>
    </row>
    <row r="9198" spans="8:18" x14ac:dyDescent="0.35">
      <c r="H9198" s="13"/>
      <c r="I9198" s="13"/>
      <c r="J9198" s="13"/>
      <c r="K9198" s="13"/>
      <c r="L9198" s="13"/>
      <c r="M9198" s="13"/>
      <c r="N9198" s="13"/>
      <c r="O9198" s="13"/>
      <c r="P9198" s="13"/>
      <c r="Q9198" s="13"/>
      <c r="R9198" s="13"/>
    </row>
    <row r="9199" spans="8:18" x14ac:dyDescent="0.35">
      <c r="H9199" s="13"/>
      <c r="I9199" s="13"/>
      <c r="J9199" s="13"/>
      <c r="K9199" s="13"/>
      <c r="L9199" s="13"/>
      <c r="M9199" s="13"/>
      <c r="N9199" s="13"/>
      <c r="O9199" s="13"/>
      <c r="P9199" s="13"/>
      <c r="Q9199" s="13"/>
      <c r="R9199" s="13"/>
    </row>
    <row r="9200" spans="8:18" x14ac:dyDescent="0.35">
      <c r="H9200" s="13"/>
      <c r="I9200" s="13"/>
      <c r="J9200" s="13"/>
      <c r="K9200" s="13"/>
      <c r="L9200" s="13"/>
      <c r="M9200" s="13"/>
      <c r="N9200" s="13"/>
      <c r="O9200" s="13"/>
      <c r="P9200" s="13"/>
      <c r="Q9200" s="13"/>
      <c r="R9200" s="13"/>
    </row>
    <row r="9201" spans="8:18" x14ac:dyDescent="0.35">
      <c r="H9201" s="13"/>
      <c r="I9201" s="13"/>
      <c r="J9201" s="13"/>
      <c r="K9201" s="13"/>
      <c r="L9201" s="13"/>
      <c r="M9201" s="13"/>
      <c r="N9201" s="13"/>
      <c r="O9201" s="13"/>
      <c r="P9201" s="13"/>
      <c r="Q9201" s="13"/>
      <c r="R9201" s="13"/>
    </row>
    <row r="9202" spans="8:18" x14ac:dyDescent="0.35">
      <c r="H9202" s="13"/>
      <c r="I9202" s="13"/>
      <c r="J9202" s="13"/>
      <c r="K9202" s="13"/>
      <c r="L9202" s="13"/>
      <c r="M9202" s="13"/>
      <c r="N9202" s="13"/>
      <c r="O9202" s="13"/>
      <c r="P9202" s="13"/>
      <c r="Q9202" s="13"/>
      <c r="R9202" s="13"/>
    </row>
    <row r="9203" spans="8:18" x14ac:dyDescent="0.35">
      <c r="H9203" s="13"/>
      <c r="I9203" s="13"/>
      <c r="J9203" s="13"/>
      <c r="K9203" s="13"/>
      <c r="L9203" s="13"/>
      <c r="M9203" s="13"/>
      <c r="N9203" s="13"/>
      <c r="O9203" s="13"/>
      <c r="P9203" s="13"/>
      <c r="Q9203" s="13"/>
      <c r="R9203" s="13"/>
    </row>
    <row r="9204" spans="8:18" x14ac:dyDescent="0.35">
      <c r="H9204" s="13"/>
      <c r="I9204" s="13"/>
      <c r="J9204" s="13"/>
      <c r="K9204" s="13"/>
      <c r="L9204" s="13"/>
      <c r="M9204" s="13"/>
      <c r="N9204" s="13"/>
      <c r="O9204" s="13"/>
      <c r="P9204" s="13"/>
      <c r="Q9204" s="13"/>
      <c r="R9204" s="13"/>
    </row>
    <row r="9205" spans="8:18" x14ac:dyDescent="0.35">
      <c r="H9205" s="13"/>
      <c r="I9205" s="13"/>
      <c r="J9205" s="13"/>
      <c r="K9205" s="13"/>
      <c r="L9205" s="13"/>
      <c r="M9205" s="13"/>
      <c r="N9205" s="13"/>
      <c r="O9205" s="13"/>
      <c r="P9205" s="13"/>
      <c r="Q9205" s="13"/>
      <c r="R9205" s="13"/>
    </row>
    <row r="9206" spans="8:18" x14ac:dyDescent="0.35">
      <c r="H9206" s="13"/>
      <c r="I9206" s="13"/>
      <c r="J9206" s="13"/>
      <c r="K9206" s="13"/>
      <c r="L9206" s="13"/>
      <c r="M9206" s="13"/>
      <c r="N9206" s="13"/>
      <c r="O9206" s="13"/>
      <c r="P9206" s="13"/>
      <c r="Q9206" s="13"/>
      <c r="R9206" s="13"/>
    </row>
    <row r="9207" spans="8:18" x14ac:dyDescent="0.35">
      <c r="H9207" s="13"/>
      <c r="I9207" s="13"/>
      <c r="J9207" s="13"/>
      <c r="K9207" s="13"/>
      <c r="L9207" s="13"/>
      <c r="M9207" s="13"/>
      <c r="N9207" s="13"/>
      <c r="O9207" s="13"/>
      <c r="P9207" s="13"/>
      <c r="Q9207" s="13"/>
      <c r="R9207" s="13"/>
    </row>
    <row r="9208" spans="8:18" x14ac:dyDescent="0.35">
      <c r="H9208" s="13"/>
      <c r="I9208" s="13"/>
      <c r="J9208" s="13"/>
      <c r="K9208" s="13"/>
      <c r="L9208" s="13"/>
      <c r="M9208" s="13"/>
      <c r="N9208" s="13"/>
      <c r="O9208" s="13"/>
      <c r="P9208" s="13"/>
      <c r="Q9208" s="13"/>
      <c r="R9208" s="13"/>
    </row>
    <row r="9209" spans="8:18" x14ac:dyDescent="0.35">
      <c r="H9209" s="13"/>
      <c r="I9209" s="13"/>
      <c r="J9209" s="13"/>
      <c r="K9209" s="13"/>
      <c r="L9209" s="13"/>
      <c r="M9209" s="13"/>
      <c r="N9209" s="13"/>
      <c r="O9209" s="13"/>
      <c r="P9209" s="13"/>
      <c r="Q9209" s="13"/>
      <c r="R9209" s="13"/>
    </row>
    <row r="9210" spans="8:18" x14ac:dyDescent="0.35">
      <c r="H9210" s="13"/>
      <c r="I9210" s="13"/>
      <c r="J9210" s="13"/>
      <c r="K9210" s="13"/>
      <c r="L9210" s="13"/>
      <c r="M9210" s="13"/>
      <c r="N9210" s="13"/>
      <c r="O9210" s="13"/>
      <c r="P9210" s="13"/>
      <c r="Q9210" s="13"/>
      <c r="R9210" s="13"/>
    </row>
    <row r="9211" spans="8:18" x14ac:dyDescent="0.35">
      <c r="H9211" s="13"/>
      <c r="I9211" s="13"/>
      <c r="J9211" s="13"/>
      <c r="K9211" s="13"/>
      <c r="L9211" s="13"/>
      <c r="M9211" s="13"/>
      <c r="N9211" s="13"/>
      <c r="O9211" s="13"/>
      <c r="P9211" s="13"/>
      <c r="Q9211" s="13"/>
      <c r="R9211" s="13"/>
    </row>
    <row r="9212" spans="8:18" x14ac:dyDescent="0.35">
      <c r="H9212" s="13"/>
      <c r="I9212" s="13"/>
      <c r="J9212" s="13"/>
      <c r="K9212" s="13"/>
      <c r="L9212" s="13"/>
      <c r="M9212" s="13"/>
      <c r="N9212" s="13"/>
      <c r="O9212" s="13"/>
      <c r="P9212" s="13"/>
      <c r="Q9212" s="13"/>
      <c r="R9212" s="13"/>
    </row>
    <row r="9213" spans="8:18" x14ac:dyDescent="0.35">
      <c r="H9213" s="13"/>
      <c r="I9213" s="13"/>
      <c r="J9213" s="13"/>
      <c r="K9213" s="13"/>
      <c r="L9213" s="13"/>
      <c r="M9213" s="13"/>
      <c r="N9213" s="13"/>
      <c r="O9213" s="13"/>
      <c r="P9213" s="13"/>
      <c r="Q9213" s="13"/>
      <c r="R9213" s="13"/>
    </row>
    <row r="9214" spans="8:18" x14ac:dyDescent="0.35">
      <c r="H9214" s="13"/>
      <c r="I9214" s="13"/>
      <c r="J9214" s="13"/>
      <c r="K9214" s="13"/>
      <c r="L9214" s="13"/>
      <c r="M9214" s="13"/>
      <c r="N9214" s="13"/>
      <c r="O9214" s="13"/>
      <c r="P9214" s="13"/>
      <c r="Q9214" s="13"/>
      <c r="R9214" s="13"/>
    </row>
    <row r="9215" spans="8:18" x14ac:dyDescent="0.35">
      <c r="H9215" s="13"/>
      <c r="I9215" s="13"/>
      <c r="J9215" s="13"/>
      <c r="K9215" s="13"/>
      <c r="L9215" s="13"/>
      <c r="M9215" s="13"/>
      <c r="N9215" s="13"/>
      <c r="O9215" s="13"/>
      <c r="P9215" s="13"/>
      <c r="Q9215" s="13"/>
      <c r="R9215" s="13"/>
    </row>
    <row r="9216" spans="8:18" x14ac:dyDescent="0.35">
      <c r="H9216" s="13"/>
      <c r="I9216" s="13"/>
      <c r="J9216" s="13"/>
      <c r="K9216" s="13"/>
      <c r="L9216" s="13"/>
      <c r="M9216" s="13"/>
      <c r="N9216" s="13"/>
      <c r="O9216" s="13"/>
      <c r="P9216" s="13"/>
      <c r="Q9216" s="13"/>
      <c r="R9216" s="13"/>
    </row>
    <row r="9217" spans="8:18" x14ac:dyDescent="0.35">
      <c r="H9217" s="13"/>
      <c r="I9217" s="13"/>
      <c r="J9217" s="13"/>
      <c r="K9217" s="13"/>
      <c r="L9217" s="13"/>
      <c r="M9217" s="13"/>
      <c r="N9217" s="13"/>
      <c r="O9217" s="13"/>
      <c r="P9217" s="13"/>
      <c r="Q9217" s="13"/>
      <c r="R9217" s="13"/>
    </row>
    <row r="9218" spans="8:18" x14ac:dyDescent="0.35">
      <c r="H9218" s="13"/>
      <c r="I9218" s="13"/>
      <c r="J9218" s="13"/>
      <c r="K9218" s="13"/>
      <c r="L9218" s="13"/>
      <c r="M9218" s="13"/>
      <c r="N9218" s="13"/>
      <c r="O9218" s="13"/>
      <c r="P9218" s="13"/>
      <c r="Q9218" s="13"/>
      <c r="R9218" s="13"/>
    </row>
    <row r="9219" spans="8:18" x14ac:dyDescent="0.35">
      <c r="H9219" s="13"/>
      <c r="I9219" s="13"/>
      <c r="J9219" s="13"/>
      <c r="K9219" s="13"/>
      <c r="L9219" s="13"/>
      <c r="M9219" s="13"/>
      <c r="N9219" s="13"/>
      <c r="O9219" s="13"/>
      <c r="P9219" s="13"/>
      <c r="Q9219" s="13"/>
      <c r="R9219" s="13"/>
    </row>
    <row r="9220" spans="8:18" x14ac:dyDescent="0.35">
      <c r="H9220" s="13"/>
      <c r="I9220" s="13"/>
      <c r="J9220" s="13"/>
      <c r="K9220" s="13"/>
      <c r="L9220" s="13"/>
      <c r="M9220" s="13"/>
      <c r="N9220" s="13"/>
      <c r="O9220" s="13"/>
      <c r="P9220" s="13"/>
      <c r="Q9220" s="13"/>
      <c r="R9220" s="13"/>
    </row>
    <row r="9221" spans="8:18" x14ac:dyDescent="0.35">
      <c r="H9221" s="13"/>
      <c r="I9221" s="13"/>
      <c r="J9221" s="13"/>
      <c r="K9221" s="13"/>
      <c r="L9221" s="13"/>
      <c r="M9221" s="13"/>
      <c r="N9221" s="13"/>
      <c r="O9221" s="13"/>
      <c r="P9221" s="13"/>
      <c r="Q9221" s="13"/>
      <c r="R9221" s="13"/>
    </row>
    <row r="9222" spans="8:18" x14ac:dyDescent="0.35">
      <c r="H9222" s="13"/>
      <c r="I9222" s="13"/>
      <c r="J9222" s="13"/>
      <c r="K9222" s="13"/>
      <c r="L9222" s="13"/>
      <c r="M9222" s="13"/>
      <c r="N9222" s="13"/>
      <c r="O9222" s="13"/>
      <c r="P9222" s="13"/>
      <c r="Q9222" s="13"/>
      <c r="R9222" s="13"/>
    </row>
    <row r="9223" spans="8:18" x14ac:dyDescent="0.35">
      <c r="H9223" s="13"/>
      <c r="I9223" s="13"/>
      <c r="J9223" s="13"/>
      <c r="K9223" s="13"/>
      <c r="L9223" s="13"/>
      <c r="M9223" s="13"/>
      <c r="N9223" s="13"/>
      <c r="O9223" s="13"/>
      <c r="P9223" s="13"/>
      <c r="Q9223" s="13"/>
      <c r="R9223" s="13"/>
    </row>
    <row r="9224" spans="8:18" x14ac:dyDescent="0.35">
      <c r="H9224" s="13"/>
      <c r="I9224" s="13"/>
      <c r="J9224" s="13"/>
      <c r="K9224" s="13"/>
      <c r="L9224" s="13"/>
      <c r="M9224" s="13"/>
      <c r="N9224" s="13"/>
      <c r="O9224" s="13"/>
      <c r="P9224" s="13"/>
      <c r="Q9224" s="13"/>
      <c r="R9224" s="13"/>
    </row>
    <row r="9225" spans="8:18" x14ac:dyDescent="0.35">
      <c r="H9225" s="13"/>
      <c r="I9225" s="13"/>
      <c r="J9225" s="13"/>
      <c r="K9225" s="13"/>
      <c r="L9225" s="13"/>
      <c r="M9225" s="13"/>
      <c r="N9225" s="13"/>
      <c r="O9225" s="13"/>
      <c r="P9225" s="13"/>
      <c r="Q9225" s="13"/>
      <c r="R9225" s="13"/>
    </row>
    <row r="9226" spans="8:18" x14ac:dyDescent="0.35">
      <c r="H9226" s="13"/>
      <c r="I9226" s="13"/>
      <c r="J9226" s="13"/>
      <c r="K9226" s="13"/>
      <c r="L9226" s="13"/>
      <c r="M9226" s="13"/>
      <c r="N9226" s="13"/>
      <c r="O9226" s="13"/>
      <c r="P9226" s="13"/>
      <c r="Q9226" s="13"/>
      <c r="R9226" s="13"/>
    </row>
    <row r="9227" spans="8:18" x14ac:dyDescent="0.35">
      <c r="H9227" s="13"/>
      <c r="I9227" s="13"/>
      <c r="J9227" s="13"/>
      <c r="K9227" s="13"/>
      <c r="L9227" s="13"/>
      <c r="M9227" s="13"/>
      <c r="N9227" s="13"/>
      <c r="O9227" s="13"/>
      <c r="P9227" s="13"/>
      <c r="Q9227" s="13"/>
      <c r="R9227" s="13"/>
    </row>
    <row r="9228" spans="8:18" x14ac:dyDescent="0.35">
      <c r="H9228" s="13"/>
      <c r="I9228" s="13"/>
      <c r="J9228" s="13"/>
      <c r="K9228" s="13"/>
      <c r="L9228" s="13"/>
      <c r="M9228" s="13"/>
      <c r="N9228" s="13"/>
      <c r="O9228" s="13"/>
      <c r="P9228" s="13"/>
      <c r="Q9228" s="13"/>
      <c r="R9228" s="13"/>
    </row>
    <row r="9229" spans="8:18" x14ac:dyDescent="0.35">
      <c r="H9229" s="13"/>
      <c r="I9229" s="13"/>
      <c r="J9229" s="13"/>
      <c r="K9229" s="13"/>
      <c r="L9229" s="13"/>
      <c r="M9229" s="13"/>
      <c r="N9229" s="13"/>
      <c r="O9229" s="13"/>
      <c r="P9229" s="13"/>
      <c r="Q9229" s="13"/>
      <c r="R9229" s="13"/>
    </row>
    <row r="9230" spans="8:18" x14ac:dyDescent="0.35">
      <c r="H9230" s="13"/>
      <c r="I9230" s="13"/>
      <c r="J9230" s="13"/>
      <c r="K9230" s="13"/>
      <c r="L9230" s="13"/>
      <c r="M9230" s="13"/>
      <c r="N9230" s="13"/>
      <c r="O9230" s="13"/>
      <c r="P9230" s="13"/>
      <c r="Q9230" s="13"/>
      <c r="R9230" s="13"/>
    </row>
    <row r="9231" spans="8:18" x14ac:dyDescent="0.35">
      <c r="H9231" s="13"/>
      <c r="I9231" s="13"/>
      <c r="J9231" s="13"/>
      <c r="K9231" s="13"/>
      <c r="L9231" s="13"/>
      <c r="M9231" s="13"/>
      <c r="N9231" s="13"/>
      <c r="O9231" s="13"/>
      <c r="P9231" s="13"/>
      <c r="Q9231" s="13"/>
      <c r="R9231" s="13"/>
    </row>
    <row r="9232" spans="8:18" x14ac:dyDescent="0.35">
      <c r="H9232" s="13"/>
      <c r="I9232" s="13"/>
      <c r="J9232" s="13"/>
      <c r="K9232" s="13"/>
      <c r="L9232" s="13"/>
      <c r="M9232" s="13"/>
      <c r="N9232" s="13"/>
      <c r="O9232" s="13"/>
      <c r="P9232" s="13"/>
      <c r="Q9232" s="13"/>
      <c r="R9232" s="13"/>
    </row>
    <row r="9233" spans="8:18" x14ac:dyDescent="0.35">
      <c r="H9233" s="13"/>
      <c r="I9233" s="13"/>
      <c r="J9233" s="13"/>
      <c r="K9233" s="13"/>
      <c r="L9233" s="13"/>
      <c r="M9233" s="13"/>
      <c r="N9233" s="13"/>
      <c r="O9233" s="13"/>
      <c r="P9233" s="13"/>
      <c r="Q9233" s="13"/>
      <c r="R9233" s="13"/>
    </row>
    <row r="9234" spans="8:18" x14ac:dyDescent="0.35">
      <c r="H9234" s="13"/>
      <c r="I9234" s="13"/>
      <c r="J9234" s="13"/>
      <c r="K9234" s="13"/>
      <c r="L9234" s="13"/>
      <c r="M9234" s="13"/>
      <c r="N9234" s="13"/>
      <c r="O9234" s="13"/>
      <c r="P9234" s="13"/>
      <c r="Q9234" s="13"/>
      <c r="R9234" s="13"/>
    </row>
    <row r="9235" spans="8:18" x14ac:dyDescent="0.35">
      <c r="H9235" s="13"/>
      <c r="I9235" s="13"/>
      <c r="J9235" s="13"/>
      <c r="K9235" s="13"/>
      <c r="L9235" s="13"/>
      <c r="M9235" s="13"/>
      <c r="N9235" s="13"/>
      <c r="O9235" s="13"/>
      <c r="P9235" s="13"/>
      <c r="Q9235" s="13"/>
      <c r="R9235" s="13"/>
    </row>
    <row r="9236" spans="8:18" x14ac:dyDescent="0.35">
      <c r="H9236" s="13"/>
      <c r="I9236" s="13"/>
      <c r="J9236" s="13"/>
      <c r="K9236" s="13"/>
      <c r="L9236" s="13"/>
      <c r="M9236" s="13"/>
      <c r="N9236" s="13"/>
      <c r="O9236" s="13"/>
      <c r="P9236" s="13"/>
      <c r="Q9236" s="13"/>
      <c r="R9236" s="13"/>
    </row>
    <row r="9237" spans="8:18" x14ac:dyDescent="0.35">
      <c r="H9237" s="13"/>
      <c r="I9237" s="13"/>
      <c r="J9237" s="13"/>
      <c r="K9237" s="13"/>
      <c r="L9237" s="13"/>
      <c r="M9237" s="13"/>
      <c r="N9237" s="13"/>
      <c r="O9237" s="13"/>
      <c r="P9237" s="13"/>
      <c r="Q9237" s="13"/>
      <c r="R9237" s="13"/>
    </row>
    <row r="9238" spans="8:18" x14ac:dyDescent="0.35">
      <c r="H9238" s="13"/>
      <c r="I9238" s="13"/>
      <c r="J9238" s="13"/>
      <c r="K9238" s="13"/>
      <c r="L9238" s="13"/>
      <c r="M9238" s="13"/>
      <c r="N9238" s="13"/>
      <c r="O9238" s="13"/>
      <c r="P9238" s="13"/>
      <c r="Q9238" s="13"/>
      <c r="R9238" s="13"/>
    </row>
    <row r="9239" spans="8:18" x14ac:dyDescent="0.35">
      <c r="H9239" s="13"/>
      <c r="I9239" s="13"/>
      <c r="J9239" s="13"/>
      <c r="K9239" s="13"/>
      <c r="L9239" s="13"/>
      <c r="M9239" s="13"/>
      <c r="N9239" s="13"/>
      <c r="O9239" s="13"/>
      <c r="P9239" s="13"/>
      <c r="Q9239" s="13"/>
      <c r="R9239" s="13"/>
    </row>
    <row r="9240" spans="8:18" x14ac:dyDescent="0.35">
      <c r="H9240" s="13"/>
      <c r="I9240" s="13"/>
      <c r="J9240" s="13"/>
      <c r="K9240" s="13"/>
      <c r="L9240" s="13"/>
      <c r="M9240" s="13"/>
      <c r="N9240" s="13"/>
      <c r="O9240" s="13"/>
      <c r="P9240" s="13"/>
      <c r="Q9240" s="13"/>
      <c r="R9240" s="13"/>
    </row>
    <row r="9241" spans="8:18" x14ac:dyDescent="0.35">
      <c r="H9241" s="13"/>
      <c r="I9241" s="13"/>
      <c r="J9241" s="13"/>
      <c r="K9241" s="13"/>
      <c r="L9241" s="13"/>
      <c r="M9241" s="13"/>
      <c r="N9241" s="13"/>
      <c r="O9241" s="13"/>
      <c r="P9241" s="13"/>
      <c r="Q9241" s="13"/>
      <c r="R9241" s="13"/>
    </row>
    <row r="9242" spans="8:18" x14ac:dyDescent="0.35">
      <c r="H9242" s="13"/>
      <c r="I9242" s="13"/>
      <c r="J9242" s="13"/>
      <c r="K9242" s="13"/>
      <c r="L9242" s="13"/>
      <c r="M9242" s="13"/>
      <c r="N9242" s="13"/>
      <c r="O9242" s="13"/>
      <c r="P9242" s="13"/>
      <c r="Q9242" s="13"/>
      <c r="R9242" s="13"/>
    </row>
    <row r="9243" spans="8:18" x14ac:dyDescent="0.35">
      <c r="H9243" s="13"/>
      <c r="I9243" s="13"/>
      <c r="J9243" s="13"/>
      <c r="K9243" s="13"/>
      <c r="L9243" s="13"/>
      <c r="M9243" s="13"/>
      <c r="N9243" s="13"/>
      <c r="O9243" s="13"/>
      <c r="P9243" s="13"/>
      <c r="Q9243" s="13"/>
      <c r="R9243" s="13"/>
    </row>
    <row r="9244" spans="8:18" x14ac:dyDescent="0.35">
      <c r="H9244" s="13"/>
      <c r="I9244" s="13"/>
      <c r="J9244" s="13"/>
      <c r="K9244" s="13"/>
      <c r="L9244" s="13"/>
      <c r="M9244" s="13"/>
      <c r="N9244" s="13"/>
      <c r="O9244" s="13"/>
      <c r="P9244" s="13"/>
      <c r="Q9244" s="13"/>
      <c r="R9244" s="13"/>
    </row>
    <row r="9245" spans="8:18" x14ac:dyDescent="0.35">
      <c r="H9245" s="13"/>
      <c r="I9245" s="13"/>
      <c r="J9245" s="13"/>
      <c r="K9245" s="13"/>
      <c r="L9245" s="13"/>
      <c r="M9245" s="13"/>
      <c r="N9245" s="13"/>
      <c r="O9245" s="13"/>
      <c r="P9245" s="13"/>
      <c r="Q9245" s="13"/>
      <c r="R9245" s="13"/>
    </row>
    <row r="9246" spans="8:18" x14ac:dyDescent="0.35">
      <c r="H9246" s="13"/>
      <c r="I9246" s="13"/>
      <c r="J9246" s="13"/>
      <c r="K9246" s="13"/>
      <c r="L9246" s="13"/>
      <c r="M9246" s="13"/>
      <c r="N9246" s="13"/>
      <c r="O9246" s="13"/>
      <c r="P9246" s="13"/>
      <c r="Q9246" s="13"/>
      <c r="R9246" s="13"/>
    </row>
    <row r="9247" spans="8:18" x14ac:dyDescent="0.35">
      <c r="H9247" s="13"/>
      <c r="I9247" s="13"/>
      <c r="J9247" s="13"/>
      <c r="K9247" s="13"/>
      <c r="L9247" s="13"/>
      <c r="M9247" s="13"/>
      <c r="N9247" s="13"/>
      <c r="O9247" s="13"/>
      <c r="P9247" s="13"/>
      <c r="Q9247" s="13"/>
      <c r="R9247" s="13"/>
    </row>
    <row r="9248" spans="8:18" x14ac:dyDescent="0.35">
      <c r="H9248" s="13"/>
      <c r="I9248" s="13"/>
      <c r="J9248" s="13"/>
      <c r="K9248" s="13"/>
      <c r="L9248" s="13"/>
      <c r="M9248" s="13"/>
      <c r="N9248" s="13"/>
      <c r="O9248" s="13"/>
      <c r="P9248" s="13"/>
      <c r="Q9248" s="13"/>
      <c r="R9248" s="13"/>
    </row>
    <row r="9249" spans="8:18" x14ac:dyDescent="0.35">
      <c r="H9249" s="13"/>
      <c r="I9249" s="13"/>
      <c r="J9249" s="13"/>
      <c r="K9249" s="13"/>
      <c r="L9249" s="13"/>
      <c r="M9249" s="13"/>
      <c r="N9249" s="13"/>
      <c r="O9249" s="13"/>
      <c r="P9249" s="13"/>
      <c r="Q9249" s="13"/>
      <c r="R9249" s="13"/>
    </row>
    <row r="9250" spans="8:18" x14ac:dyDescent="0.35">
      <c r="H9250" s="13"/>
      <c r="I9250" s="13"/>
      <c r="J9250" s="13"/>
      <c r="K9250" s="13"/>
      <c r="L9250" s="13"/>
      <c r="M9250" s="13"/>
      <c r="N9250" s="13"/>
      <c r="O9250" s="13"/>
      <c r="P9250" s="13"/>
      <c r="Q9250" s="13"/>
      <c r="R9250" s="13"/>
    </row>
    <row r="9251" spans="8:18" x14ac:dyDescent="0.35">
      <c r="H9251" s="13"/>
      <c r="I9251" s="13"/>
      <c r="J9251" s="13"/>
      <c r="K9251" s="13"/>
      <c r="L9251" s="13"/>
      <c r="M9251" s="13"/>
      <c r="N9251" s="13"/>
      <c r="O9251" s="13"/>
      <c r="P9251" s="13"/>
      <c r="Q9251" s="13"/>
      <c r="R9251" s="13"/>
    </row>
    <row r="9252" spans="8:18" x14ac:dyDescent="0.35">
      <c r="H9252" s="13"/>
      <c r="I9252" s="13"/>
      <c r="J9252" s="13"/>
      <c r="K9252" s="13"/>
      <c r="L9252" s="13"/>
      <c r="M9252" s="13"/>
      <c r="N9252" s="13"/>
      <c r="O9252" s="13"/>
      <c r="P9252" s="13"/>
      <c r="Q9252" s="13"/>
      <c r="R9252" s="13"/>
    </row>
    <row r="9253" spans="8:18" x14ac:dyDescent="0.35">
      <c r="H9253" s="13"/>
      <c r="I9253" s="13"/>
      <c r="J9253" s="13"/>
      <c r="K9253" s="13"/>
      <c r="L9253" s="13"/>
      <c r="M9253" s="13"/>
      <c r="N9253" s="13"/>
      <c r="O9253" s="13"/>
      <c r="P9253" s="13"/>
      <c r="Q9253" s="13"/>
      <c r="R9253" s="13"/>
    </row>
    <row r="9254" spans="8:18" x14ac:dyDescent="0.35">
      <c r="H9254" s="13"/>
      <c r="I9254" s="13"/>
      <c r="J9254" s="13"/>
      <c r="K9254" s="13"/>
      <c r="L9254" s="13"/>
      <c r="M9254" s="13"/>
      <c r="N9254" s="13"/>
      <c r="O9254" s="13"/>
      <c r="P9254" s="13"/>
      <c r="Q9254" s="13"/>
      <c r="R9254" s="13"/>
    </row>
    <row r="9255" spans="8:18" x14ac:dyDescent="0.35">
      <c r="H9255" s="13"/>
      <c r="I9255" s="13"/>
      <c r="J9255" s="13"/>
      <c r="K9255" s="13"/>
      <c r="L9255" s="13"/>
      <c r="M9255" s="13"/>
      <c r="N9255" s="13"/>
      <c r="O9255" s="13"/>
      <c r="P9255" s="13"/>
      <c r="Q9255" s="13"/>
      <c r="R9255" s="13"/>
    </row>
    <row r="9256" spans="8:18" x14ac:dyDescent="0.35">
      <c r="H9256" s="13"/>
      <c r="I9256" s="13"/>
      <c r="J9256" s="13"/>
      <c r="K9256" s="13"/>
      <c r="L9256" s="13"/>
      <c r="M9256" s="13"/>
      <c r="N9256" s="13"/>
      <c r="O9256" s="13"/>
      <c r="P9256" s="13"/>
      <c r="Q9256" s="13"/>
      <c r="R9256" s="13"/>
    </row>
    <row r="9257" spans="8:18" x14ac:dyDescent="0.35">
      <c r="H9257" s="13"/>
      <c r="I9257" s="13"/>
      <c r="J9257" s="13"/>
      <c r="K9257" s="13"/>
      <c r="L9257" s="13"/>
      <c r="M9257" s="13"/>
      <c r="N9257" s="13"/>
      <c r="O9257" s="13"/>
      <c r="P9257" s="13"/>
      <c r="Q9257" s="13"/>
      <c r="R9257" s="13"/>
    </row>
    <row r="9258" spans="8:18" x14ac:dyDescent="0.35">
      <c r="H9258" s="13"/>
      <c r="I9258" s="13"/>
      <c r="J9258" s="13"/>
      <c r="K9258" s="13"/>
      <c r="L9258" s="13"/>
      <c r="M9258" s="13"/>
      <c r="N9258" s="13"/>
      <c r="O9258" s="13"/>
      <c r="P9258" s="13"/>
      <c r="Q9258" s="13"/>
      <c r="R9258" s="13"/>
    </row>
    <row r="9259" spans="8:18" x14ac:dyDescent="0.35">
      <c r="H9259" s="13"/>
      <c r="I9259" s="13"/>
      <c r="J9259" s="13"/>
      <c r="K9259" s="13"/>
      <c r="L9259" s="13"/>
      <c r="M9259" s="13"/>
      <c r="N9259" s="13"/>
      <c r="O9259" s="13"/>
      <c r="P9259" s="13"/>
      <c r="Q9259" s="13"/>
      <c r="R9259" s="13"/>
    </row>
    <row r="9260" spans="8:18" x14ac:dyDescent="0.35">
      <c r="H9260" s="13"/>
      <c r="I9260" s="13"/>
      <c r="J9260" s="13"/>
      <c r="K9260" s="13"/>
      <c r="L9260" s="13"/>
      <c r="M9260" s="13"/>
      <c r="N9260" s="13"/>
      <c r="O9260" s="13"/>
      <c r="P9260" s="13"/>
      <c r="Q9260" s="13"/>
      <c r="R9260" s="13"/>
    </row>
    <row r="9261" spans="8:18" x14ac:dyDescent="0.35">
      <c r="H9261" s="13"/>
      <c r="I9261" s="13"/>
      <c r="J9261" s="13"/>
      <c r="K9261" s="13"/>
      <c r="L9261" s="13"/>
      <c r="M9261" s="13"/>
      <c r="N9261" s="13"/>
      <c r="O9261" s="13"/>
      <c r="P9261" s="13"/>
      <c r="Q9261" s="13"/>
      <c r="R9261" s="13"/>
    </row>
    <row r="9262" spans="8:18" x14ac:dyDescent="0.35">
      <c r="H9262" s="13"/>
      <c r="I9262" s="13"/>
      <c r="J9262" s="13"/>
      <c r="K9262" s="13"/>
      <c r="L9262" s="13"/>
      <c r="M9262" s="13"/>
      <c r="N9262" s="13"/>
      <c r="O9262" s="13"/>
      <c r="P9262" s="13"/>
      <c r="Q9262" s="13"/>
      <c r="R9262" s="13"/>
    </row>
    <row r="9263" spans="8:18" x14ac:dyDescent="0.35">
      <c r="H9263" s="13"/>
      <c r="I9263" s="13"/>
      <c r="J9263" s="13"/>
      <c r="K9263" s="13"/>
      <c r="L9263" s="13"/>
      <c r="M9263" s="13"/>
      <c r="N9263" s="13"/>
      <c r="O9263" s="13"/>
      <c r="P9263" s="13"/>
      <c r="Q9263" s="13"/>
      <c r="R9263" s="13"/>
    </row>
    <row r="9264" spans="8:18" x14ac:dyDescent="0.35">
      <c r="H9264" s="13"/>
      <c r="I9264" s="13"/>
      <c r="J9264" s="13"/>
      <c r="K9264" s="13"/>
      <c r="L9264" s="13"/>
      <c r="M9264" s="13"/>
      <c r="N9264" s="13"/>
      <c r="O9264" s="13"/>
      <c r="P9264" s="13"/>
      <c r="Q9264" s="13"/>
      <c r="R9264" s="13"/>
    </row>
    <row r="9265" spans="8:18" x14ac:dyDescent="0.35">
      <c r="H9265" s="13"/>
      <c r="I9265" s="13"/>
      <c r="J9265" s="13"/>
      <c r="K9265" s="13"/>
      <c r="L9265" s="13"/>
      <c r="M9265" s="13"/>
      <c r="N9265" s="13"/>
      <c r="O9265" s="13"/>
      <c r="P9265" s="13"/>
      <c r="Q9265" s="13"/>
      <c r="R9265" s="13"/>
    </row>
    <row r="9266" spans="8:18" x14ac:dyDescent="0.35">
      <c r="H9266" s="13"/>
      <c r="I9266" s="13"/>
      <c r="J9266" s="13"/>
      <c r="K9266" s="13"/>
      <c r="L9266" s="13"/>
      <c r="M9266" s="13"/>
      <c r="N9266" s="13"/>
      <c r="O9266" s="13"/>
      <c r="P9266" s="13"/>
      <c r="Q9266" s="13"/>
      <c r="R9266" s="13"/>
    </row>
    <row r="9267" spans="8:18" x14ac:dyDescent="0.35">
      <c r="H9267" s="13"/>
      <c r="I9267" s="13"/>
      <c r="J9267" s="13"/>
      <c r="K9267" s="13"/>
      <c r="L9267" s="13"/>
      <c r="M9267" s="13"/>
      <c r="N9267" s="13"/>
      <c r="O9267" s="13"/>
      <c r="P9267" s="13"/>
      <c r="Q9267" s="13"/>
      <c r="R9267" s="13"/>
    </row>
    <row r="9268" spans="8:18" x14ac:dyDescent="0.35">
      <c r="H9268" s="13"/>
      <c r="I9268" s="13"/>
      <c r="J9268" s="13"/>
      <c r="K9268" s="13"/>
      <c r="L9268" s="13"/>
      <c r="M9268" s="13"/>
      <c r="N9268" s="13"/>
      <c r="O9268" s="13"/>
      <c r="P9268" s="13"/>
      <c r="Q9268" s="13"/>
      <c r="R9268" s="13"/>
    </row>
    <row r="9269" spans="8:18" x14ac:dyDescent="0.35">
      <c r="H9269" s="13"/>
      <c r="I9269" s="13"/>
      <c r="J9269" s="13"/>
      <c r="K9269" s="13"/>
      <c r="L9269" s="13"/>
      <c r="M9269" s="13"/>
      <c r="N9269" s="13"/>
      <c r="O9269" s="13"/>
      <c r="P9269" s="13"/>
      <c r="Q9269" s="13"/>
      <c r="R9269" s="13"/>
    </row>
    <row r="9270" spans="8:18" x14ac:dyDescent="0.35">
      <c r="H9270" s="13"/>
      <c r="I9270" s="13"/>
      <c r="J9270" s="13"/>
      <c r="K9270" s="13"/>
      <c r="L9270" s="13"/>
      <c r="M9270" s="13"/>
      <c r="N9270" s="13"/>
      <c r="O9270" s="13"/>
      <c r="P9270" s="13"/>
      <c r="Q9270" s="13"/>
      <c r="R9270" s="13"/>
    </row>
    <row r="9271" spans="8:18" x14ac:dyDescent="0.35">
      <c r="H9271" s="13"/>
      <c r="I9271" s="13"/>
      <c r="J9271" s="13"/>
      <c r="K9271" s="13"/>
      <c r="L9271" s="13"/>
      <c r="M9271" s="13"/>
      <c r="N9271" s="13"/>
      <c r="O9271" s="13"/>
      <c r="P9271" s="13"/>
      <c r="Q9271" s="13"/>
      <c r="R9271" s="13"/>
    </row>
    <row r="9272" spans="8:18" x14ac:dyDescent="0.35">
      <c r="H9272" s="13"/>
      <c r="I9272" s="13"/>
      <c r="J9272" s="13"/>
      <c r="K9272" s="13"/>
      <c r="L9272" s="13"/>
      <c r="M9272" s="13"/>
      <c r="N9272" s="13"/>
      <c r="O9272" s="13"/>
      <c r="P9272" s="13"/>
      <c r="Q9272" s="13"/>
      <c r="R9272" s="13"/>
    </row>
    <row r="9273" spans="8:18" x14ac:dyDescent="0.35">
      <c r="H9273" s="13"/>
      <c r="I9273" s="13"/>
      <c r="J9273" s="13"/>
      <c r="K9273" s="13"/>
      <c r="L9273" s="13"/>
      <c r="M9273" s="13"/>
      <c r="N9273" s="13"/>
      <c r="O9273" s="13"/>
      <c r="P9273" s="13"/>
      <c r="Q9273" s="13"/>
      <c r="R9273" s="13"/>
    </row>
    <row r="9274" spans="8:18" x14ac:dyDescent="0.35">
      <c r="H9274" s="13"/>
      <c r="I9274" s="13"/>
      <c r="J9274" s="13"/>
      <c r="K9274" s="13"/>
      <c r="L9274" s="13"/>
      <c r="M9274" s="13"/>
      <c r="N9274" s="13"/>
      <c r="O9274" s="13"/>
      <c r="P9274" s="13"/>
      <c r="Q9274" s="13"/>
      <c r="R9274" s="13"/>
    </row>
    <row r="9275" spans="8:18" x14ac:dyDescent="0.35">
      <c r="H9275" s="13"/>
      <c r="I9275" s="13"/>
      <c r="J9275" s="13"/>
      <c r="K9275" s="13"/>
      <c r="L9275" s="13"/>
      <c r="M9275" s="13"/>
      <c r="N9275" s="13"/>
      <c r="O9275" s="13"/>
      <c r="P9275" s="13"/>
      <c r="Q9275" s="13"/>
      <c r="R9275" s="13"/>
    </row>
    <row r="9276" spans="8:18" x14ac:dyDescent="0.35">
      <c r="H9276" s="13"/>
      <c r="I9276" s="13"/>
      <c r="J9276" s="13"/>
      <c r="K9276" s="13"/>
      <c r="L9276" s="13"/>
      <c r="M9276" s="13"/>
      <c r="N9276" s="13"/>
      <c r="O9276" s="13"/>
      <c r="P9276" s="13"/>
      <c r="Q9276" s="13"/>
      <c r="R9276" s="13"/>
    </row>
    <row r="9277" spans="8:18" x14ac:dyDescent="0.35">
      <c r="H9277" s="13"/>
      <c r="I9277" s="13"/>
      <c r="J9277" s="13"/>
      <c r="K9277" s="13"/>
      <c r="L9277" s="13"/>
      <c r="M9277" s="13"/>
      <c r="N9277" s="13"/>
      <c r="O9277" s="13"/>
      <c r="P9277" s="13"/>
      <c r="Q9277" s="13"/>
      <c r="R9277" s="13"/>
    </row>
    <row r="9278" spans="8:18" x14ac:dyDescent="0.35">
      <c r="H9278" s="13"/>
      <c r="I9278" s="13"/>
      <c r="J9278" s="13"/>
      <c r="K9278" s="13"/>
      <c r="L9278" s="13"/>
      <c r="M9278" s="13"/>
      <c r="N9278" s="13"/>
      <c r="O9278" s="13"/>
      <c r="P9278" s="13"/>
      <c r="Q9278" s="13"/>
      <c r="R9278" s="13"/>
    </row>
    <row r="9279" spans="8:18" x14ac:dyDescent="0.35">
      <c r="H9279" s="13"/>
      <c r="I9279" s="13"/>
      <c r="J9279" s="13"/>
      <c r="K9279" s="13"/>
      <c r="L9279" s="13"/>
      <c r="M9279" s="13"/>
      <c r="N9279" s="13"/>
      <c r="O9279" s="13"/>
      <c r="P9279" s="13"/>
      <c r="Q9279" s="13"/>
      <c r="R9279" s="13"/>
    </row>
    <row r="9280" spans="8:18" x14ac:dyDescent="0.35">
      <c r="H9280" s="13"/>
      <c r="I9280" s="13"/>
      <c r="J9280" s="13"/>
      <c r="K9280" s="13"/>
      <c r="L9280" s="13"/>
      <c r="M9280" s="13"/>
      <c r="N9280" s="13"/>
      <c r="O9280" s="13"/>
      <c r="P9280" s="13"/>
      <c r="Q9280" s="13"/>
      <c r="R9280" s="13"/>
    </row>
    <row r="9281" spans="8:18" x14ac:dyDescent="0.35">
      <c r="H9281" s="13"/>
      <c r="I9281" s="13"/>
      <c r="J9281" s="13"/>
      <c r="K9281" s="13"/>
      <c r="L9281" s="13"/>
      <c r="M9281" s="13"/>
      <c r="N9281" s="13"/>
      <c r="O9281" s="13"/>
      <c r="P9281" s="13"/>
      <c r="Q9281" s="13"/>
      <c r="R9281" s="13"/>
    </row>
    <row r="9282" spans="8:18" x14ac:dyDescent="0.35">
      <c r="H9282" s="13"/>
      <c r="I9282" s="13"/>
      <c r="J9282" s="13"/>
      <c r="K9282" s="13"/>
      <c r="L9282" s="13"/>
      <c r="M9282" s="13"/>
      <c r="N9282" s="13"/>
      <c r="O9282" s="13"/>
      <c r="P9282" s="13"/>
      <c r="Q9282" s="13"/>
      <c r="R9282" s="13"/>
    </row>
    <row r="9283" spans="8:18" x14ac:dyDescent="0.35">
      <c r="H9283" s="13"/>
      <c r="I9283" s="13"/>
      <c r="J9283" s="13"/>
      <c r="K9283" s="13"/>
      <c r="L9283" s="13"/>
      <c r="M9283" s="13"/>
      <c r="N9283" s="13"/>
      <c r="O9283" s="13"/>
      <c r="P9283" s="13"/>
      <c r="Q9283" s="13"/>
      <c r="R9283" s="13"/>
    </row>
    <row r="9284" spans="8:18" x14ac:dyDescent="0.35">
      <c r="H9284" s="13"/>
      <c r="I9284" s="13"/>
      <c r="J9284" s="13"/>
      <c r="K9284" s="13"/>
      <c r="L9284" s="13"/>
      <c r="M9284" s="13"/>
      <c r="N9284" s="13"/>
      <c r="O9284" s="13"/>
      <c r="P9284" s="13"/>
      <c r="Q9284" s="13"/>
      <c r="R9284" s="13"/>
    </row>
    <row r="9285" spans="8:18" x14ac:dyDescent="0.35">
      <c r="H9285" s="13"/>
      <c r="I9285" s="13"/>
      <c r="J9285" s="13"/>
      <c r="K9285" s="13"/>
      <c r="L9285" s="13"/>
      <c r="M9285" s="13"/>
      <c r="N9285" s="13"/>
      <c r="O9285" s="13"/>
      <c r="P9285" s="13"/>
      <c r="Q9285" s="13"/>
      <c r="R9285" s="13"/>
    </row>
    <row r="9286" spans="8:18" x14ac:dyDescent="0.35">
      <c r="H9286" s="13"/>
      <c r="I9286" s="13"/>
      <c r="J9286" s="13"/>
      <c r="K9286" s="13"/>
      <c r="L9286" s="13"/>
      <c r="M9286" s="13"/>
      <c r="N9286" s="13"/>
      <c r="O9286" s="13"/>
      <c r="P9286" s="13"/>
      <c r="Q9286" s="13"/>
      <c r="R9286" s="13"/>
    </row>
    <row r="9287" spans="8:18" x14ac:dyDescent="0.35">
      <c r="H9287" s="13"/>
      <c r="I9287" s="13"/>
      <c r="J9287" s="13"/>
      <c r="K9287" s="13"/>
      <c r="L9287" s="13"/>
      <c r="M9287" s="13"/>
      <c r="N9287" s="13"/>
      <c r="O9287" s="13"/>
      <c r="P9287" s="13"/>
      <c r="Q9287" s="13"/>
      <c r="R9287" s="13"/>
    </row>
    <row r="9288" spans="8:18" x14ac:dyDescent="0.35">
      <c r="H9288" s="13"/>
      <c r="I9288" s="13"/>
      <c r="J9288" s="13"/>
      <c r="K9288" s="13"/>
      <c r="L9288" s="13"/>
      <c r="M9288" s="13"/>
      <c r="N9288" s="13"/>
      <c r="O9288" s="13"/>
      <c r="P9288" s="13"/>
      <c r="Q9288" s="13"/>
      <c r="R9288" s="13"/>
    </row>
    <row r="9289" spans="8:18" x14ac:dyDescent="0.35">
      <c r="H9289" s="13"/>
      <c r="I9289" s="13"/>
      <c r="J9289" s="13"/>
      <c r="K9289" s="13"/>
      <c r="L9289" s="13"/>
      <c r="M9289" s="13"/>
      <c r="N9289" s="13"/>
      <c r="O9289" s="13"/>
      <c r="P9289" s="13"/>
      <c r="Q9289" s="13"/>
      <c r="R9289" s="13"/>
    </row>
    <row r="9290" spans="8:18" x14ac:dyDescent="0.35">
      <c r="H9290" s="13"/>
      <c r="I9290" s="13"/>
      <c r="J9290" s="13"/>
      <c r="K9290" s="13"/>
      <c r="L9290" s="13"/>
      <c r="M9290" s="13"/>
      <c r="N9290" s="13"/>
      <c r="O9290" s="13"/>
      <c r="P9290" s="13"/>
      <c r="Q9290" s="13"/>
      <c r="R9290" s="13"/>
    </row>
    <row r="9291" spans="8:18" x14ac:dyDescent="0.35">
      <c r="H9291" s="13"/>
      <c r="I9291" s="13"/>
      <c r="J9291" s="13"/>
      <c r="K9291" s="13"/>
      <c r="L9291" s="13"/>
      <c r="M9291" s="13"/>
      <c r="N9291" s="13"/>
      <c r="O9291" s="13"/>
      <c r="P9291" s="13"/>
      <c r="Q9291" s="13"/>
      <c r="R9291" s="13"/>
    </row>
    <row r="9292" spans="8:18" x14ac:dyDescent="0.35">
      <c r="H9292" s="13"/>
      <c r="I9292" s="13"/>
      <c r="J9292" s="13"/>
      <c r="K9292" s="13"/>
      <c r="L9292" s="13"/>
      <c r="M9292" s="13"/>
      <c r="N9292" s="13"/>
      <c r="O9292" s="13"/>
      <c r="P9292" s="13"/>
      <c r="Q9292" s="13"/>
      <c r="R9292" s="13"/>
    </row>
    <row r="9293" spans="8:18" x14ac:dyDescent="0.35">
      <c r="H9293" s="13"/>
      <c r="I9293" s="13"/>
      <c r="J9293" s="13"/>
      <c r="K9293" s="13"/>
      <c r="L9293" s="13"/>
      <c r="M9293" s="13"/>
      <c r="N9293" s="13"/>
      <c r="O9293" s="13"/>
      <c r="P9293" s="13"/>
      <c r="Q9293" s="13"/>
      <c r="R9293" s="13"/>
    </row>
    <row r="9294" spans="8:18" x14ac:dyDescent="0.35">
      <c r="H9294" s="13"/>
      <c r="I9294" s="13"/>
      <c r="J9294" s="13"/>
      <c r="K9294" s="13"/>
      <c r="L9294" s="13"/>
      <c r="M9294" s="13"/>
      <c r="N9294" s="13"/>
      <c r="O9294" s="13"/>
      <c r="P9294" s="13"/>
      <c r="Q9294" s="13"/>
      <c r="R9294" s="13"/>
    </row>
    <row r="9295" spans="8:18" x14ac:dyDescent="0.35">
      <c r="H9295" s="13"/>
      <c r="I9295" s="13"/>
      <c r="J9295" s="13"/>
      <c r="K9295" s="13"/>
      <c r="L9295" s="13"/>
      <c r="M9295" s="13"/>
      <c r="N9295" s="13"/>
      <c r="O9295" s="13"/>
      <c r="P9295" s="13"/>
      <c r="Q9295" s="13"/>
      <c r="R9295" s="13"/>
    </row>
    <row r="9296" spans="8:18" x14ac:dyDescent="0.35">
      <c r="H9296" s="13"/>
      <c r="I9296" s="13"/>
      <c r="J9296" s="13"/>
      <c r="K9296" s="13"/>
      <c r="L9296" s="13"/>
      <c r="M9296" s="13"/>
      <c r="N9296" s="13"/>
      <c r="O9296" s="13"/>
      <c r="P9296" s="13"/>
      <c r="Q9296" s="13"/>
      <c r="R9296" s="13"/>
    </row>
    <row r="9297" spans="8:18" x14ac:dyDescent="0.35">
      <c r="H9297" s="13"/>
      <c r="I9297" s="13"/>
      <c r="J9297" s="13"/>
      <c r="K9297" s="13"/>
      <c r="L9297" s="13"/>
      <c r="M9297" s="13"/>
      <c r="N9297" s="13"/>
      <c r="O9297" s="13"/>
      <c r="P9297" s="13"/>
      <c r="Q9297" s="13"/>
      <c r="R9297" s="13"/>
    </row>
    <row r="9298" spans="8:18" x14ac:dyDescent="0.35">
      <c r="H9298" s="13"/>
      <c r="I9298" s="13"/>
      <c r="J9298" s="13"/>
      <c r="K9298" s="13"/>
      <c r="L9298" s="13"/>
      <c r="M9298" s="13"/>
      <c r="N9298" s="13"/>
      <c r="O9298" s="13"/>
      <c r="P9298" s="13"/>
      <c r="Q9298" s="13"/>
      <c r="R9298" s="13"/>
    </row>
    <row r="9299" spans="8:18" x14ac:dyDescent="0.35">
      <c r="H9299" s="13"/>
      <c r="I9299" s="13"/>
      <c r="J9299" s="13"/>
      <c r="K9299" s="13"/>
      <c r="L9299" s="13"/>
      <c r="M9299" s="13"/>
      <c r="N9299" s="13"/>
      <c r="O9299" s="13"/>
      <c r="P9299" s="13"/>
      <c r="Q9299" s="13"/>
      <c r="R9299" s="13"/>
    </row>
    <row r="9300" spans="8:18" x14ac:dyDescent="0.35">
      <c r="H9300" s="13"/>
      <c r="I9300" s="13"/>
      <c r="J9300" s="13"/>
      <c r="K9300" s="13"/>
      <c r="L9300" s="13"/>
      <c r="M9300" s="13"/>
      <c r="N9300" s="13"/>
      <c r="O9300" s="13"/>
      <c r="P9300" s="13"/>
      <c r="Q9300" s="13"/>
      <c r="R9300" s="13"/>
    </row>
    <row r="9301" spans="8:18" x14ac:dyDescent="0.35">
      <c r="H9301" s="13"/>
      <c r="I9301" s="13"/>
      <c r="J9301" s="13"/>
      <c r="K9301" s="13"/>
      <c r="L9301" s="13"/>
      <c r="M9301" s="13"/>
      <c r="N9301" s="13"/>
      <c r="O9301" s="13"/>
      <c r="P9301" s="13"/>
      <c r="Q9301" s="13"/>
      <c r="R9301" s="13"/>
    </row>
    <row r="9302" spans="8:18" x14ac:dyDescent="0.35">
      <c r="H9302" s="13"/>
      <c r="I9302" s="13"/>
      <c r="J9302" s="13"/>
      <c r="K9302" s="13"/>
      <c r="L9302" s="13"/>
      <c r="M9302" s="13"/>
      <c r="N9302" s="13"/>
      <c r="O9302" s="13"/>
      <c r="P9302" s="13"/>
      <c r="Q9302" s="13"/>
      <c r="R9302" s="13"/>
    </row>
    <row r="9303" spans="8:18" x14ac:dyDescent="0.35">
      <c r="H9303" s="13"/>
      <c r="I9303" s="13"/>
      <c r="J9303" s="13"/>
      <c r="K9303" s="13"/>
      <c r="L9303" s="13"/>
      <c r="M9303" s="13"/>
      <c r="N9303" s="13"/>
      <c r="O9303" s="13"/>
      <c r="P9303" s="13"/>
      <c r="Q9303" s="13"/>
      <c r="R9303" s="13"/>
    </row>
    <row r="9304" spans="8:18" x14ac:dyDescent="0.35">
      <c r="H9304" s="13"/>
      <c r="I9304" s="13"/>
      <c r="J9304" s="13"/>
      <c r="K9304" s="13"/>
      <c r="L9304" s="13"/>
      <c r="M9304" s="13"/>
      <c r="N9304" s="13"/>
      <c r="O9304" s="13"/>
      <c r="P9304" s="13"/>
      <c r="Q9304" s="13"/>
      <c r="R9304" s="13"/>
    </row>
    <row r="9305" spans="8:18" x14ac:dyDescent="0.35">
      <c r="H9305" s="13"/>
      <c r="I9305" s="13"/>
      <c r="J9305" s="13"/>
      <c r="K9305" s="13"/>
      <c r="L9305" s="13"/>
      <c r="M9305" s="13"/>
      <c r="N9305" s="13"/>
      <c r="O9305" s="13"/>
      <c r="P9305" s="13"/>
      <c r="Q9305" s="13"/>
      <c r="R9305" s="13"/>
    </row>
    <row r="9306" spans="8:18" x14ac:dyDescent="0.35">
      <c r="H9306" s="13"/>
      <c r="I9306" s="13"/>
      <c r="J9306" s="13"/>
      <c r="K9306" s="13"/>
      <c r="L9306" s="13"/>
      <c r="M9306" s="13"/>
      <c r="N9306" s="13"/>
      <c r="O9306" s="13"/>
      <c r="P9306" s="13"/>
      <c r="Q9306" s="13"/>
      <c r="R9306" s="13"/>
    </row>
    <row r="9307" spans="8:18" x14ac:dyDescent="0.35">
      <c r="H9307" s="13"/>
      <c r="I9307" s="13"/>
      <c r="J9307" s="13"/>
      <c r="K9307" s="13"/>
      <c r="L9307" s="13"/>
      <c r="M9307" s="13"/>
      <c r="N9307" s="13"/>
      <c r="O9307" s="13"/>
      <c r="P9307" s="13"/>
      <c r="Q9307" s="13"/>
      <c r="R9307" s="13"/>
    </row>
    <row r="9308" spans="8:18" x14ac:dyDescent="0.35">
      <c r="H9308" s="13"/>
      <c r="I9308" s="13"/>
      <c r="J9308" s="13"/>
      <c r="K9308" s="13"/>
      <c r="L9308" s="13"/>
      <c r="M9308" s="13"/>
      <c r="N9308" s="13"/>
      <c r="O9308" s="13"/>
      <c r="P9308" s="13"/>
      <c r="Q9308" s="13"/>
      <c r="R9308" s="13"/>
    </row>
    <row r="9309" spans="8:18" x14ac:dyDescent="0.35">
      <c r="H9309" s="13"/>
      <c r="I9309" s="13"/>
      <c r="J9309" s="13"/>
      <c r="K9309" s="13"/>
      <c r="L9309" s="13"/>
      <c r="M9309" s="13"/>
      <c r="N9309" s="13"/>
      <c r="O9309" s="13"/>
      <c r="P9309" s="13"/>
      <c r="Q9309" s="13"/>
      <c r="R9309" s="13"/>
    </row>
    <row r="9310" spans="8:18" x14ac:dyDescent="0.35">
      <c r="H9310" s="13"/>
      <c r="I9310" s="13"/>
      <c r="J9310" s="13"/>
      <c r="K9310" s="13"/>
      <c r="L9310" s="13"/>
      <c r="M9310" s="13"/>
      <c r="N9310" s="13"/>
      <c r="O9310" s="13"/>
      <c r="P9310" s="13"/>
      <c r="Q9310" s="13"/>
      <c r="R9310" s="13"/>
    </row>
    <row r="9311" spans="8:18" x14ac:dyDescent="0.35">
      <c r="H9311" s="13"/>
      <c r="I9311" s="13"/>
      <c r="J9311" s="13"/>
      <c r="K9311" s="13"/>
      <c r="L9311" s="13"/>
      <c r="M9311" s="13"/>
      <c r="N9311" s="13"/>
      <c r="O9311" s="13"/>
      <c r="P9311" s="13"/>
      <c r="Q9311" s="13"/>
      <c r="R9311" s="13"/>
    </row>
    <row r="9312" spans="8:18" x14ac:dyDescent="0.35">
      <c r="H9312" s="13"/>
      <c r="I9312" s="13"/>
      <c r="J9312" s="13"/>
      <c r="K9312" s="13"/>
      <c r="L9312" s="13"/>
      <c r="M9312" s="13"/>
      <c r="N9312" s="13"/>
      <c r="O9312" s="13"/>
      <c r="P9312" s="13"/>
      <c r="Q9312" s="13"/>
      <c r="R9312" s="13"/>
    </row>
    <row r="9313" spans="8:18" x14ac:dyDescent="0.35">
      <c r="H9313" s="13"/>
      <c r="I9313" s="13"/>
      <c r="J9313" s="13"/>
      <c r="K9313" s="13"/>
      <c r="L9313" s="13"/>
      <c r="M9313" s="13"/>
      <c r="N9313" s="13"/>
      <c r="O9313" s="13"/>
      <c r="P9313" s="13"/>
      <c r="Q9313" s="13"/>
      <c r="R9313" s="13"/>
    </row>
    <row r="9314" spans="8:18" x14ac:dyDescent="0.35">
      <c r="H9314" s="13"/>
      <c r="I9314" s="13"/>
      <c r="J9314" s="13"/>
      <c r="K9314" s="13"/>
      <c r="L9314" s="13"/>
      <c r="M9314" s="13"/>
      <c r="N9314" s="13"/>
      <c r="O9314" s="13"/>
      <c r="P9314" s="13"/>
      <c r="Q9314" s="13"/>
      <c r="R9314" s="13"/>
    </row>
    <row r="9315" spans="8:18" x14ac:dyDescent="0.35">
      <c r="H9315" s="13"/>
      <c r="I9315" s="13"/>
      <c r="J9315" s="13"/>
      <c r="K9315" s="13"/>
      <c r="L9315" s="13"/>
      <c r="M9315" s="13"/>
      <c r="N9315" s="13"/>
      <c r="O9315" s="13"/>
      <c r="P9315" s="13"/>
      <c r="Q9315" s="13"/>
      <c r="R9315" s="13"/>
    </row>
    <row r="9316" spans="8:18" x14ac:dyDescent="0.35">
      <c r="H9316" s="13"/>
      <c r="I9316" s="13"/>
      <c r="J9316" s="13"/>
      <c r="K9316" s="13"/>
      <c r="L9316" s="13"/>
      <c r="M9316" s="13"/>
      <c r="N9316" s="13"/>
      <c r="O9316" s="13"/>
      <c r="P9316" s="13"/>
      <c r="Q9316" s="13"/>
      <c r="R9316" s="13"/>
    </row>
    <row r="9317" spans="8:18" x14ac:dyDescent="0.35">
      <c r="H9317" s="13"/>
      <c r="I9317" s="13"/>
      <c r="J9317" s="13"/>
      <c r="K9317" s="13"/>
      <c r="L9317" s="13"/>
      <c r="M9317" s="13"/>
      <c r="N9317" s="13"/>
      <c r="O9317" s="13"/>
      <c r="P9317" s="13"/>
      <c r="Q9317" s="13"/>
      <c r="R9317" s="13"/>
    </row>
    <row r="9318" spans="8:18" x14ac:dyDescent="0.35">
      <c r="H9318" s="13"/>
      <c r="I9318" s="13"/>
      <c r="J9318" s="13"/>
      <c r="K9318" s="13"/>
      <c r="L9318" s="13"/>
      <c r="M9318" s="13"/>
      <c r="N9318" s="13"/>
      <c r="O9318" s="13"/>
      <c r="P9318" s="13"/>
      <c r="Q9318" s="13"/>
      <c r="R9318" s="13"/>
    </row>
    <row r="9319" spans="8:18" x14ac:dyDescent="0.35">
      <c r="H9319" s="13"/>
      <c r="I9319" s="13"/>
      <c r="J9319" s="13"/>
      <c r="K9319" s="13"/>
      <c r="L9319" s="13"/>
      <c r="M9319" s="13"/>
      <c r="N9319" s="13"/>
      <c r="O9319" s="13"/>
      <c r="P9319" s="13"/>
      <c r="Q9319" s="13"/>
      <c r="R9319" s="13"/>
    </row>
    <row r="9320" spans="8:18" x14ac:dyDescent="0.35">
      <c r="H9320" s="13"/>
      <c r="I9320" s="13"/>
      <c r="J9320" s="13"/>
      <c r="K9320" s="13"/>
      <c r="L9320" s="13"/>
      <c r="M9320" s="13"/>
      <c r="N9320" s="13"/>
      <c r="O9320" s="13"/>
      <c r="P9320" s="13"/>
      <c r="Q9320" s="13"/>
      <c r="R9320" s="13"/>
    </row>
    <row r="9321" spans="8:18" x14ac:dyDescent="0.35">
      <c r="H9321" s="13"/>
      <c r="I9321" s="13"/>
      <c r="J9321" s="13"/>
      <c r="K9321" s="13"/>
      <c r="L9321" s="13"/>
      <c r="M9321" s="13"/>
      <c r="N9321" s="13"/>
      <c r="O9321" s="13"/>
      <c r="P9321" s="13"/>
      <c r="Q9321" s="13"/>
      <c r="R9321" s="13"/>
    </row>
    <row r="9322" spans="8:18" x14ac:dyDescent="0.35">
      <c r="H9322" s="13"/>
      <c r="I9322" s="13"/>
      <c r="J9322" s="13"/>
      <c r="K9322" s="13"/>
      <c r="L9322" s="13"/>
      <c r="M9322" s="13"/>
      <c r="N9322" s="13"/>
      <c r="O9322" s="13"/>
      <c r="P9322" s="13"/>
      <c r="Q9322" s="13"/>
      <c r="R9322" s="13"/>
    </row>
    <row r="9323" spans="8:18" x14ac:dyDescent="0.35">
      <c r="H9323" s="13"/>
      <c r="I9323" s="13"/>
      <c r="J9323" s="13"/>
      <c r="K9323" s="13"/>
      <c r="L9323" s="13"/>
      <c r="M9323" s="13"/>
      <c r="N9323" s="13"/>
      <c r="O9323" s="13"/>
      <c r="P9323" s="13"/>
      <c r="Q9323" s="13"/>
      <c r="R9323" s="13"/>
    </row>
    <row r="9324" spans="8:18" x14ac:dyDescent="0.35">
      <c r="H9324" s="13"/>
      <c r="I9324" s="13"/>
      <c r="J9324" s="13"/>
      <c r="K9324" s="13"/>
      <c r="L9324" s="13"/>
      <c r="M9324" s="13"/>
      <c r="N9324" s="13"/>
      <c r="O9324" s="13"/>
      <c r="P9324" s="13"/>
      <c r="Q9324" s="13"/>
      <c r="R9324" s="13"/>
    </row>
    <row r="9325" spans="8:18" x14ac:dyDescent="0.35">
      <c r="H9325" s="13"/>
      <c r="I9325" s="13"/>
      <c r="J9325" s="13"/>
      <c r="K9325" s="13"/>
      <c r="L9325" s="13"/>
      <c r="M9325" s="13"/>
      <c r="N9325" s="13"/>
      <c r="O9325" s="13"/>
      <c r="P9325" s="13"/>
      <c r="Q9325" s="13"/>
      <c r="R9325" s="13"/>
    </row>
    <row r="9326" spans="8:18" x14ac:dyDescent="0.35">
      <c r="H9326" s="13"/>
      <c r="I9326" s="13"/>
      <c r="J9326" s="13"/>
      <c r="K9326" s="13"/>
      <c r="L9326" s="13"/>
      <c r="M9326" s="13"/>
      <c r="N9326" s="13"/>
      <c r="O9326" s="13"/>
      <c r="P9326" s="13"/>
      <c r="Q9326" s="13"/>
      <c r="R9326" s="13"/>
    </row>
    <row r="9327" spans="8:18" x14ac:dyDescent="0.35">
      <c r="H9327" s="13"/>
      <c r="I9327" s="13"/>
      <c r="J9327" s="13"/>
      <c r="K9327" s="13"/>
      <c r="L9327" s="13"/>
      <c r="M9327" s="13"/>
      <c r="N9327" s="13"/>
      <c r="O9327" s="13"/>
      <c r="P9327" s="13"/>
      <c r="Q9327" s="13"/>
      <c r="R9327" s="13"/>
    </row>
    <row r="9328" spans="8:18" x14ac:dyDescent="0.35">
      <c r="H9328" s="13"/>
      <c r="I9328" s="13"/>
      <c r="J9328" s="13"/>
      <c r="K9328" s="13"/>
      <c r="L9328" s="13"/>
      <c r="M9328" s="13"/>
      <c r="N9328" s="13"/>
      <c r="O9328" s="13"/>
      <c r="P9328" s="13"/>
      <c r="Q9328" s="13"/>
      <c r="R9328" s="13"/>
    </row>
    <row r="9329" spans="8:18" x14ac:dyDescent="0.35">
      <c r="H9329" s="13"/>
      <c r="I9329" s="13"/>
      <c r="J9329" s="13"/>
      <c r="K9329" s="13"/>
      <c r="L9329" s="13"/>
      <c r="M9329" s="13"/>
      <c r="N9329" s="13"/>
      <c r="O9329" s="13"/>
      <c r="P9329" s="13"/>
      <c r="Q9329" s="13"/>
      <c r="R9329" s="13"/>
    </row>
    <row r="9330" spans="8:18" x14ac:dyDescent="0.35">
      <c r="H9330" s="13"/>
      <c r="I9330" s="13"/>
      <c r="J9330" s="13"/>
      <c r="K9330" s="13"/>
      <c r="L9330" s="13"/>
      <c r="M9330" s="13"/>
      <c r="N9330" s="13"/>
      <c r="O9330" s="13"/>
      <c r="P9330" s="13"/>
      <c r="Q9330" s="13"/>
      <c r="R9330" s="13"/>
    </row>
    <row r="9331" spans="8:18" x14ac:dyDescent="0.35">
      <c r="H9331" s="13"/>
      <c r="I9331" s="13"/>
      <c r="J9331" s="13"/>
      <c r="K9331" s="13"/>
      <c r="L9331" s="13"/>
      <c r="M9331" s="13"/>
      <c r="N9331" s="13"/>
      <c r="O9331" s="13"/>
      <c r="P9331" s="13"/>
      <c r="Q9331" s="13"/>
      <c r="R9331" s="13"/>
    </row>
    <row r="9332" spans="8:18" x14ac:dyDescent="0.35">
      <c r="H9332" s="13"/>
      <c r="I9332" s="13"/>
      <c r="J9332" s="13"/>
      <c r="K9332" s="13"/>
      <c r="L9332" s="13"/>
      <c r="M9332" s="13"/>
      <c r="N9332" s="13"/>
      <c r="O9332" s="13"/>
      <c r="P9332" s="13"/>
      <c r="Q9332" s="13"/>
      <c r="R9332" s="13"/>
    </row>
    <row r="9333" spans="8:18" x14ac:dyDescent="0.35">
      <c r="H9333" s="13"/>
      <c r="I9333" s="13"/>
      <c r="J9333" s="13"/>
      <c r="K9333" s="13"/>
      <c r="L9333" s="13"/>
      <c r="M9333" s="13"/>
      <c r="N9333" s="13"/>
      <c r="O9333" s="13"/>
      <c r="P9333" s="13"/>
      <c r="Q9333" s="13"/>
      <c r="R9333" s="13"/>
    </row>
    <row r="9334" spans="8:18" x14ac:dyDescent="0.35">
      <c r="H9334" s="13"/>
      <c r="I9334" s="13"/>
      <c r="J9334" s="13"/>
      <c r="K9334" s="13"/>
      <c r="L9334" s="13"/>
      <c r="M9334" s="13"/>
      <c r="N9334" s="13"/>
      <c r="O9334" s="13"/>
      <c r="P9334" s="13"/>
      <c r="Q9334" s="13"/>
      <c r="R9334" s="13"/>
    </row>
    <row r="9335" spans="8:18" x14ac:dyDescent="0.35">
      <c r="H9335" s="13"/>
      <c r="I9335" s="13"/>
      <c r="J9335" s="13"/>
      <c r="K9335" s="13"/>
      <c r="L9335" s="13"/>
      <c r="M9335" s="13"/>
      <c r="N9335" s="13"/>
      <c r="O9335" s="13"/>
      <c r="P9335" s="13"/>
      <c r="Q9335" s="13"/>
      <c r="R9335" s="13"/>
    </row>
    <row r="9336" spans="8:18" x14ac:dyDescent="0.35">
      <c r="H9336" s="13"/>
      <c r="I9336" s="13"/>
      <c r="J9336" s="13"/>
      <c r="K9336" s="13"/>
      <c r="L9336" s="13"/>
      <c r="M9336" s="13"/>
      <c r="N9336" s="13"/>
      <c r="O9336" s="13"/>
      <c r="P9336" s="13"/>
      <c r="Q9336" s="13"/>
      <c r="R9336" s="13"/>
    </row>
    <row r="9337" spans="8:18" x14ac:dyDescent="0.35">
      <c r="H9337" s="13"/>
      <c r="I9337" s="13"/>
      <c r="J9337" s="13"/>
      <c r="K9337" s="13"/>
      <c r="L9337" s="13"/>
      <c r="M9337" s="13"/>
      <c r="N9337" s="13"/>
      <c r="O9337" s="13"/>
      <c r="P9337" s="13"/>
      <c r="Q9337" s="13"/>
      <c r="R9337" s="13"/>
    </row>
    <row r="9338" spans="8:18" x14ac:dyDescent="0.35">
      <c r="H9338" s="13"/>
      <c r="I9338" s="13"/>
      <c r="J9338" s="13"/>
      <c r="K9338" s="13"/>
      <c r="L9338" s="13"/>
      <c r="M9338" s="13"/>
      <c r="N9338" s="13"/>
      <c r="O9338" s="13"/>
      <c r="P9338" s="13"/>
      <c r="Q9338" s="13"/>
      <c r="R9338" s="13"/>
    </row>
    <row r="9339" spans="8:18" x14ac:dyDescent="0.35">
      <c r="H9339" s="13"/>
      <c r="I9339" s="13"/>
      <c r="J9339" s="13"/>
      <c r="K9339" s="13"/>
      <c r="L9339" s="13"/>
      <c r="M9339" s="13"/>
      <c r="N9339" s="13"/>
      <c r="O9339" s="13"/>
      <c r="P9339" s="13"/>
      <c r="Q9339" s="13"/>
      <c r="R9339" s="13"/>
    </row>
    <row r="9340" spans="8:18" x14ac:dyDescent="0.35">
      <c r="H9340" s="13"/>
      <c r="I9340" s="13"/>
      <c r="J9340" s="13"/>
      <c r="K9340" s="13"/>
      <c r="L9340" s="13"/>
      <c r="M9340" s="13"/>
      <c r="N9340" s="13"/>
      <c r="O9340" s="13"/>
      <c r="P9340" s="13"/>
      <c r="Q9340" s="13"/>
      <c r="R9340" s="13"/>
    </row>
    <row r="9341" spans="8:18" x14ac:dyDescent="0.35">
      <c r="H9341" s="13"/>
      <c r="I9341" s="13"/>
      <c r="J9341" s="13"/>
      <c r="K9341" s="13"/>
      <c r="L9341" s="13"/>
      <c r="M9341" s="13"/>
      <c r="N9341" s="13"/>
      <c r="O9341" s="13"/>
      <c r="P9341" s="13"/>
      <c r="Q9341" s="13"/>
      <c r="R9341" s="13"/>
    </row>
    <row r="9342" spans="8:18" x14ac:dyDescent="0.35">
      <c r="H9342" s="13"/>
      <c r="I9342" s="13"/>
      <c r="J9342" s="13"/>
      <c r="K9342" s="13"/>
      <c r="L9342" s="13"/>
      <c r="M9342" s="13"/>
      <c r="N9342" s="13"/>
      <c r="O9342" s="13"/>
      <c r="P9342" s="13"/>
      <c r="Q9342" s="13"/>
      <c r="R9342" s="13"/>
    </row>
    <row r="9343" spans="8:18" x14ac:dyDescent="0.35">
      <c r="H9343" s="13"/>
      <c r="I9343" s="13"/>
      <c r="J9343" s="13"/>
      <c r="K9343" s="13"/>
      <c r="L9343" s="13"/>
      <c r="M9343" s="13"/>
      <c r="N9343" s="13"/>
      <c r="O9343" s="13"/>
      <c r="P9343" s="13"/>
      <c r="Q9343" s="13"/>
      <c r="R9343" s="13"/>
    </row>
    <row r="9344" spans="8:18" x14ac:dyDescent="0.35">
      <c r="H9344" s="13"/>
      <c r="I9344" s="13"/>
      <c r="J9344" s="13"/>
      <c r="K9344" s="13"/>
      <c r="L9344" s="13"/>
      <c r="M9344" s="13"/>
      <c r="N9344" s="13"/>
      <c r="O9344" s="13"/>
      <c r="P9344" s="13"/>
      <c r="Q9344" s="13"/>
      <c r="R9344" s="13"/>
    </row>
    <row r="9345" spans="8:18" x14ac:dyDescent="0.35">
      <c r="H9345" s="13"/>
      <c r="I9345" s="13"/>
      <c r="J9345" s="13"/>
      <c r="K9345" s="13"/>
      <c r="L9345" s="13"/>
      <c r="M9345" s="13"/>
      <c r="N9345" s="13"/>
      <c r="O9345" s="13"/>
      <c r="P9345" s="13"/>
      <c r="Q9345" s="13"/>
      <c r="R9345" s="13"/>
    </row>
    <row r="9346" spans="8:18" x14ac:dyDescent="0.35">
      <c r="H9346" s="13"/>
      <c r="I9346" s="13"/>
      <c r="J9346" s="13"/>
      <c r="K9346" s="13"/>
      <c r="L9346" s="13"/>
      <c r="M9346" s="13"/>
      <c r="N9346" s="13"/>
      <c r="O9346" s="13"/>
      <c r="P9346" s="13"/>
      <c r="Q9346" s="13"/>
      <c r="R9346" s="13"/>
    </row>
    <row r="9347" spans="8:18" x14ac:dyDescent="0.35">
      <c r="H9347" s="13"/>
      <c r="I9347" s="13"/>
      <c r="J9347" s="13"/>
      <c r="K9347" s="13"/>
      <c r="L9347" s="13"/>
      <c r="M9347" s="13"/>
      <c r="N9347" s="13"/>
      <c r="O9347" s="13"/>
      <c r="P9347" s="13"/>
      <c r="Q9347" s="13"/>
      <c r="R9347" s="13"/>
    </row>
    <row r="9348" spans="8:18" x14ac:dyDescent="0.35">
      <c r="H9348" s="13"/>
      <c r="I9348" s="13"/>
      <c r="J9348" s="13"/>
      <c r="K9348" s="13"/>
      <c r="L9348" s="13"/>
      <c r="M9348" s="13"/>
      <c r="N9348" s="13"/>
      <c r="O9348" s="13"/>
      <c r="P9348" s="13"/>
      <c r="Q9348" s="13"/>
      <c r="R9348" s="13"/>
    </row>
    <row r="9349" spans="8:18" x14ac:dyDescent="0.35">
      <c r="H9349" s="13"/>
      <c r="I9349" s="13"/>
      <c r="J9349" s="13"/>
      <c r="K9349" s="13"/>
      <c r="L9349" s="13"/>
      <c r="M9349" s="13"/>
      <c r="N9349" s="13"/>
      <c r="O9349" s="13"/>
      <c r="P9349" s="13"/>
      <c r="Q9349" s="13"/>
      <c r="R9349" s="13"/>
    </row>
    <row r="9350" spans="8:18" x14ac:dyDescent="0.35">
      <c r="H9350" s="13"/>
      <c r="I9350" s="13"/>
      <c r="J9350" s="13"/>
      <c r="K9350" s="13"/>
      <c r="L9350" s="13"/>
      <c r="M9350" s="13"/>
      <c r="N9350" s="13"/>
      <c r="O9350" s="13"/>
      <c r="P9350" s="13"/>
      <c r="Q9350" s="13"/>
      <c r="R9350" s="13"/>
    </row>
    <row r="9351" spans="8:18" x14ac:dyDescent="0.35">
      <c r="H9351" s="13"/>
      <c r="I9351" s="13"/>
      <c r="J9351" s="13"/>
      <c r="K9351" s="13"/>
      <c r="L9351" s="13"/>
      <c r="M9351" s="13"/>
      <c r="N9351" s="13"/>
      <c r="O9351" s="13"/>
      <c r="P9351" s="13"/>
      <c r="Q9351" s="13"/>
      <c r="R9351" s="13"/>
    </row>
    <row r="9352" spans="8:18" x14ac:dyDescent="0.35">
      <c r="H9352" s="13"/>
      <c r="I9352" s="13"/>
      <c r="J9352" s="13"/>
      <c r="K9352" s="13"/>
      <c r="L9352" s="13"/>
      <c r="M9352" s="13"/>
      <c r="N9352" s="13"/>
      <c r="O9352" s="13"/>
      <c r="P9352" s="13"/>
      <c r="Q9352" s="13"/>
      <c r="R9352" s="13"/>
    </row>
    <row r="9353" spans="8:18" x14ac:dyDescent="0.35">
      <c r="H9353" s="13"/>
      <c r="I9353" s="13"/>
      <c r="J9353" s="13"/>
      <c r="K9353" s="13"/>
      <c r="L9353" s="13"/>
      <c r="M9353" s="13"/>
      <c r="N9353" s="13"/>
      <c r="O9353" s="13"/>
      <c r="P9353" s="13"/>
      <c r="Q9353" s="13"/>
      <c r="R9353" s="13"/>
    </row>
    <row r="9354" spans="8:18" x14ac:dyDescent="0.35">
      <c r="H9354" s="13"/>
      <c r="I9354" s="13"/>
      <c r="J9354" s="13"/>
      <c r="K9354" s="13"/>
      <c r="L9354" s="13"/>
      <c r="M9354" s="13"/>
      <c r="N9354" s="13"/>
      <c r="O9354" s="13"/>
      <c r="P9354" s="13"/>
      <c r="Q9354" s="13"/>
      <c r="R9354" s="13"/>
    </row>
    <row r="9355" spans="8:18" x14ac:dyDescent="0.35">
      <c r="H9355" s="13"/>
      <c r="I9355" s="13"/>
      <c r="J9355" s="13"/>
      <c r="K9355" s="13"/>
      <c r="L9355" s="13"/>
      <c r="M9355" s="13"/>
      <c r="N9355" s="13"/>
      <c r="O9355" s="13"/>
      <c r="P9355" s="13"/>
      <c r="Q9355" s="13"/>
      <c r="R9355" s="13"/>
    </row>
    <row r="9356" spans="8:18" x14ac:dyDescent="0.35">
      <c r="H9356" s="13"/>
      <c r="I9356" s="13"/>
      <c r="J9356" s="13"/>
      <c r="K9356" s="13"/>
      <c r="L9356" s="13"/>
      <c r="M9356" s="13"/>
      <c r="N9356" s="13"/>
      <c r="O9356" s="13"/>
      <c r="P9356" s="13"/>
      <c r="Q9356" s="13"/>
      <c r="R9356" s="13"/>
    </row>
    <row r="9357" spans="8:18" x14ac:dyDescent="0.35">
      <c r="H9357" s="13"/>
      <c r="I9357" s="13"/>
      <c r="J9357" s="13"/>
      <c r="K9357" s="13"/>
      <c r="L9357" s="13"/>
      <c r="M9357" s="13"/>
      <c r="N9357" s="13"/>
      <c r="O9357" s="13"/>
      <c r="P9357" s="13"/>
      <c r="Q9357" s="13"/>
      <c r="R9357" s="13"/>
    </row>
    <row r="9358" spans="8:18" x14ac:dyDescent="0.35">
      <c r="H9358" s="13"/>
      <c r="I9358" s="13"/>
      <c r="J9358" s="13"/>
      <c r="K9358" s="13"/>
      <c r="L9358" s="13"/>
      <c r="M9358" s="13"/>
      <c r="N9358" s="13"/>
      <c r="O9358" s="13"/>
      <c r="P9358" s="13"/>
      <c r="Q9358" s="13"/>
      <c r="R9358" s="13"/>
    </row>
    <row r="9359" spans="8:18" x14ac:dyDescent="0.35">
      <c r="H9359" s="13"/>
      <c r="I9359" s="13"/>
      <c r="J9359" s="13"/>
      <c r="K9359" s="13"/>
      <c r="L9359" s="13"/>
      <c r="M9359" s="13"/>
      <c r="N9359" s="13"/>
      <c r="O9359" s="13"/>
      <c r="P9359" s="13"/>
      <c r="Q9359" s="13"/>
      <c r="R9359" s="13"/>
    </row>
    <row r="9360" spans="8:18" x14ac:dyDescent="0.35">
      <c r="H9360" s="13"/>
      <c r="I9360" s="13"/>
      <c r="J9360" s="13"/>
      <c r="K9360" s="13"/>
      <c r="L9360" s="13"/>
      <c r="M9360" s="13"/>
      <c r="N9360" s="13"/>
      <c r="O9360" s="13"/>
      <c r="P9360" s="13"/>
      <c r="Q9360" s="13"/>
      <c r="R9360" s="13"/>
    </row>
    <row r="9361" spans="8:18" x14ac:dyDescent="0.35">
      <c r="H9361" s="13"/>
      <c r="I9361" s="13"/>
      <c r="J9361" s="13"/>
      <c r="K9361" s="13"/>
      <c r="L9361" s="13"/>
      <c r="M9361" s="13"/>
      <c r="N9361" s="13"/>
      <c r="O9361" s="13"/>
      <c r="P9361" s="13"/>
      <c r="Q9361" s="13"/>
      <c r="R9361" s="13"/>
    </row>
    <row r="9362" spans="8:18" x14ac:dyDescent="0.35">
      <c r="H9362" s="13"/>
      <c r="I9362" s="13"/>
      <c r="J9362" s="13"/>
      <c r="K9362" s="13"/>
      <c r="L9362" s="13"/>
      <c r="M9362" s="13"/>
      <c r="N9362" s="13"/>
      <c r="O9362" s="13"/>
      <c r="P9362" s="13"/>
      <c r="Q9362" s="13"/>
      <c r="R9362" s="13"/>
    </row>
    <row r="9363" spans="8:18" x14ac:dyDescent="0.35">
      <c r="H9363" s="13"/>
      <c r="I9363" s="13"/>
      <c r="J9363" s="13"/>
      <c r="K9363" s="13"/>
      <c r="L9363" s="13"/>
      <c r="M9363" s="13"/>
      <c r="N9363" s="13"/>
      <c r="O9363" s="13"/>
      <c r="P9363" s="13"/>
      <c r="Q9363" s="13"/>
      <c r="R9363" s="13"/>
    </row>
    <row r="9364" spans="8:18" x14ac:dyDescent="0.35">
      <c r="H9364" s="13"/>
      <c r="I9364" s="13"/>
      <c r="J9364" s="13"/>
      <c r="K9364" s="13"/>
      <c r="L9364" s="13"/>
      <c r="M9364" s="13"/>
      <c r="N9364" s="13"/>
      <c r="O9364" s="13"/>
      <c r="P9364" s="13"/>
      <c r="Q9364" s="13"/>
      <c r="R9364" s="13"/>
    </row>
    <row r="9365" spans="8:18" x14ac:dyDescent="0.35">
      <c r="H9365" s="13"/>
      <c r="I9365" s="13"/>
      <c r="J9365" s="13"/>
      <c r="K9365" s="13"/>
      <c r="L9365" s="13"/>
      <c r="M9365" s="13"/>
      <c r="N9365" s="13"/>
      <c r="O9365" s="13"/>
      <c r="P9365" s="13"/>
      <c r="Q9365" s="13"/>
      <c r="R9365" s="13"/>
    </row>
    <row r="9366" spans="8:18" x14ac:dyDescent="0.35">
      <c r="H9366" s="13"/>
      <c r="I9366" s="13"/>
      <c r="J9366" s="13"/>
      <c r="K9366" s="13"/>
      <c r="L9366" s="13"/>
      <c r="M9366" s="13"/>
      <c r="N9366" s="13"/>
      <c r="O9366" s="13"/>
      <c r="P9366" s="13"/>
      <c r="Q9366" s="13"/>
      <c r="R9366" s="13"/>
    </row>
    <row r="9367" spans="8:18" x14ac:dyDescent="0.35">
      <c r="H9367" s="13"/>
      <c r="I9367" s="13"/>
      <c r="J9367" s="13"/>
      <c r="K9367" s="13"/>
      <c r="L9367" s="13"/>
      <c r="M9367" s="13"/>
      <c r="N9367" s="13"/>
      <c r="O9367" s="13"/>
      <c r="P9367" s="13"/>
      <c r="Q9367" s="13"/>
      <c r="R9367" s="13"/>
    </row>
    <row r="9368" spans="8:18" x14ac:dyDescent="0.35">
      <c r="H9368" s="13"/>
      <c r="I9368" s="13"/>
      <c r="J9368" s="13"/>
      <c r="K9368" s="13"/>
      <c r="L9368" s="13"/>
      <c r="M9368" s="13"/>
      <c r="N9368" s="13"/>
      <c r="O9368" s="13"/>
      <c r="P9368" s="13"/>
      <c r="Q9368" s="13"/>
      <c r="R9368" s="13"/>
    </row>
    <row r="9369" spans="8:18" x14ac:dyDescent="0.35">
      <c r="H9369" s="13"/>
      <c r="I9369" s="13"/>
      <c r="J9369" s="13"/>
      <c r="K9369" s="13"/>
      <c r="L9369" s="13"/>
      <c r="M9369" s="13"/>
      <c r="N9369" s="13"/>
      <c r="O9369" s="13"/>
      <c r="P9369" s="13"/>
      <c r="Q9369" s="13"/>
      <c r="R9369" s="13"/>
    </row>
    <row r="9370" spans="8:18" x14ac:dyDescent="0.35">
      <c r="H9370" s="13"/>
      <c r="I9370" s="13"/>
      <c r="J9370" s="13"/>
      <c r="K9370" s="13"/>
      <c r="L9370" s="13"/>
      <c r="M9370" s="13"/>
      <c r="N9370" s="13"/>
      <c r="O9370" s="13"/>
      <c r="P9370" s="13"/>
      <c r="Q9370" s="13"/>
      <c r="R9370" s="13"/>
    </row>
    <row r="9371" spans="8:18" x14ac:dyDescent="0.35">
      <c r="H9371" s="13"/>
      <c r="I9371" s="13"/>
      <c r="J9371" s="13"/>
      <c r="K9371" s="13"/>
      <c r="L9371" s="13"/>
      <c r="M9371" s="13"/>
      <c r="N9371" s="13"/>
      <c r="O9371" s="13"/>
      <c r="P9371" s="13"/>
      <c r="Q9371" s="13"/>
      <c r="R9371" s="13"/>
    </row>
    <row r="9372" spans="8:18" x14ac:dyDescent="0.35">
      <c r="H9372" s="13"/>
      <c r="I9372" s="13"/>
      <c r="J9372" s="13"/>
      <c r="K9372" s="13"/>
      <c r="L9372" s="13"/>
      <c r="M9372" s="13"/>
      <c r="N9372" s="13"/>
      <c r="O9372" s="13"/>
      <c r="P9372" s="13"/>
      <c r="Q9372" s="13"/>
      <c r="R9372" s="13"/>
    </row>
    <row r="9373" spans="8:18" x14ac:dyDescent="0.35">
      <c r="H9373" s="13"/>
      <c r="I9373" s="13"/>
      <c r="J9373" s="13"/>
      <c r="K9373" s="13"/>
      <c r="L9373" s="13"/>
      <c r="M9373" s="13"/>
      <c r="N9373" s="13"/>
      <c r="O9373" s="13"/>
      <c r="P9373" s="13"/>
      <c r="Q9373" s="13"/>
      <c r="R9373" s="13"/>
    </row>
    <row r="9374" spans="8:18" x14ac:dyDescent="0.35">
      <c r="H9374" s="13"/>
      <c r="I9374" s="13"/>
      <c r="J9374" s="13"/>
      <c r="K9374" s="13"/>
      <c r="L9374" s="13"/>
      <c r="M9374" s="13"/>
      <c r="N9374" s="13"/>
      <c r="O9374" s="13"/>
      <c r="P9374" s="13"/>
      <c r="Q9374" s="13"/>
      <c r="R9374" s="13"/>
    </row>
    <row r="9375" spans="8:18" x14ac:dyDescent="0.35">
      <c r="H9375" s="13"/>
      <c r="I9375" s="13"/>
      <c r="J9375" s="13"/>
      <c r="K9375" s="13"/>
      <c r="L9375" s="13"/>
      <c r="M9375" s="13"/>
      <c r="N9375" s="13"/>
      <c r="O9375" s="13"/>
      <c r="P9375" s="13"/>
      <c r="Q9375" s="13"/>
      <c r="R9375" s="13"/>
    </row>
    <row r="9376" spans="8:18" x14ac:dyDescent="0.35">
      <c r="H9376" s="13"/>
      <c r="I9376" s="13"/>
      <c r="J9376" s="13"/>
      <c r="K9376" s="13"/>
      <c r="L9376" s="13"/>
      <c r="M9376" s="13"/>
      <c r="N9376" s="13"/>
      <c r="O9376" s="13"/>
      <c r="P9376" s="13"/>
      <c r="Q9376" s="13"/>
      <c r="R9376" s="13"/>
    </row>
    <row r="9377" spans="8:18" x14ac:dyDescent="0.35">
      <c r="H9377" s="13"/>
      <c r="I9377" s="13"/>
      <c r="J9377" s="13"/>
      <c r="K9377" s="13"/>
      <c r="L9377" s="13"/>
      <c r="M9377" s="13"/>
      <c r="N9377" s="13"/>
      <c r="O9377" s="13"/>
      <c r="P9377" s="13"/>
      <c r="Q9377" s="13"/>
      <c r="R9377" s="13"/>
    </row>
    <row r="9378" spans="8:18" x14ac:dyDescent="0.35">
      <c r="H9378" s="13"/>
      <c r="I9378" s="13"/>
      <c r="J9378" s="13"/>
      <c r="K9378" s="13"/>
      <c r="L9378" s="13"/>
      <c r="M9378" s="13"/>
      <c r="N9378" s="13"/>
      <c r="O9378" s="13"/>
      <c r="P9378" s="13"/>
      <c r="Q9378" s="13"/>
      <c r="R9378" s="13"/>
    </row>
    <row r="9379" spans="8:18" x14ac:dyDescent="0.35">
      <c r="H9379" s="13"/>
      <c r="I9379" s="13"/>
      <c r="J9379" s="13"/>
      <c r="K9379" s="13"/>
      <c r="L9379" s="13"/>
      <c r="M9379" s="13"/>
      <c r="N9379" s="13"/>
      <c r="O9379" s="13"/>
      <c r="P9379" s="13"/>
      <c r="Q9379" s="13"/>
      <c r="R9379" s="13"/>
    </row>
    <row r="9380" spans="8:18" x14ac:dyDescent="0.35">
      <c r="H9380" s="13"/>
      <c r="I9380" s="13"/>
      <c r="J9380" s="13"/>
      <c r="K9380" s="13"/>
      <c r="L9380" s="13"/>
      <c r="M9380" s="13"/>
      <c r="N9380" s="13"/>
      <c r="O9380" s="13"/>
      <c r="P9380" s="13"/>
      <c r="Q9380" s="13"/>
      <c r="R9380" s="13"/>
    </row>
    <row r="9381" spans="8:18" x14ac:dyDescent="0.35">
      <c r="H9381" s="13"/>
      <c r="I9381" s="13"/>
      <c r="J9381" s="13"/>
      <c r="K9381" s="13"/>
      <c r="L9381" s="13"/>
      <c r="M9381" s="13"/>
      <c r="N9381" s="13"/>
      <c r="O9381" s="13"/>
      <c r="P9381" s="13"/>
      <c r="Q9381" s="13"/>
      <c r="R9381" s="13"/>
    </row>
    <row r="9382" spans="8:18" x14ac:dyDescent="0.35">
      <c r="H9382" s="13"/>
      <c r="I9382" s="13"/>
      <c r="J9382" s="13"/>
      <c r="K9382" s="13"/>
      <c r="L9382" s="13"/>
      <c r="M9382" s="13"/>
      <c r="N9382" s="13"/>
      <c r="O9382" s="13"/>
      <c r="P9382" s="13"/>
      <c r="Q9382" s="13"/>
      <c r="R9382" s="13"/>
    </row>
    <row r="9383" spans="8:18" x14ac:dyDescent="0.35">
      <c r="H9383" s="13"/>
      <c r="I9383" s="13"/>
      <c r="J9383" s="13"/>
      <c r="K9383" s="13"/>
      <c r="L9383" s="13"/>
      <c r="M9383" s="13"/>
      <c r="N9383" s="13"/>
      <c r="O9383" s="13"/>
      <c r="P9383" s="13"/>
      <c r="Q9383" s="13"/>
      <c r="R9383" s="13"/>
    </row>
    <row r="9384" spans="8:18" x14ac:dyDescent="0.35">
      <c r="H9384" s="13"/>
      <c r="I9384" s="13"/>
      <c r="J9384" s="13"/>
      <c r="K9384" s="13"/>
      <c r="L9384" s="13"/>
      <c r="M9384" s="13"/>
      <c r="N9384" s="13"/>
      <c r="O9384" s="13"/>
      <c r="P9384" s="13"/>
      <c r="Q9384" s="13"/>
      <c r="R9384" s="13"/>
    </row>
    <row r="9385" spans="8:18" x14ac:dyDescent="0.35">
      <c r="H9385" s="13"/>
      <c r="I9385" s="13"/>
      <c r="J9385" s="13"/>
      <c r="K9385" s="13"/>
      <c r="L9385" s="13"/>
      <c r="M9385" s="13"/>
      <c r="N9385" s="13"/>
      <c r="O9385" s="13"/>
      <c r="P9385" s="13"/>
      <c r="Q9385" s="13"/>
      <c r="R9385" s="13"/>
    </row>
    <row r="9386" spans="8:18" x14ac:dyDescent="0.35">
      <c r="H9386" s="13"/>
      <c r="I9386" s="13"/>
      <c r="J9386" s="13"/>
      <c r="K9386" s="13"/>
      <c r="L9386" s="13"/>
      <c r="M9386" s="13"/>
      <c r="N9386" s="13"/>
      <c r="O9386" s="13"/>
      <c r="P9386" s="13"/>
      <c r="Q9386" s="13"/>
      <c r="R9386" s="13"/>
    </row>
    <row r="9387" spans="8:18" x14ac:dyDescent="0.35">
      <c r="H9387" s="13"/>
      <c r="I9387" s="13"/>
      <c r="J9387" s="13"/>
      <c r="K9387" s="13"/>
      <c r="L9387" s="13"/>
      <c r="M9387" s="13"/>
      <c r="N9387" s="13"/>
      <c r="O9387" s="13"/>
      <c r="P9387" s="13"/>
      <c r="Q9387" s="13"/>
      <c r="R9387" s="13"/>
    </row>
    <row r="9388" spans="8:18" x14ac:dyDescent="0.35">
      <c r="H9388" s="13"/>
      <c r="I9388" s="13"/>
      <c r="J9388" s="13"/>
      <c r="K9388" s="13"/>
      <c r="L9388" s="13"/>
      <c r="M9388" s="13"/>
      <c r="N9388" s="13"/>
      <c r="O9388" s="13"/>
      <c r="P9388" s="13"/>
      <c r="Q9388" s="13"/>
      <c r="R9388" s="13"/>
    </row>
    <row r="9389" spans="8:18" x14ac:dyDescent="0.35">
      <c r="H9389" s="13"/>
      <c r="I9389" s="13"/>
      <c r="J9389" s="13"/>
      <c r="K9389" s="13"/>
      <c r="L9389" s="13"/>
      <c r="M9389" s="13"/>
      <c r="N9389" s="13"/>
      <c r="O9389" s="13"/>
      <c r="P9389" s="13"/>
      <c r="Q9389" s="13"/>
      <c r="R9389" s="13"/>
    </row>
    <row r="9390" spans="8:18" x14ac:dyDescent="0.35">
      <c r="H9390" s="13"/>
      <c r="I9390" s="13"/>
      <c r="J9390" s="13"/>
      <c r="K9390" s="13"/>
      <c r="L9390" s="13"/>
      <c r="M9390" s="13"/>
      <c r="N9390" s="13"/>
      <c r="O9390" s="13"/>
      <c r="P9390" s="13"/>
      <c r="Q9390" s="13"/>
      <c r="R9390" s="13"/>
    </row>
    <row r="9391" spans="8:18" x14ac:dyDescent="0.35">
      <c r="H9391" s="13"/>
      <c r="I9391" s="13"/>
      <c r="J9391" s="13"/>
      <c r="K9391" s="13"/>
      <c r="L9391" s="13"/>
      <c r="M9391" s="13"/>
      <c r="N9391" s="13"/>
      <c r="O9391" s="13"/>
      <c r="P9391" s="13"/>
      <c r="Q9391" s="13"/>
      <c r="R9391" s="13"/>
    </row>
    <row r="9392" spans="8:18" x14ac:dyDescent="0.35">
      <c r="H9392" s="13"/>
      <c r="I9392" s="13"/>
      <c r="J9392" s="13"/>
      <c r="K9392" s="13"/>
      <c r="L9392" s="13"/>
      <c r="M9392" s="13"/>
      <c r="N9392" s="13"/>
      <c r="O9392" s="13"/>
      <c r="P9392" s="13"/>
      <c r="Q9392" s="13"/>
      <c r="R9392" s="13"/>
    </row>
    <row r="9393" spans="8:18" x14ac:dyDescent="0.35">
      <c r="H9393" s="13"/>
      <c r="I9393" s="13"/>
      <c r="J9393" s="13"/>
      <c r="K9393" s="13"/>
      <c r="L9393" s="13"/>
      <c r="M9393" s="13"/>
      <c r="N9393" s="13"/>
      <c r="O9393" s="13"/>
      <c r="P9393" s="13"/>
      <c r="Q9393" s="13"/>
      <c r="R9393" s="13"/>
    </row>
    <row r="9394" spans="8:18" x14ac:dyDescent="0.35">
      <c r="H9394" s="13"/>
      <c r="I9394" s="13"/>
      <c r="J9394" s="13"/>
      <c r="K9394" s="13"/>
      <c r="L9394" s="13"/>
      <c r="M9394" s="13"/>
      <c r="N9394" s="13"/>
      <c r="O9394" s="13"/>
      <c r="P9394" s="13"/>
      <c r="Q9394" s="13"/>
      <c r="R9394" s="13"/>
    </row>
    <row r="9395" spans="8:18" x14ac:dyDescent="0.35">
      <c r="H9395" s="13"/>
      <c r="I9395" s="13"/>
      <c r="J9395" s="13"/>
      <c r="K9395" s="13"/>
      <c r="L9395" s="13"/>
      <c r="M9395" s="13"/>
      <c r="N9395" s="13"/>
      <c r="O9395" s="13"/>
      <c r="P9395" s="13"/>
      <c r="Q9395" s="13"/>
      <c r="R9395" s="13"/>
    </row>
    <row r="9396" spans="8:18" x14ac:dyDescent="0.35">
      <c r="H9396" s="13"/>
      <c r="I9396" s="13"/>
      <c r="J9396" s="13"/>
      <c r="K9396" s="13"/>
      <c r="L9396" s="13"/>
      <c r="M9396" s="13"/>
      <c r="N9396" s="13"/>
      <c r="O9396" s="13"/>
      <c r="P9396" s="13"/>
      <c r="Q9396" s="13"/>
      <c r="R9396" s="13"/>
    </row>
    <row r="9397" spans="8:18" x14ac:dyDescent="0.35">
      <c r="H9397" s="13"/>
      <c r="I9397" s="13"/>
      <c r="J9397" s="13"/>
      <c r="K9397" s="13"/>
      <c r="L9397" s="13"/>
      <c r="M9397" s="13"/>
      <c r="N9397" s="13"/>
      <c r="O9397" s="13"/>
      <c r="P9397" s="13"/>
      <c r="Q9397" s="13"/>
      <c r="R9397" s="13"/>
    </row>
    <row r="9398" spans="8:18" x14ac:dyDescent="0.35">
      <c r="H9398" s="13"/>
      <c r="I9398" s="13"/>
      <c r="J9398" s="13"/>
      <c r="K9398" s="13"/>
      <c r="L9398" s="13"/>
      <c r="M9398" s="13"/>
      <c r="N9398" s="13"/>
      <c r="O9398" s="13"/>
      <c r="P9398" s="13"/>
      <c r="Q9398" s="13"/>
      <c r="R9398" s="13"/>
    </row>
    <row r="9399" spans="8:18" x14ac:dyDescent="0.35">
      <c r="H9399" s="13"/>
      <c r="I9399" s="13"/>
      <c r="J9399" s="13"/>
      <c r="K9399" s="13"/>
      <c r="L9399" s="13"/>
      <c r="M9399" s="13"/>
      <c r="N9399" s="13"/>
      <c r="O9399" s="13"/>
      <c r="P9399" s="13"/>
      <c r="Q9399" s="13"/>
      <c r="R9399" s="13"/>
    </row>
    <row r="9400" spans="8:18" x14ac:dyDescent="0.35">
      <c r="H9400" s="13"/>
      <c r="I9400" s="13"/>
      <c r="J9400" s="13"/>
      <c r="K9400" s="13"/>
      <c r="L9400" s="13"/>
      <c r="M9400" s="13"/>
      <c r="N9400" s="13"/>
      <c r="O9400" s="13"/>
      <c r="P9400" s="13"/>
      <c r="Q9400" s="13"/>
      <c r="R9400" s="13"/>
    </row>
    <row r="9401" spans="8:18" x14ac:dyDescent="0.35">
      <c r="H9401" s="13"/>
      <c r="I9401" s="13"/>
      <c r="J9401" s="13"/>
      <c r="K9401" s="13"/>
      <c r="L9401" s="13"/>
      <c r="M9401" s="13"/>
      <c r="N9401" s="13"/>
      <c r="O9401" s="13"/>
      <c r="P9401" s="13"/>
      <c r="Q9401" s="13"/>
      <c r="R9401" s="13"/>
    </row>
    <row r="9402" spans="8:18" x14ac:dyDescent="0.35">
      <c r="H9402" s="13"/>
      <c r="I9402" s="13"/>
      <c r="J9402" s="13"/>
      <c r="K9402" s="13"/>
      <c r="L9402" s="13"/>
      <c r="M9402" s="13"/>
      <c r="N9402" s="13"/>
      <c r="O9402" s="13"/>
      <c r="P9402" s="13"/>
      <c r="Q9402" s="13"/>
      <c r="R9402" s="13"/>
    </row>
    <row r="9403" spans="8:18" x14ac:dyDescent="0.35">
      <c r="H9403" s="13"/>
      <c r="I9403" s="13"/>
      <c r="J9403" s="13"/>
      <c r="K9403" s="13"/>
      <c r="L9403" s="13"/>
      <c r="M9403" s="13"/>
      <c r="N9403" s="13"/>
      <c r="O9403" s="13"/>
      <c r="P9403" s="13"/>
      <c r="Q9403" s="13"/>
      <c r="R9403" s="13"/>
    </row>
    <row r="9404" spans="8:18" x14ac:dyDescent="0.35">
      <c r="H9404" s="13"/>
      <c r="I9404" s="13"/>
      <c r="J9404" s="13"/>
      <c r="K9404" s="13"/>
      <c r="L9404" s="13"/>
      <c r="M9404" s="13"/>
      <c r="N9404" s="13"/>
      <c r="O9404" s="13"/>
      <c r="P9404" s="13"/>
      <c r="Q9404" s="13"/>
      <c r="R9404" s="13"/>
    </row>
    <row r="9405" spans="8:18" x14ac:dyDescent="0.35">
      <c r="H9405" s="13"/>
      <c r="I9405" s="13"/>
      <c r="J9405" s="13"/>
      <c r="K9405" s="13"/>
      <c r="L9405" s="13"/>
      <c r="M9405" s="13"/>
      <c r="N9405" s="13"/>
      <c r="O9405" s="13"/>
      <c r="P9405" s="13"/>
      <c r="Q9405" s="13"/>
      <c r="R9405" s="13"/>
    </row>
    <row r="9406" spans="8:18" x14ac:dyDescent="0.35">
      <c r="H9406" s="13"/>
      <c r="I9406" s="13"/>
      <c r="J9406" s="13"/>
      <c r="K9406" s="13"/>
      <c r="L9406" s="13"/>
      <c r="M9406" s="13"/>
      <c r="N9406" s="13"/>
      <c r="O9406" s="13"/>
      <c r="P9406" s="13"/>
      <c r="Q9406" s="13"/>
      <c r="R9406" s="13"/>
    </row>
    <row r="9407" spans="8:18" x14ac:dyDescent="0.35">
      <c r="H9407" s="13"/>
      <c r="I9407" s="13"/>
      <c r="J9407" s="13"/>
      <c r="K9407" s="13"/>
      <c r="L9407" s="13"/>
      <c r="M9407" s="13"/>
      <c r="N9407" s="13"/>
      <c r="O9407" s="13"/>
      <c r="P9407" s="13"/>
      <c r="Q9407" s="13"/>
      <c r="R9407" s="13"/>
    </row>
    <row r="9408" spans="8:18" x14ac:dyDescent="0.35"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</row>
    <row r="9409" spans="8:18" x14ac:dyDescent="0.35">
      <c r="H9409" s="13"/>
      <c r="I9409" s="13"/>
      <c r="J9409" s="13"/>
      <c r="K9409" s="13"/>
      <c r="L9409" s="13"/>
      <c r="M9409" s="13"/>
      <c r="N9409" s="13"/>
      <c r="O9409" s="13"/>
      <c r="P9409" s="13"/>
      <c r="Q9409" s="13"/>
      <c r="R9409" s="13"/>
    </row>
    <row r="9410" spans="8:18" x14ac:dyDescent="0.35">
      <c r="H9410" s="13"/>
      <c r="I9410" s="13"/>
      <c r="J9410" s="13"/>
      <c r="K9410" s="13"/>
      <c r="L9410" s="13"/>
      <c r="M9410" s="13"/>
      <c r="N9410" s="13"/>
      <c r="O9410" s="13"/>
      <c r="P9410" s="13"/>
      <c r="Q9410" s="13"/>
      <c r="R9410" s="13"/>
    </row>
    <row r="9411" spans="8:18" x14ac:dyDescent="0.35">
      <c r="H9411" s="13"/>
      <c r="I9411" s="13"/>
      <c r="J9411" s="13"/>
      <c r="K9411" s="13"/>
      <c r="L9411" s="13"/>
      <c r="M9411" s="13"/>
      <c r="N9411" s="13"/>
      <c r="O9411" s="13"/>
      <c r="P9411" s="13"/>
      <c r="Q9411" s="13"/>
      <c r="R9411" s="13"/>
    </row>
    <row r="9412" spans="8:18" x14ac:dyDescent="0.35">
      <c r="H9412" s="13"/>
      <c r="I9412" s="13"/>
      <c r="J9412" s="13"/>
      <c r="K9412" s="13"/>
      <c r="L9412" s="13"/>
      <c r="M9412" s="13"/>
      <c r="N9412" s="13"/>
      <c r="O9412" s="13"/>
      <c r="P9412" s="13"/>
      <c r="Q9412" s="13"/>
      <c r="R9412" s="13"/>
    </row>
    <row r="9413" spans="8:18" x14ac:dyDescent="0.35">
      <c r="H9413" s="13"/>
      <c r="I9413" s="13"/>
      <c r="J9413" s="13"/>
      <c r="K9413" s="13"/>
      <c r="L9413" s="13"/>
      <c r="M9413" s="13"/>
      <c r="N9413" s="13"/>
      <c r="O9413" s="13"/>
      <c r="P9413" s="13"/>
      <c r="Q9413" s="13"/>
      <c r="R9413" s="13"/>
    </row>
    <row r="9414" spans="8:18" x14ac:dyDescent="0.35">
      <c r="H9414" s="13"/>
      <c r="I9414" s="13"/>
      <c r="J9414" s="13"/>
      <c r="K9414" s="13"/>
      <c r="L9414" s="13"/>
      <c r="M9414" s="13"/>
      <c r="N9414" s="13"/>
      <c r="O9414" s="13"/>
      <c r="P9414" s="13"/>
      <c r="Q9414" s="13"/>
      <c r="R9414" s="13"/>
    </row>
    <row r="9415" spans="8:18" x14ac:dyDescent="0.35">
      <c r="H9415" s="13"/>
      <c r="I9415" s="13"/>
      <c r="J9415" s="13"/>
      <c r="K9415" s="13"/>
      <c r="L9415" s="13"/>
      <c r="M9415" s="13"/>
      <c r="N9415" s="13"/>
      <c r="O9415" s="13"/>
      <c r="P9415" s="13"/>
      <c r="Q9415" s="13"/>
      <c r="R9415" s="13"/>
    </row>
    <row r="9416" spans="8:18" x14ac:dyDescent="0.35">
      <c r="H9416" s="13"/>
      <c r="I9416" s="13"/>
      <c r="J9416" s="13"/>
      <c r="K9416" s="13"/>
      <c r="L9416" s="13"/>
      <c r="M9416" s="13"/>
      <c r="N9416" s="13"/>
      <c r="O9416" s="13"/>
      <c r="P9416" s="13"/>
      <c r="Q9416" s="13"/>
      <c r="R9416" s="13"/>
    </row>
    <row r="9417" spans="8:18" x14ac:dyDescent="0.35">
      <c r="H9417" s="13"/>
      <c r="I9417" s="13"/>
      <c r="J9417" s="13"/>
      <c r="K9417" s="13"/>
      <c r="L9417" s="13"/>
      <c r="M9417" s="13"/>
      <c r="N9417" s="13"/>
      <c r="O9417" s="13"/>
      <c r="P9417" s="13"/>
      <c r="Q9417" s="13"/>
      <c r="R9417" s="13"/>
    </row>
    <row r="9418" spans="8:18" x14ac:dyDescent="0.35">
      <c r="H9418" s="13"/>
      <c r="I9418" s="13"/>
      <c r="J9418" s="13"/>
      <c r="K9418" s="13"/>
      <c r="L9418" s="13"/>
      <c r="M9418" s="13"/>
      <c r="N9418" s="13"/>
      <c r="O9418" s="13"/>
      <c r="P9418" s="13"/>
      <c r="Q9418" s="13"/>
      <c r="R9418" s="13"/>
    </row>
    <row r="9419" spans="8:18" x14ac:dyDescent="0.35">
      <c r="H9419" s="13"/>
      <c r="I9419" s="13"/>
      <c r="J9419" s="13"/>
      <c r="K9419" s="13"/>
      <c r="L9419" s="13"/>
      <c r="M9419" s="13"/>
      <c r="N9419" s="13"/>
      <c r="O9419" s="13"/>
      <c r="P9419" s="13"/>
      <c r="Q9419" s="13"/>
      <c r="R9419" s="13"/>
    </row>
    <row r="9420" spans="8:18" x14ac:dyDescent="0.35">
      <c r="H9420" s="13"/>
      <c r="I9420" s="13"/>
      <c r="J9420" s="13"/>
      <c r="K9420" s="13"/>
      <c r="L9420" s="13"/>
      <c r="M9420" s="13"/>
      <c r="N9420" s="13"/>
      <c r="O9420" s="13"/>
      <c r="P9420" s="13"/>
      <c r="Q9420" s="13"/>
      <c r="R9420" s="13"/>
    </row>
    <row r="9421" spans="8:18" x14ac:dyDescent="0.35">
      <c r="H9421" s="13"/>
      <c r="I9421" s="13"/>
      <c r="J9421" s="13"/>
      <c r="K9421" s="13"/>
      <c r="L9421" s="13"/>
      <c r="M9421" s="13"/>
      <c r="N9421" s="13"/>
      <c r="O9421" s="13"/>
      <c r="P9421" s="13"/>
      <c r="Q9421" s="13"/>
      <c r="R9421" s="13"/>
    </row>
    <row r="9422" spans="8:18" x14ac:dyDescent="0.35">
      <c r="H9422" s="13"/>
      <c r="I9422" s="13"/>
      <c r="J9422" s="13"/>
      <c r="K9422" s="13"/>
      <c r="L9422" s="13"/>
      <c r="M9422" s="13"/>
      <c r="N9422" s="13"/>
      <c r="O9422" s="13"/>
      <c r="P9422" s="13"/>
      <c r="Q9422" s="13"/>
      <c r="R9422" s="13"/>
    </row>
    <row r="9423" spans="8:18" x14ac:dyDescent="0.35">
      <c r="H9423" s="13"/>
      <c r="I9423" s="13"/>
      <c r="J9423" s="13"/>
      <c r="K9423" s="13"/>
      <c r="L9423" s="13"/>
      <c r="M9423" s="13"/>
      <c r="N9423" s="13"/>
      <c r="O9423" s="13"/>
      <c r="P9423" s="13"/>
      <c r="Q9423" s="13"/>
      <c r="R9423" s="13"/>
    </row>
    <row r="9424" spans="8:18" x14ac:dyDescent="0.35">
      <c r="H9424" s="13"/>
      <c r="I9424" s="13"/>
      <c r="J9424" s="13"/>
      <c r="K9424" s="13"/>
      <c r="L9424" s="13"/>
      <c r="M9424" s="13"/>
      <c r="N9424" s="13"/>
      <c r="O9424" s="13"/>
      <c r="P9424" s="13"/>
      <c r="Q9424" s="13"/>
      <c r="R9424" s="13"/>
    </row>
    <row r="9425" spans="8:18" x14ac:dyDescent="0.35">
      <c r="H9425" s="13"/>
      <c r="I9425" s="13"/>
      <c r="J9425" s="13"/>
      <c r="K9425" s="13"/>
      <c r="L9425" s="13"/>
      <c r="M9425" s="13"/>
      <c r="N9425" s="13"/>
      <c r="O9425" s="13"/>
      <c r="P9425" s="13"/>
      <c r="Q9425" s="13"/>
      <c r="R9425" s="13"/>
    </row>
    <row r="9426" spans="8:18" x14ac:dyDescent="0.35">
      <c r="H9426" s="13"/>
      <c r="I9426" s="13"/>
      <c r="J9426" s="13"/>
      <c r="K9426" s="13"/>
      <c r="L9426" s="13"/>
      <c r="M9426" s="13"/>
      <c r="N9426" s="13"/>
      <c r="O9426" s="13"/>
      <c r="P9426" s="13"/>
      <c r="Q9426" s="13"/>
      <c r="R9426" s="13"/>
    </row>
    <row r="9427" spans="8:18" x14ac:dyDescent="0.35">
      <c r="H9427" s="13"/>
      <c r="I9427" s="13"/>
      <c r="J9427" s="13"/>
      <c r="K9427" s="13"/>
      <c r="L9427" s="13"/>
      <c r="M9427" s="13"/>
      <c r="N9427" s="13"/>
      <c r="O9427" s="13"/>
      <c r="P9427" s="13"/>
      <c r="Q9427" s="13"/>
      <c r="R9427" s="13"/>
    </row>
    <row r="9428" spans="8:18" x14ac:dyDescent="0.35">
      <c r="H9428" s="13"/>
      <c r="I9428" s="13"/>
      <c r="J9428" s="13"/>
      <c r="K9428" s="13"/>
      <c r="L9428" s="13"/>
      <c r="M9428" s="13"/>
      <c r="N9428" s="13"/>
      <c r="O9428" s="13"/>
      <c r="P9428" s="13"/>
      <c r="Q9428" s="13"/>
      <c r="R9428" s="13"/>
    </row>
    <row r="9429" spans="8:18" x14ac:dyDescent="0.35">
      <c r="H9429" s="13"/>
      <c r="I9429" s="13"/>
      <c r="J9429" s="13"/>
      <c r="K9429" s="13"/>
      <c r="L9429" s="13"/>
      <c r="M9429" s="13"/>
      <c r="N9429" s="13"/>
      <c r="O9429" s="13"/>
      <c r="P9429" s="13"/>
      <c r="Q9429" s="13"/>
      <c r="R9429" s="13"/>
    </row>
    <row r="9430" spans="8:18" x14ac:dyDescent="0.35">
      <c r="H9430" s="13"/>
      <c r="I9430" s="13"/>
      <c r="J9430" s="13"/>
      <c r="K9430" s="13"/>
      <c r="L9430" s="13"/>
      <c r="M9430" s="13"/>
      <c r="N9430" s="13"/>
      <c r="O9430" s="13"/>
      <c r="P9430" s="13"/>
      <c r="Q9430" s="13"/>
      <c r="R9430" s="13"/>
    </row>
    <row r="9431" spans="8:18" x14ac:dyDescent="0.35">
      <c r="H9431" s="13"/>
      <c r="I9431" s="13"/>
      <c r="J9431" s="13"/>
      <c r="K9431" s="13"/>
      <c r="L9431" s="13"/>
      <c r="M9431" s="13"/>
      <c r="N9431" s="13"/>
      <c r="O9431" s="13"/>
      <c r="P9431" s="13"/>
      <c r="Q9431" s="13"/>
      <c r="R9431" s="13"/>
    </row>
    <row r="9432" spans="8:18" x14ac:dyDescent="0.35">
      <c r="H9432" s="13"/>
      <c r="I9432" s="13"/>
      <c r="J9432" s="13"/>
      <c r="K9432" s="13"/>
      <c r="L9432" s="13"/>
      <c r="M9432" s="13"/>
      <c r="N9432" s="13"/>
      <c r="O9432" s="13"/>
      <c r="P9432" s="13"/>
      <c r="Q9432" s="13"/>
      <c r="R9432" s="13"/>
    </row>
    <row r="9433" spans="8:18" x14ac:dyDescent="0.35">
      <c r="H9433" s="13"/>
      <c r="I9433" s="13"/>
      <c r="J9433" s="13"/>
      <c r="K9433" s="13"/>
      <c r="L9433" s="13"/>
      <c r="M9433" s="13"/>
      <c r="N9433" s="13"/>
      <c r="O9433" s="13"/>
      <c r="P9433" s="13"/>
      <c r="Q9433" s="13"/>
      <c r="R9433" s="13"/>
    </row>
    <row r="9434" spans="8:18" x14ac:dyDescent="0.35">
      <c r="H9434" s="13"/>
      <c r="I9434" s="13"/>
      <c r="J9434" s="13"/>
      <c r="K9434" s="13"/>
      <c r="L9434" s="13"/>
      <c r="M9434" s="13"/>
      <c r="N9434" s="13"/>
      <c r="O9434" s="13"/>
      <c r="P9434" s="13"/>
      <c r="Q9434" s="13"/>
      <c r="R9434" s="13"/>
    </row>
    <row r="9435" spans="8:18" x14ac:dyDescent="0.35">
      <c r="H9435" s="13"/>
      <c r="I9435" s="13"/>
      <c r="J9435" s="13"/>
      <c r="K9435" s="13"/>
      <c r="L9435" s="13"/>
      <c r="M9435" s="13"/>
      <c r="N9435" s="13"/>
      <c r="O9435" s="13"/>
      <c r="P9435" s="13"/>
      <c r="Q9435" s="13"/>
      <c r="R9435" s="13"/>
    </row>
    <row r="9436" spans="8:18" x14ac:dyDescent="0.35">
      <c r="H9436" s="13"/>
      <c r="I9436" s="13"/>
      <c r="J9436" s="13"/>
      <c r="K9436" s="13"/>
      <c r="L9436" s="13"/>
      <c r="M9436" s="13"/>
      <c r="N9436" s="13"/>
      <c r="O9436" s="13"/>
      <c r="P9436" s="13"/>
      <c r="Q9436" s="13"/>
      <c r="R9436" s="13"/>
    </row>
    <row r="9437" spans="8:18" x14ac:dyDescent="0.35">
      <c r="H9437" s="13"/>
      <c r="I9437" s="13"/>
      <c r="J9437" s="13"/>
      <c r="K9437" s="13"/>
      <c r="L9437" s="13"/>
      <c r="M9437" s="13"/>
      <c r="N9437" s="13"/>
      <c r="O9437" s="13"/>
      <c r="P9437" s="13"/>
      <c r="Q9437" s="13"/>
      <c r="R9437" s="13"/>
    </row>
    <row r="9438" spans="8:18" x14ac:dyDescent="0.35">
      <c r="H9438" s="13"/>
      <c r="I9438" s="13"/>
      <c r="J9438" s="13"/>
      <c r="K9438" s="13"/>
      <c r="L9438" s="13"/>
      <c r="M9438" s="13"/>
      <c r="N9438" s="13"/>
      <c r="O9438" s="13"/>
      <c r="P9438" s="13"/>
      <c r="Q9438" s="13"/>
      <c r="R9438" s="13"/>
    </row>
    <row r="9439" spans="8:18" x14ac:dyDescent="0.35">
      <c r="H9439" s="13"/>
      <c r="I9439" s="13"/>
      <c r="J9439" s="13"/>
      <c r="K9439" s="13"/>
      <c r="L9439" s="13"/>
      <c r="M9439" s="13"/>
      <c r="N9439" s="13"/>
      <c r="O9439" s="13"/>
      <c r="P9439" s="13"/>
      <c r="Q9439" s="13"/>
      <c r="R9439" s="13"/>
    </row>
    <row r="9440" spans="8:18" x14ac:dyDescent="0.35">
      <c r="H9440" s="13"/>
      <c r="I9440" s="13"/>
      <c r="J9440" s="13"/>
      <c r="K9440" s="13"/>
      <c r="L9440" s="13"/>
      <c r="M9440" s="13"/>
      <c r="N9440" s="13"/>
      <c r="O9440" s="13"/>
      <c r="P9440" s="13"/>
      <c r="Q9440" s="13"/>
      <c r="R9440" s="13"/>
    </row>
    <row r="9441" spans="8:18" x14ac:dyDescent="0.35">
      <c r="H9441" s="13"/>
      <c r="I9441" s="13"/>
      <c r="J9441" s="13"/>
      <c r="K9441" s="13"/>
      <c r="L9441" s="13"/>
      <c r="M9441" s="13"/>
      <c r="N9441" s="13"/>
      <c r="O9441" s="13"/>
      <c r="P9441" s="13"/>
      <c r="Q9441" s="13"/>
      <c r="R9441" s="13"/>
    </row>
    <row r="9442" spans="8:18" x14ac:dyDescent="0.35">
      <c r="H9442" s="13"/>
      <c r="I9442" s="13"/>
      <c r="J9442" s="13"/>
      <c r="K9442" s="13"/>
      <c r="L9442" s="13"/>
      <c r="M9442" s="13"/>
      <c r="N9442" s="13"/>
      <c r="O9442" s="13"/>
      <c r="P9442" s="13"/>
      <c r="Q9442" s="13"/>
      <c r="R9442" s="13"/>
    </row>
    <row r="9443" spans="8:18" x14ac:dyDescent="0.35">
      <c r="H9443" s="13"/>
      <c r="I9443" s="13"/>
      <c r="J9443" s="13"/>
      <c r="K9443" s="13"/>
      <c r="L9443" s="13"/>
      <c r="M9443" s="13"/>
      <c r="N9443" s="13"/>
      <c r="O9443" s="13"/>
      <c r="P9443" s="13"/>
      <c r="Q9443" s="13"/>
      <c r="R9443" s="13"/>
    </row>
    <row r="9444" spans="8:18" x14ac:dyDescent="0.35">
      <c r="H9444" s="13"/>
      <c r="I9444" s="13"/>
      <c r="J9444" s="13"/>
      <c r="K9444" s="13"/>
      <c r="L9444" s="13"/>
      <c r="M9444" s="13"/>
      <c r="N9444" s="13"/>
      <c r="O9444" s="13"/>
      <c r="P9444" s="13"/>
      <c r="Q9444" s="13"/>
      <c r="R9444" s="13"/>
    </row>
    <row r="9445" spans="8:18" x14ac:dyDescent="0.35">
      <c r="H9445" s="13"/>
      <c r="I9445" s="13"/>
      <c r="J9445" s="13"/>
      <c r="K9445" s="13"/>
      <c r="L9445" s="13"/>
      <c r="M9445" s="13"/>
      <c r="N9445" s="13"/>
      <c r="O9445" s="13"/>
      <c r="P9445" s="13"/>
      <c r="Q9445" s="13"/>
      <c r="R9445" s="13"/>
    </row>
    <row r="9446" spans="8:18" x14ac:dyDescent="0.35">
      <c r="H9446" s="13"/>
      <c r="I9446" s="13"/>
      <c r="J9446" s="13"/>
      <c r="K9446" s="13"/>
      <c r="L9446" s="13"/>
      <c r="M9446" s="13"/>
      <c r="N9446" s="13"/>
      <c r="O9446" s="13"/>
      <c r="P9446" s="13"/>
      <c r="Q9446" s="13"/>
      <c r="R9446" s="13"/>
    </row>
    <row r="9447" spans="8:18" x14ac:dyDescent="0.35">
      <c r="H9447" s="13"/>
      <c r="I9447" s="13"/>
      <c r="J9447" s="13"/>
      <c r="K9447" s="13"/>
      <c r="L9447" s="13"/>
      <c r="M9447" s="13"/>
      <c r="N9447" s="13"/>
      <c r="O9447" s="13"/>
      <c r="P9447" s="13"/>
      <c r="Q9447" s="13"/>
      <c r="R9447" s="13"/>
    </row>
    <row r="9448" spans="8:18" x14ac:dyDescent="0.35">
      <c r="H9448" s="13"/>
      <c r="I9448" s="13"/>
      <c r="J9448" s="13"/>
      <c r="K9448" s="13"/>
      <c r="L9448" s="13"/>
      <c r="M9448" s="13"/>
      <c r="N9448" s="13"/>
      <c r="O9448" s="13"/>
      <c r="P9448" s="13"/>
      <c r="Q9448" s="13"/>
      <c r="R9448" s="13"/>
    </row>
    <row r="9449" spans="8:18" x14ac:dyDescent="0.35">
      <c r="H9449" s="13"/>
      <c r="I9449" s="13"/>
      <c r="J9449" s="13"/>
      <c r="K9449" s="13"/>
      <c r="L9449" s="13"/>
      <c r="M9449" s="13"/>
      <c r="N9449" s="13"/>
      <c r="O9449" s="13"/>
      <c r="P9449" s="13"/>
      <c r="Q9449" s="13"/>
      <c r="R9449" s="13"/>
    </row>
    <row r="9450" spans="8:18" x14ac:dyDescent="0.35">
      <c r="H9450" s="13"/>
      <c r="I9450" s="13"/>
      <c r="J9450" s="13"/>
      <c r="K9450" s="13"/>
      <c r="L9450" s="13"/>
      <c r="M9450" s="13"/>
      <c r="N9450" s="13"/>
      <c r="O9450" s="13"/>
      <c r="P9450" s="13"/>
      <c r="Q9450" s="13"/>
      <c r="R9450" s="13"/>
    </row>
    <row r="9451" spans="8:18" x14ac:dyDescent="0.35">
      <c r="H9451" s="13"/>
      <c r="I9451" s="13"/>
      <c r="J9451" s="13"/>
      <c r="K9451" s="13"/>
      <c r="L9451" s="13"/>
      <c r="M9451" s="13"/>
      <c r="N9451" s="13"/>
      <c r="O9451" s="13"/>
      <c r="P9451" s="13"/>
      <c r="Q9451" s="13"/>
      <c r="R9451" s="13"/>
    </row>
    <row r="9452" spans="8:18" x14ac:dyDescent="0.35">
      <c r="H9452" s="13"/>
      <c r="I9452" s="13"/>
      <c r="J9452" s="13"/>
      <c r="K9452" s="13"/>
      <c r="L9452" s="13"/>
      <c r="M9452" s="13"/>
      <c r="N9452" s="13"/>
      <c r="O9452" s="13"/>
      <c r="P9452" s="13"/>
      <c r="Q9452" s="13"/>
      <c r="R9452" s="13"/>
    </row>
    <row r="9453" spans="8:18" x14ac:dyDescent="0.35">
      <c r="H9453" s="13"/>
      <c r="I9453" s="13"/>
      <c r="J9453" s="13"/>
      <c r="K9453" s="13"/>
      <c r="L9453" s="13"/>
      <c r="M9453" s="13"/>
      <c r="N9453" s="13"/>
      <c r="O9453" s="13"/>
      <c r="P9453" s="13"/>
      <c r="Q9453" s="13"/>
      <c r="R9453" s="13"/>
    </row>
    <row r="9454" spans="8:18" x14ac:dyDescent="0.35">
      <c r="H9454" s="13"/>
      <c r="I9454" s="13"/>
      <c r="J9454" s="13"/>
      <c r="K9454" s="13"/>
      <c r="L9454" s="13"/>
      <c r="M9454" s="13"/>
      <c r="N9454" s="13"/>
      <c r="O9454" s="13"/>
      <c r="P9454" s="13"/>
      <c r="Q9454" s="13"/>
      <c r="R9454" s="13"/>
    </row>
    <row r="9455" spans="8:18" x14ac:dyDescent="0.35">
      <c r="H9455" s="13"/>
      <c r="I9455" s="13"/>
      <c r="J9455" s="13"/>
      <c r="K9455" s="13"/>
      <c r="L9455" s="13"/>
      <c r="M9455" s="13"/>
      <c r="N9455" s="13"/>
      <c r="O9455" s="13"/>
      <c r="P9455" s="13"/>
      <c r="Q9455" s="13"/>
      <c r="R9455" s="13"/>
    </row>
    <row r="9456" spans="8:18" x14ac:dyDescent="0.35">
      <c r="H9456" s="13"/>
      <c r="I9456" s="13"/>
      <c r="J9456" s="13"/>
      <c r="K9456" s="13"/>
      <c r="L9456" s="13"/>
      <c r="M9456" s="13"/>
      <c r="N9456" s="13"/>
      <c r="O9456" s="13"/>
      <c r="P9456" s="13"/>
      <c r="Q9456" s="13"/>
      <c r="R9456" s="13"/>
    </row>
    <row r="9457" spans="8:18" x14ac:dyDescent="0.35">
      <c r="H9457" s="13"/>
      <c r="I9457" s="13"/>
      <c r="J9457" s="13"/>
      <c r="K9457" s="13"/>
      <c r="L9457" s="13"/>
      <c r="M9457" s="13"/>
      <c r="N9457" s="13"/>
      <c r="O9457" s="13"/>
      <c r="P9457" s="13"/>
      <c r="Q9457" s="13"/>
      <c r="R9457" s="13"/>
    </row>
    <row r="9458" spans="8:18" x14ac:dyDescent="0.35">
      <c r="H9458" s="13"/>
      <c r="I9458" s="13"/>
      <c r="J9458" s="13"/>
      <c r="K9458" s="13"/>
      <c r="L9458" s="13"/>
      <c r="M9458" s="13"/>
      <c r="N9458" s="13"/>
      <c r="O9458" s="13"/>
      <c r="P9458" s="13"/>
      <c r="Q9458" s="13"/>
      <c r="R9458" s="13"/>
    </row>
    <row r="9459" spans="8:18" x14ac:dyDescent="0.35">
      <c r="H9459" s="13"/>
      <c r="I9459" s="13"/>
      <c r="J9459" s="13"/>
      <c r="K9459" s="13"/>
      <c r="L9459" s="13"/>
      <c r="M9459" s="13"/>
      <c r="N9459" s="13"/>
      <c r="O9459" s="13"/>
      <c r="P9459" s="13"/>
      <c r="Q9459" s="13"/>
      <c r="R9459" s="13"/>
    </row>
    <row r="9460" spans="8:18" x14ac:dyDescent="0.35">
      <c r="H9460" s="13"/>
      <c r="I9460" s="13"/>
      <c r="J9460" s="13"/>
      <c r="K9460" s="13"/>
      <c r="L9460" s="13"/>
      <c r="M9460" s="13"/>
      <c r="N9460" s="13"/>
      <c r="O9460" s="13"/>
      <c r="P9460" s="13"/>
      <c r="Q9460" s="13"/>
      <c r="R9460" s="13"/>
    </row>
    <row r="9461" spans="8:18" x14ac:dyDescent="0.35">
      <c r="H9461" s="13"/>
      <c r="I9461" s="13"/>
      <c r="J9461" s="13"/>
      <c r="K9461" s="13"/>
      <c r="L9461" s="13"/>
      <c r="M9461" s="13"/>
      <c r="N9461" s="13"/>
      <c r="O9461" s="13"/>
      <c r="P9461" s="13"/>
      <c r="Q9461" s="13"/>
      <c r="R9461" s="13"/>
    </row>
    <row r="9462" spans="8:18" x14ac:dyDescent="0.35">
      <c r="H9462" s="13"/>
      <c r="I9462" s="13"/>
      <c r="J9462" s="13"/>
      <c r="K9462" s="13"/>
      <c r="L9462" s="13"/>
      <c r="M9462" s="13"/>
      <c r="N9462" s="13"/>
      <c r="O9462" s="13"/>
      <c r="P9462" s="13"/>
      <c r="Q9462" s="13"/>
      <c r="R9462" s="13"/>
    </row>
    <row r="9463" spans="8:18" x14ac:dyDescent="0.35">
      <c r="H9463" s="13"/>
      <c r="I9463" s="13"/>
      <c r="J9463" s="13"/>
      <c r="K9463" s="13"/>
      <c r="L9463" s="13"/>
      <c r="M9463" s="13"/>
      <c r="N9463" s="13"/>
      <c r="O9463" s="13"/>
      <c r="P9463" s="13"/>
      <c r="Q9463" s="13"/>
      <c r="R9463" s="13"/>
    </row>
    <row r="9464" spans="8:18" x14ac:dyDescent="0.35">
      <c r="H9464" s="13"/>
      <c r="I9464" s="13"/>
      <c r="J9464" s="13"/>
      <c r="K9464" s="13"/>
      <c r="L9464" s="13"/>
      <c r="M9464" s="13"/>
      <c r="N9464" s="13"/>
      <c r="O9464" s="13"/>
      <c r="P9464" s="13"/>
      <c r="Q9464" s="13"/>
      <c r="R9464" s="13"/>
    </row>
    <row r="9465" spans="8:18" x14ac:dyDescent="0.35">
      <c r="H9465" s="13"/>
      <c r="I9465" s="13"/>
      <c r="J9465" s="13"/>
      <c r="K9465" s="13"/>
      <c r="L9465" s="13"/>
      <c r="M9465" s="13"/>
      <c r="N9465" s="13"/>
      <c r="O9465" s="13"/>
      <c r="P9465" s="13"/>
      <c r="Q9465" s="13"/>
      <c r="R9465" s="13"/>
    </row>
    <row r="9466" spans="8:18" x14ac:dyDescent="0.35">
      <c r="H9466" s="13"/>
      <c r="I9466" s="13"/>
      <c r="J9466" s="13"/>
      <c r="K9466" s="13"/>
      <c r="L9466" s="13"/>
      <c r="M9466" s="13"/>
      <c r="N9466" s="13"/>
      <c r="O9466" s="13"/>
      <c r="P9466" s="13"/>
      <c r="Q9466" s="13"/>
      <c r="R9466" s="13"/>
    </row>
    <row r="9467" spans="8:18" x14ac:dyDescent="0.35">
      <c r="H9467" s="13"/>
      <c r="I9467" s="13"/>
      <c r="J9467" s="13"/>
      <c r="K9467" s="13"/>
      <c r="L9467" s="13"/>
      <c r="M9467" s="13"/>
      <c r="N9467" s="13"/>
      <c r="O9467" s="13"/>
      <c r="P9467" s="13"/>
      <c r="Q9467" s="13"/>
      <c r="R9467" s="13"/>
    </row>
    <row r="9468" spans="8:18" x14ac:dyDescent="0.35">
      <c r="H9468" s="13"/>
      <c r="I9468" s="13"/>
      <c r="J9468" s="13"/>
      <c r="K9468" s="13"/>
      <c r="L9468" s="13"/>
      <c r="M9468" s="13"/>
      <c r="N9468" s="13"/>
      <c r="O9468" s="13"/>
      <c r="P9468" s="13"/>
      <c r="Q9468" s="13"/>
      <c r="R9468" s="13"/>
    </row>
    <row r="9469" spans="8:18" x14ac:dyDescent="0.35">
      <c r="H9469" s="13"/>
      <c r="I9469" s="13"/>
      <c r="J9469" s="13"/>
      <c r="K9469" s="13"/>
      <c r="L9469" s="13"/>
      <c r="M9469" s="13"/>
      <c r="N9469" s="13"/>
      <c r="O9469" s="13"/>
      <c r="P9469" s="13"/>
      <c r="Q9469" s="13"/>
      <c r="R9469" s="13"/>
    </row>
    <row r="9470" spans="8:18" x14ac:dyDescent="0.35">
      <c r="H9470" s="13"/>
      <c r="I9470" s="13"/>
      <c r="J9470" s="13"/>
      <c r="K9470" s="13"/>
      <c r="L9470" s="13"/>
      <c r="M9470" s="13"/>
      <c r="N9470" s="13"/>
      <c r="O9470" s="13"/>
      <c r="P9470" s="13"/>
      <c r="Q9470" s="13"/>
      <c r="R9470" s="13"/>
    </row>
    <row r="9471" spans="8:18" x14ac:dyDescent="0.35">
      <c r="H9471" s="13"/>
      <c r="I9471" s="13"/>
      <c r="J9471" s="13"/>
      <c r="K9471" s="13"/>
      <c r="L9471" s="13"/>
      <c r="M9471" s="13"/>
      <c r="N9471" s="13"/>
      <c r="O9471" s="13"/>
      <c r="P9471" s="13"/>
      <c r="Q9471" s="13"/>
      <c r="R9471" s="13"/>
    </row>
    <row r="9472" spans="8:18" x14ac:dyDescent="0.35">
      <c r="H9472" s="13"/>
      <c r="I9472" s="13"/>
      <c r="J9472" s="13"/>
      <c r="K9472" s="13"/>
      <c r="L9472" s="13"/>
      <c r="M9472" s="13"/>
      <c r="N9472" s="13"/>
      <c r="O9472" s="13"/>
      <c r="P9472" s="13"/>
      <c r="Q9472" s="13"/>
      <c r="R9472" s="13"/>
    </row>
    <row r="9473" spans="8:18" x14ac:dyDescent="0.35">
      <c r="H9473" s="13"/>
      <c r="I9473" s="13"/>
      <c r="J9473" s="13"/>
      <c r="K9473" s="13"/>
      <c r="L9473" s="13"/>
      <c r="M9473" s="13"/>
      <c r="N9473" s="13"/>
      <c r="O9473" s="13"/>
      <c r="P9473" s="13"/>
      <c r="Q9473" s="13"/>
      <c r="R9473" s="13"/>
    </row>
    <row r="9474" spans="8:18" x14ac:dyDescent="0.35">
      <c r="H9474" s="13"/>
      <c r="I9474" s="13"/>
      <c r="J9474" s="13"/>
      <c r="K9474" s="13"/>
      <c r="L9474" s="13"/>
      <c r="M9474" s="13"/>
      <c r="N9474" s="13"/>
      <c r="O9474" s="13"/>
      <c r="P9474" s="13"/>
      <c r="Q9474" s="13"/>
      <c r="R9474" s="13"/>
    </row>
    <row r="9475" spans="8:18" x14ac:dyDescent="0.35">
      <c r="H9475" s="13"/>
      <c r="I9475" s="13"/>
      <c r="J9475" s="13"/>
      <c r="K9475" s="13"/>
      <c r="L9475" s="13"/>
      <c r="M9475" s="13"/>
      <c r="N9475" s="13"/>
      <c r="O9475" s="13"/>
      <c r="P9475" s="13"/>
      <c r="Q9475" s="13"/>
      <c r="R9475" s="13"/>
    </row>
    <row r="9476" spans="8:18" x14ac:dyDescent="0.35">
      <c r="H9476" s="13"/>
      <c r="I9476" s="13"/>
      <c r="J9476" s="13"/>
      <c r="K9476" s="13"/>
      <c r="L9476" s="13"/>
      <c r="M9476" s="13"/>
      <c r="N9476" s="13"/>
      <c r="O9476" s="13"/>
      <c r="P9476" s="13"/>
      <c r="Q9476" s="13"/>
      <c r="R9476" s="13"/>
    </row>
    <row r="9477" spans="8:18" x14ac:dyDescent="0.35">
      <c r="H9477" s="13"/>
      <c r="I9477" s="13"/>
      <c r="J9477" s="13"/>
      <c r="K9477" s="13"/>
      <c r="L9477" s="13"/>
      <c r="M9477" s="13"/>
      <c r="N9477" s="13"/>
      <c r="O9477" s="13"/>
      <c r="P9477" s="13"/>
      <c r="Q9477" s="13"/>
      <c r="R9477" s="13"/>
    </row>
    <row r="9478" spans="8:18" x14ac:dyDescent="0.35">
      <c r="H9478" s="13"/>
      <c r="I9478" s="13"/>
      <c r="J9478" s="13"/>
      <c r="K9478" s="13"/>
      <c r="L9478" s="13"/>
      <c r="M9478" s="13"/>
      <c r="N9478" s="13"/>
      <c r="O9478" s="13"/>
      <c r="P9478" s="13"/>
      <c r="Q9478" s="13"/>
      <c r="R9478" s="13"/>
    </row>
    <row r="9479" spans="8:18" x14ac:dyDescent="0.35">
      <c r="H9479" s="13"/>
      <c r="I9479" s="13"/>
      <c r="J9479" s="13"/>
      <c r="K9479" s="13"/>
      <c r="L9479" s="13"/>
      <c r="M9479" s="13"/>
      <c r="N9479" s="13"/>
      <c r="O9479" s="13"/>
      <c r="P9479" s="13"/>
      <c r="Q9479" s="13"/>
      <c r="R9479" s="13"/>
    </row>
    <row r="9480" spans="8:18" x14ac:dyDescent="0.35">
      <c r="H9480" s="13"/>
      <c r="I9480" s="13"/>
      <c r="J9480" s="13"/>
      <c r="K9480" s="13"/>
      <c r="L9480" s="13"/>
      <c r="M9480" s="13"/>
      <c r="N9480" s="13"/>
      <c r="O9480" s="13"/>
      <c r="P9480" s="13"/>
      <c r="Q9480" s="13"/>
      <c r="R9480" s="13"/>
    </row>
    <row r="9481" spans="8:18" x14ac:dyDescent="0.35">
      <c r="H9481" s="13"/>
      <c r="I9481" s="13"/>
      <c r="J9481" s="13"/>
      <c r="K9481" s="13"/>
      <c r="L9481" s="13"/>
      <c r="M9481" s="13"/>
      <c r="N9481" s="13"/>
      <c r="O9481" s="13"/>
      <c r="P9481" s="13"/>
      <c r="Q9481" s="13"/>
      <c r="R9481" s="13"/>
    </row>
    <row r="9482" spans="8:18" x14ac:dyDescent="0.35">
      <c r="H9482" s="13"/>
      <c r="I9482" s="13"/>
      <c r="J9482" s="13"/>
      <c r="K9482" s="13"/>
      <c r="L9482" s="13"/>
      <c r="M9482" s="13"/>
      <c r="N9482" s="13"/>
      <c r="O9482" s="13"/>
      <c r="P9482" s="13"/>
      <c r="Q9482" s="13"/>
      <c r="R9482" s="13"/>
    </row>
    <row r="9483" spans="8:18" x14ac:dyDescent="0.35">
      <c r="H9483" s="13"/>
      <c r="I9483" s="13"/>
      <c r="J9483" s="13"/>
      <c r="K9483" s="13"/>
      <c r="L9483" s="13"/>
      <c r="M9483" s="13"/>
      <c r="N9483" s="13"/>
      <c r="O9483" s="13"/>
      <c r="P9483" s="13"/>
      <c r="Q9483" s="13"/>
      <c r="R9483" s="13"/>
    </row>
    <row r="9484" spans="8:18" x14ac:dyDescent="0.35">
      <c r="H9484" s="13"/>
      <c r="I9484" s="13"/>
      <c r="J9484" s="13"/>
      <c r="K9484" s="13"/>
      <c r="L9484" s="13"/>
      <c r="M9484" s="13"/>
      <c r="N9484" s="13"/>
      <c r="O9484" s="13"/>
      <c r="P9484" s="13"/>
      <c r="Q9484" s="13"/>
      <c r="R9484" s="13"/>
    </row>
    <row r="9485" spans="8:18" x14ac:dyDescent="0.35">
      <c r="H9485" s="13"/>
      <c r="I9485" s="13"/>
      <c r="J9485" s="13"/>
      <c r="K9485" s="13"/>
      <c r="L9485" s="13"/>
      <c r="M9485" s="13"/>
      <c r="N9485" s="13"/>
      <c r="O9485" s="13"/>
      <c r="P9485" s="13"/>
      <c r="Q9485" s="13"/>
      <c r="R9485" s="13"/>
    </row>
    <row r="9486" spans="8:18" x14ac:dyDescent="0.35">
      <c r="H9486" s="13"/>
      <c r="I9486" s="13"/>
      <c r="J9486" s="13"/>
      <c r="K9486" s="13"/>
      <c r="L9486" s="13"/>
      <c r="M9486" s="13"/>
      <c r="N9486" s="13"/>
      <c r="O9486" s="13"/>
      <c r="P9486" s="13"/>
      <c r="Q9486" s="13"/>
      <c r="R9486" s="13"/>
    </row>
    <row r="9487" spans="8:18" x14ac:dyDescent="0.35">
      <c r="H9487" s="13"/>
      <c r="I9487" s="13"/>
      <c r="J9487" s="13"/>
      <c r="K9487" s="13"/>
      <c r="L9487" s="13"/>
      <c r="M9487" s="13"/>
      <c r="N9487" s="13"/>
      <c r="O9487" s="13"/>
      <c r="P9487" s="13"/>
      <c r="Q9487" s="13"/>
      <c r="R9487" s="13"/>
    </row>
    <row r="9488" spans="8:18" x14ac:dyDescent="0.35">
      <c r="H9488" s="13"/>
      <c r="I9488" s="13"/>
      <c r="J9488" s="13"/>
      <c r="K9488" s="13"/>
      <c r="L9488" s="13"/>
      <c r="M9488" s="13"/>
      <c r="N9488" s="13"/>
      <c r="O9488" s="13"/>
      <c r="P9488" s="13"/>
      <c r="Q9488" s="13"/>
      <c r="R9488" s="13"/>
    </row>
    <row r="9489" spans="8:18" x14ac:dyDescent="0.35">
      <c r="H9489" s="13"/>
      <c r="I9489" s="13"/>
      <c r="J9489" s="13"/>
      <c r="K9489" s="13"/>
      <c r="L9489" s="13"/>
      <c r="M9489" s="13"/>
      <c r="N9489" s="13"/>
      <c r="O9489" s="13"/>
      <c r="P9489" s="13"/>
      <c r="Q9489" s="13"/>
      <c r="R9489" s="13"/>
    </row>
    <row r="9490" spans="8:18" x14ac:dyDescent="0.35">
      <c r="H9490" s="13"/>
      <c r="I9490" s="13"/>
      <c r="J9490" s="13"/>
      <c r="K9490" s="13"/>
      <c r="L9490" s="13"/>
      <c r="M9490" s="13"/>
      <c r="N9490" s="13"/>
      <c r="O9490" s="13"/>
      <c r="P9490" s="13"/>
      <c r="Q9490" s="13"/>
      <c r="R9490" s="13"/>
    </row>
    <row r="9491" spans="8:18" x14ac:dyDescent="0.35">
      <c r="H9491" s="13"/>
      <c r="I9491" s="13"/>
      <c r="J9491" s="13"/>
      <c r="K9491" s="13"/>
      <c r="L9491" s="13"/>
      <c r="M9491" s="13"/>
      <c r="N9491" s="13"/>
      <c r="O9491" s="13"/>
      <c r="P9491" s="13"/>
      <c r="Q9491" s="13"/>
      <c r="R9491" s="13"/>
    </row>
    <row r="9492" spans="8:18" x14ac:dyDescent="0.35">
      <c r="H9492" s="13"/>
      <c r="I9492" s="13"/>
      <c r="J9492" s="13"/>
      <c r="K9492" s="13"/>
      <c r="L9492" s="13"/>
      <c r="M9492" s="13"/>
      <c r="N9492" s="13"/>
      <c r="O9492" s="13"/>
      <c r="P9492" s="13"/>
      <c r="Q9492" s="13"/>
      <c r="R9492" s="13"/>
    </row>
    <row r="9493" spans="8:18" x14ac:dyDescent="0.35">
      <c r="H9493" s="13"/>
      <c r="I9493" s="13"/>
      <c r="J9493" s="13"/>
      <c r="K9493" s="13"/>
      <c r="L9493" s="13"/>
      <c r="M9493" s="13"/>
      <c r="N9493" s="13"/>
      <c r="O9493" s="13"/>
      <c r="P9493" s="13"/>
      <c r="Q9493" s="13"/>
      <c r="R9493" s="13"/>
    </row>
    <row r="9494" spans="8:18" x14ac:dyDescent="0.35">
      <c r="H9494" s="13"/>
      <c r="I9494" s="13"/>
      <c r="J9494" s="13"/>
      <c r="K9494" s="13"/>
      <c r="L9494" s="13"/>
      <c r="M9494" s="13"/>
      <c r="N9494" s="13"/>
      <c r="O9494" s="13"/>
      <c r="P9494" s="13"/>
      <c r="Q9494" s="13"/>
      <c r="R9494" s="13"/>
    </row>
    <row r="9495" spans="8:18" x14ac:dyDescent="0.35">
      <c r="H9495" s="13"/>
      <c r="I9495" s="13"/>
      <c r="J9495" s="13"/>
      <c r="K9495" s="13"/>
      <c r="L9495" s="13"/>
      <c r="M9495" s="13"/>
      <c r="N9495" s="13"/>
      <c r="O9495" s="13"/>
      <c r="P9495" s="13"/>
      <c r="Q9495" s="13"/>
      <c r="R9495" s="13"/>
    </row>
    <row r="9496" spans="8:18" x14ac:dyDescent="0.35">
      <c r="H9496" s="13"/>
      <c r="I9496" s="13"/>
      <c r="J9496" s="13"/>
      <c r="K9496" s="13"/>
      <c r="L9496" s="13"/>
      <c r="M9496" s="13"/>
      <c r="N9496" s="13"/>
      <c r="O9496" s="13"/>
      <c r="P9496" s="13"/>
      <c r="Q9496" s="13"/>
      <c r="R9496" s="13"/>
    </row>
    <row r="9497" spans="8:18" x14ac:dyDescent="0.35">
      <c r="H9497" s="13"/>
      <c r="I9497" s="13"/>
      <c r="J9497" s="13"/>
      <c r="K9497" s="13"/>
      <c r="L9497" s="13"/>
      <c r="M9497" s="13"/>
      <c r="N9497" s="13"/>
      <c r="O9497" s="13"/>
      <c r="P9497" s="13"/>
      <c r="Q9497" s="13"/>
      <c r="R9497" s="13"/>
    </row>
    <row r="9498" spans="8:18" x14ac:dyDescent="0.35">
      <c r="H9498" s="13"/>
      <c r="I9498" s="13"/>
      <c r="J9498" s="13"/>
      <c r="K9498" s="13"/>
      <c r="L9498" s="13"/>
      <c r="M9498" s="13"/>
      <c r="N9498" s="13"/>
      <c r="O9498" s="13"/>
      <c r="P9498" s="13"/>
      <c r="Q9498" s="13"/>
      <c r="R9498" s="13"/>
    </row>
    <row r="9499" spans="8:18" x14ac:dyDescent="0.35">
      <c r="H9499" s="13"/>
      <c r="I9499" s="13"/>
      <c r="J9499" s="13"/>
      <c r="K9499" s="13"/>
      <c r="L9499" s="13"/>
      <c r="M9499" s="13"/>
      <c r="N9499" s="13"/>
      <c r="O9499" s="13"/>
      <c r="P9499" s="13"/>
      <c r="Q9499" s="13"/>
      <c r="R9499" s="13"/>
    </row>
    <row r="9500" spans="8:18" x14ac:dyDescent="0.35">
      <c r="H9500" s="13"/>
      <c r="I9500" s="13"/>
      <c r="J9500" s="13"/>
      <c r="K9500" s="13"/>
      <c r="L9500" s="13"/>
      <c r="M9500" s="13"/>
      <c r="N9500" s="13"/>
      <c r="O9500" s="13"/>
      <c r="P9500" s="13"/>
      <c r="Q9500" s="13"/>
      <c r="R9500" s="13"/>
    </row>
    <row r="9501" spans="8:18" x14ac:dyDescent="0.35">
      <c r="H9501" s="13"/>
      <c r="I9501" s="13"/>
      <c r="J9501" s="13"/>
      <c r="K9501" s="13"/>
      <c r="L9501" s="13"/>
      <c r="M9501" s="13"/>
      <c r="N9501" s="13"/>
      <c r="O9501" s="13"/>
      <c r="P9501" s="13"/>
      <c r="Q9501" s="13"/>
      <c r="R9501" s="13"/>
    </row>
    <row r="9502" spans="8:18" x14ac:dyDescent="0.35">
      <c r="H9502" s="13"/>
      <c r="I9502" s="13"/>
      <c r="J9502" s="13"/>
      <c r="K9502" s="13"/>
      <c r="L9502" s="13"/>
      <c r="M9502" s="13"/>
      <c r="N9502" s="13"/>
      <c r="O9502" s="13"/>
      <c r="P9502" s="13"/>
      <c r="Q9502" s="13"/>
      <c r="R9502" s="13"/>
    </row>
    <row r="9503" spans="8:18" x14ac:dyDescent="0.35">
      <c r="H9503" s="13"/>
      <c r="I9503" s="13"/>
      <c r="J9503" s="13"/>
      <c r="K9503" s="13"/>
      <c r="L9503" s="13"/>
      <c r="M9503" s="13"/>
      <c r="N9503" s="13"/>
      <c r="O9503" s="13"/>
      <c r="P9503" s="13"/>
      <c r="Q9503" s="13"/>
      <c r="R9503" s="13"/>
    </row>
    <row r="9504" spans="8:18" x14ac:dyDescent="0.35">
      <c r="H9504" s="13"/>
      <c r="I9504" s="13"/>
      <c r="J9504" s="13"/>
      <c r="K9504" s="13"/>
      <c r="L9504" s="13"/>
      <c r="M9504" s="13"/>
      <c r="N9504" s="13"/>
      <c r="O9504" s="13"/>
      <c r="P9504" s="13"/>
      <c r="Q9504" s="13"/>
      <c r="R9504" s="13"/>
    </row>
    <row r="9505" spans="8:18" x14ac:dyDescent="0.35">
      <c r="H9505" s="13"/>
      <c r="I9505" s="13"/>
      <c r="J9505" s="13"/>
      <c r="K9505" s="13"/>
      <c r="L9505" s="13"/>
      <c r="M9505" s="13"/>
      <c r="N9505" s="13"/>
      <c r="O9505" s="13"/>
      <c r="P9505" s="13"/>
      <c r="Q9505" s="13"/>
      <c r="R9505" s="13"/>
    </row>
    <row r="9506" spans="8:18" x14ac:dyDescent="0.35">
      <c r="H9506" s="13"/>
      <c r="I9506" s="13"/>
      <c r="J9506" s="13"/>
      <c r="K9506" s="13"/>
      <c r="L9506" s="13"/>
      <c r="M9506" s="13"/>
      <c r="N9506" s="13"/>
      <c r="O9506" s="13"/>
      <c r="P9506" s="13"/>
      <c r="Q9506" s="13"/>
      <c r="R9506" s="13"/>
    </row>
    <row r="9507" spans="8:18" x14ac:dyDescent="0.35">
      <c r="H9507" s="13"/>
      <c r="I9507" s="13"/>
      <c r="J9507" s="13"/>
      <c r="K9507" s="13"/>
      <c r="L9507" s="13"/>
      <c r="M9507" s="13"/>
      <c r="N9507" s="13"/>
      <c r="O9507" s="13"/>
      <c r="P9507" s="13"/>
      <c r="Q9507" s="13"/>
      <c r="R9507" s="13"/>
    </row>
    <row r="9508" spans="8:18" x14ac:dyDescent="0.35">
      <c r="H9508" s="13"/>
      <c r="I9508" s="13"/>
      <c r="J9508" s="13"/>
      <c r="K9508" s="13"/>
      <c r="L9508" s="13"/>
      <c r="M9508" s="13"/>
      <c r="N9508" s="13"/>
      <c r="O9508" s="13"/>
      <c r="P9508" s="13"/>
      <c r="Q9508" s="13"/>
      <c r="R9508" s="13"/>
    </row>
    <row r="9509" spans="8:18" x14ac:dyDescent="0.35">
      <c r="H9509" s="13"/>
      <c r="I9509" s="13"/>
      <c r="J9509" s="13"/>
      <c r="K9509" s="13"/>
      <c r="L9509" s="13"/>
      <c r="M9509" s="13"/>
      <c r="N9509" s="13"/>
      <c r="O9509" s="13"/>
      <c r="P9509" s="13"/>
      <c r="Q9509" s="13"/>
      <c r="R9509" s="13"/>
    </row>
    <row r="9510" spans="8:18" x14ac:dyDescent="0.35">
      <c r="H9510" s="13"/>
      <c r="I9510" s="13"/>
      <c r="J9510" s="13"/>
      <c r="K9510" s="13"/>
      <c r="L9510" s="13"/>
      <c r="M9510" s="13"/>
      <c r="N9510" s="13"/>
      <c r="O9510" s="13"/>
      <c r="P9510" s="13"/>
      <c r="Q9510" s="13"/>
      <c r="R9510" s="13"/>
    </row>
    <row r="9511" spans="8:18" x14ac:dyDescent="0.35">
      <c r="H9511" s="13"/>
      <c r="I9511" s="13"/>
      <c r="J9511" s="13"/>
      <c r="K9511" s="13"/>
      <c r="L9511" s="13"/>
      <c r="M9511" s="13"/>
      <c r="N9511" s="13"/>
      <c r="O9511" s="13"/>
      <c r="P9511" s="13"/>
      <c r="Q9511" s="13"/>
      <c r="R9511" s="13"/>
    </row>
    <row r="9512" spans="8:18" x14ac:dyDescent="0.35">
      <c r="H9512" s="13"/>
      <c r="I9512" s="13"/>
      <c r="J9512" s="13"/>
      <c r="K9512" s="13"/>
      <c r="L9512" s="13"/>
      <c r="M9512" s="13"/>
      <c r="N9512" s="13"/>
      <c r="O9512" s="13"/>
      <c r="P9512" s="13"/>
      <c r="Q9512" s="13"/>
      <c r="R9512" s="13"/>
    </row>
    <row r="9513" spans="8:18" x14ac:dyDescent="0.35">
      <c r="H9513" s="13"/>
      <c r="I9513" s="13"/>
      <c r="J9513" s="13"/>
      <c r="K9513" s="13"/>
      <c r="L9513" s="13"/>
      <c r="M9513" s="13"/>
      <c r="N9513" s="13"/>
      <c r="O9513" s="13"/>
      <c r="P9513" s="13"/>
      <c r="Q9513" s="13"/>
      <c r="R9513" s="13"/>
    </row>
    <row r="9514" spans="8:18" x14ac:dyDescent="0.35">
      <c r="H9514" s="13"/>
      <c r="I9514" s="13"/>
      <c r="J9514" s="13"/>
      <c r="K9514" s="13"/>
      <c r="L9514" s="13"/>
      <c r="M9514" s="13"/>
      <c r="N9514" s="13"/>
      <c r="O9514" s="13"/>
      <c r="P9514" s="13"/>
      <c r="Q9514" s="13"/>
      <c r="R9514" s="13"/>
    </row>
    <row r="9515" spans="8:18" x14ac:dyDescent="0.35">
      <c r="H9515" s="13"/>
      <c r="I9515" s="13"/>
      <c r="J9515" s="13"/>
      <c r="K9515" s="13"/>
      <c r="L9515" s="13"/>
      <c r="M9515" s="13"/>
      <c r="N9515" s="13"/>
      <c r="O9515" s="13"/>
      <c r="P9515" s="13"/>
      <c r="Q9515" s="13"/>
      <c r="R9515" s="13"/>
    </row>
    <row r="9516" spans="8:18" x14ac:dyDescent="0.35">
      <c r="H9516" s="13"/>
      <c r="I9516" s="13"/>
      <c r="J9516" s="13"/>
      <c r="K9516" s="13"/>
      <c r="L9516" s="13"/>
      <c r="M9516" s="13"/>
      <c r="N9516" s="13"/>
      <c r="O9516" s="13"/>
      <c r="P9516" s="13"/>
      <c r="Q9516" s="13"/>
      <c r="R9516" s="13"/>
    </row>
    <row r="9517" spans="8:18" x14ac:dyDescent="0.35">
      <c r="H9517" s="13"/>
      <c r="I9517" s="13"/>
      <c r="J9517" s="13"/>
      <c r="K9517" s="13"/>
      <c r="L9517" s="13"/>
      <c r="M9517" s="13"/>
      <c r="N9517" s="13"/>
      <c r="O9517" s="13"/>
      <c r="P9517" s="13"/>
      <c r="Q9517" s="13"/>
      <c r="R9517" s="13"/>
    </row>
    <row r="9518" spans="8:18" x14ac:dyDescent="0.35">
      <c r="H9518" s="13"/>
      <c r="I9518" s="13"/>
      <c r="J9518" s="13"/>
      <c r="K9518" s="13"/>
      <c r="L9518" s="13"/>
      <c r="M9518" s="13"/>
      <c r="N9518" s="13"/>
      <c r="O9518" s="13"/>
      <c r="P9518" s="13"/>
      <c r="Q9518" s="13"/>
      <c r="R9518" s="13"/>
    </row>
    <row r="9519" spans="8:18" x14ac:dyDescent="0.35">
      <c r="H9519" s="13"/>
      <c r="I9519" s="13"/>
      <c r="J9519" s="13"/>
      <c r="K9519" s="13"/>
      <c r="L9519" s="13"/>
      <c r="M9519" s="13"/>
      <c r="N9519" s="13"/>
      <c r="O9519" s="13"/>
      <c r="P9519" s="13"/>
      <c r="Q9519" s="13"/>
      <c r="R9519" s="13"/>
    </row>
    <row r="9520" spans="8:18" x14ac:dyDescent="0.35">
      <c r="H9520" s="13"/>
      <c r="I9520" s="13"/>
      <c r="J9520" s="13"/>
      <c r="K9520" s="13"/>
      <c r="L9520" s="13"/>
      <c r="M9520" s="13"/>
      <c r="N9520" s="13"/>
      <c r="O9520" s="13"/>
      <c r="P9520" s="13"/>
      <c r="Q9520" s="13"/>
      <c r="R9520" s="13"/>
    </row>
    <row r="9521" spans="8:18" x14ac:dyDescent="0.35">
      <c r="H9521" s="13"/>
      <c r="I9521" s="13"/>
      <c r="J9521" s="13"/>
      <c r="K9521" s="13"/>
      <c r="L9521" s="13"/>
      <c r="M9521" s="13"/>
      <c r="N9521" s="13"/>
      <c r="O9521" s="13"/>
      <c r="P9521" s="13"/>
      <c r="Q9521" s="13"/>
      <c r="R9521" s="13"/>
    </row>
    <row r="9522" spans="8:18" x14ac:dyDescent="0.35">
      <c r="H9522" s="13"/>
      <c r="I9522" s="13"/>
      <c r="J9522" s="13"/>
      <c r="K9522" s="13"/>
      <c r="L9522" s="13"/>
      <c r="M9522" s="13"/>
      <c r="N9522" s="13"/>
      <c r="O9522" s="13"/>
      <c r="P9522" s="13"/>
      <c r="Q9522" s="13"/>
      <c r="R9522" s="13"/>
    </row>
    <row r="9523" spans="8:18" x14ac:dyDescent="0.35">
      <c r="H9523" s="13"/>
      <c r="I9523" s="13"/>
      <c r="J9523" s="13"/>
      <c r="K9523" s="13"/>
      <c r="L9523" s="13"/>
      <c r="M9523" s="13"/>
      <c r="N9523" s="13"/>
      <c r="O9523" s="13"/>
      <c r="P9523" s="13"/>
      <c r="Q9523" s="13"/>
      <c r="R9523" s="13"/>
    </row>
    <row r="9524" spans="8:18" x14ac:dyDescent="0.35">
      <c r="H9524" s="13"/>
      <c r="I9524" s="13"/>
      <c r="J9524" s="13"/>
      <c r="K9524" s="13"/>
      <c r="L9524" s="13"/>
      <c r="M9524" s="13"/>
      <c r="N9524" s="13"/>
      <c r="O9524" s="13"/>
      <c r="P9524" s="13"/>
      <c r="Q9524" s="13"/>
      <c r="R9524" s="13"/>
    </row>
    <row r="9525" spans="8:18" x14ac:dyDescent="0.35">
      <c r="H9525" s="13"/>
      <c r="I9525" s="13"/>
      <c r="J9525" s="13"/>
      <c r="K9525" s="13"/>
      <c r="L9525" s="13"/>
      <c r="M9525" s="13"/>
      <c r="N9525" s="13"/>
      <c r="O9525" s="13"/>
      <c r="P9525" s="13"/>
      <c r="Q9525" s="13"/>
      <c r="R9525" s="13"/>
    </row>
    <row r="9526" spans="8:18" x14ac:dyDescent="0.35">
      <c r="H9526" s="13"/>
      <c r="I9526" s="13"/>
      <c r="J9526" s="13"/>
      <c r="K9526" s="13"/>
      <c r="L9526" s="13"/>
      <c r="M9526" s="13"/>
      <c r="N9526" s="13"/>
      <c r="O9526" s="13"/>
      <c r="P9526" s="13"/>
      <c r="Q9526" s="13"/>
      <c r="R9526" s="13"/>
    </row>
    <row r="9527" spans="8:18" x14ac:dyDescent="0.35">
      <c r="H9527" s="13"/>
      <c r="I9527" s="13"/>
      <c r="J9527" s="13"/>
      <c r="K9527" s="13"/>
      <c r="L9527" s="13"/>
      <c r="M9527" s="13"/>
      <c r="N9527" s="13"/>
      <c r="O9527" s="13"/>
      <c r="P9527" s="13"/>
      <c r="Q9527" s="13"/>
      <c r="R9527" s="13"/>
    </row>
    <row r="9528" spans="8:18" x14ac:dyDescent="0.35">
      <c r="H9528" s="13"/>
      <c r="I9528" s="13"/>
      <c r="J9528" s="13"/>
      <c r="K9528" s="13"/>
      <c r="L9528" s="13"/>
      <c r="M9528" s="13"/>
      <c r="N9528" s="13"/>
      <c r="O9528" s="13"/>
      <c r="P9528" s="13"/>
      <c r="Q9528" s="13"/>
      <c r="R9528" s="13"/>
    </row>
    <row r="9529" spans="8:18" x14ac:dyDescent="0.35">
      <c r="H9529" s="13"/>
      <c r="I9529" s="13"/>
      <c r="J9529" s="13"/>
      <c r="K9529" s="13"/>
      <c r="L9529" s="13"/>
      <c r="M9529" s="13"/>
      <c r="N9529" s="13"/>
      <c r="O9529" s="13"/>
      <c r="P9529" s="13"/>
      <c r="Q9529" s="13"/>
      <c r="R9529" s="13"/>
    </row>
    <row r="9530" spans="8:18" x14ac:dyDescent="0.35">
      <c r="H9530" s="13"/>
      <c r="I9530" s="13"/>
      <c r="J9530" s="13"/>
      <c r="K9530" s="13"/>
      <c r="L9530" s="13"/>
      <c r="M9530" s="13"/>
      <c r="N9530" s="13"/>
      <c r="O9530" s="13"/>
      <c r="P9530" s="13"/>
      <c r="Q9530" s="13"/>
      <c r="R9530" s="13"/>
    </row>
    <row r="9531" spans="8:18" x14ac:dyDescent="0.35">
      <c r="H9531" s="13"/>
      <c r="I9531" s="13"/>
      <c r="J9531" s="13"/>
      <c r="K9531" s="13"/>
      <c r="L9531" s="13"/>
      <c r="M9531" s="13"/>
      <c r="N9531" s="13"/>
      <c r="O9531" s="13"/>
      <c r="P9531" s="13"/>
      <c r="Q9531" s="13"/>
      <c r="R9531" s="13"/>
    </row>
    <row r="9532" spans="8:18" x14ac:dyDescent="0.35">
      <c r="H9532" s="13"/>
      <c r="I9532" s="13"/>
      <c r="J9532" s="13"/>
      <c r="K9532" s="13"/>
      <c r="L9532" s="13"/>
      <c r="M9532" s="13"/>
      <c r="N9532" s="13"/>
      <c r="O9532" s="13"/>
      <c r="P9532" s="13"/>
      <c r="Q9532" s="13"/>
      <c r="R9532" s="13"/>
    </row>
    <row r="9533" spans="8:18" x14ac:dyDescent="0.35">
      <c r="H9533" s="13"/>
      <c r="I9533" s="13"/>
      <c r="J9533" s="13"/>
      <c r="K9533" s="13"/>
      <c r="L9533" s="13"/>
      <c r="M9533" s="13"/>
      <c r="N9533" s="13"/>
      <c r="O9533" s="13"/>
      <c r="P9533" s="13"/>
      <c r="Q9533" s="13"/>
      <c r="R9533" s="13"/>
    </row>
    <row r="9534" spans="8:18" x14ac:dyDescent="0.35">
      <c r="H9534" s="13"/>
      <c r="I9534" s="13"/>
      <c r="J9534" s="13"/>
      <c r="K9534" s="13"/>
      <c r="L9534" s="13"/>
      <c r="M9534" s="13"/>
      <c r="N9534" s="13"/>
      <c r="O9534" s="13"/>
      <c r="P9534" s="13"/>
      <c r="Q9534" s="13"/>
      <c r="R9534" s="13"/>
    </row>
    <row r="9535" spans="8:18" x14ac:dyDescent="0.35">
      <c r="H9535" s="13"/>
      <c r="I9535" s="13"/>
      <c r="J9535" s="13"/>
      <c r="K9535" s="13"/>
      <c r="L9535" s="13"/>
      <c r="M9535" s="13"/>
      <c r="N9535" s="13"/>
      <c r="O9535" s="13"/>
      <c r="P9535" s="13"/>
      <c r="Q9535" s="13"/>
      <c r="R9535" s="13"/>
    </row>
    <row r="9536" spans="8:18" x14ac:dyDescent="0.35">
      <c r="H9536" s="13"/>
      <c r="I9536" s="13"/>
      <c r="J9536" s="13"/>
      <c r="K9536" s="13"/>
      <c r="L9536" s="13"/>
      <c r="M9536" s="13"/>
      <c r="N9536" s="13"/>
      <c r="O9536" s="13"/>
      <c r="P9536" s="13"/>
      <c r="Q9536" s="13"/>
      <c r="R9536" s="13"/>
    </row>
    <row r="9537" spans="8:18" x14ac:dyDescent="0.35">
      <c r="H9537" s="13"/>
      <c r="I9537" s="13"/>
      <c r="J9537" s="13"/>
      <c r="K9537" s="13"/>
      <c r="L9537" s="13"/>
      <c r="M9537" s="13"/>
      <c r="N9537" s="13"/>
      <c r="O9537" s="13"/>
      <c r="P9537" s="13"/>
      <c r="Q9537" s="13"/>
      <c r="R9537" s="13"/>
    </row>
    <row r="9538" spans="8:18" x14ac:dyDescent="0.35">
      <c r="H9538" s="13"/>
      <c r="I9538" s="13"/>
      <c r="J9538" s="13"/>
      <c r="K9538" s="13"/>
      <c r="L9538" s="13"/>
      <c r="M9538" s="13"/>
      <c r="N9538" s="13"/>
      <c r="O9538" s="13"/>
      <c r="P9538" s="13"/>
      <c r="Q9538" s="13"/>
      <c r="R9538" s="13"/>
    </row>
    <row r="9539" spans="8:18" x14ac:dyDescent="0.35">
      <c r="H9539" s="13"/>
      <c r="I9539" s="13"/>
      <c r="J9539" s="13"/>
      <c r="K9539" s="13"/>
      <c r="L9539" s="13"/>
      <c r="M9539" s="13"/>
      <c r="N9539" s="13"/>
      <c r="O9539" s="13"/>
      <c r="P9539" s="13"/>
      <c r="Q9539" s="13"/>
      <c r="R9539" s="13"/>
    </row>
    <row r="9540" spans="8:18" x14ac:dyDescent="0.35">
      <c r="H9540" s="13"/>
      <c r="I9540" s="13"/>
      <c r="J9540" s="13"/>
      <c r="K9540" s="13"/>
      <c r="L9540" s="13"/>
      <c r="M9540" s="13"/>
      <c r="N9540" s="13"/>
      <c r="O9540" s="13"/>
      <c r="P9540" s="13"/>
      <c r="Q9540" s="13"/>
      <c r="R9540" s="13"/>
    </row>
    <row r="9541" spans="8:18" x14ac:dyDescent="0.35">
      <c r="H9541" s="13"/>
      <c r="I9541" s="13"/>
      <c r="J9541" s="13"/>
      <c r="K9541" s="13"/>
      <c r="L9541" s="13"/>
      <c r="M9541" s="13"/>
      <c r="N9541" s="13"/>
      <c r="O9541" s="13"/>
      <c r="P9541" s="13"/>
      <c r="Q9541" s="13"/>
      <c r="R9541" s="13"/>
    </row>
    <row r="9542" spans="8:18" x14ac:dyDescent="0.35">
      <c r="H9542" s="13"/>
      <c r="I9542" s="13"/>
      <c r="J9542" s="13"/>
      <c r="K9542" s="13"/>
      <c r="L9542" s="13"/>
      <c r="M9542" s="13"/>
      <c r="N9542" s="13"/>
      <c r="O9542" s="13"/>
      <c r="P9542" s="13"/>
      <c r="Q9542" s="13"/>
      <c r="R9542" s="13"/>
    </row>
    <row r="9543" spans="8:18" x14ac:dyDescent="0.35">
      <c r="H9543" s="13"/>
      <c r="I9543" s="13"/>
      <c r="J9543" s="13"/>
      <c r="K9543" s="13"/>
      <c r="L9543" s="13"/>
      <c r="M9543" s="13"/>
      <c r="N9543" s="13"/>
      <c r="O9543" s="13"/>
      <c r="P9543" s="13"/>
      <c r="Q9543" s="13"/>
      <c r="R9543" s="13"/>
    </row>
    <row r="9544" spans="8:18" x14ac:dyDescent="0.35">
      <c r="H9544" s="13"/>
      <c r="I9544" s="13"/>
      <c r="J9544" s="13"/>
      <c r="K9544" s="13"/>
      <c r="L9544" s="13"/>
      <c r="M9544" s="13"/>
      <c r="N9544" s="13"/>
      <c r="O9544" s="13"/>
      <c r="P9544" s="13"/>
      <c r="Q9544" s="13"/>
      <c r="R9544" s="13"/>
    </row>
    <row r="9545" spans="8:18" x14ac:dyDescent="0.35">
      <c r="H9545" s="13"/>
      <c r="I9545" s="13"/>
      <c r="J9545" s="13"/>
      <c r="K9545" s="13"/>
      <c r="L9545" s="13"/>
      <c r="M9545" s="13"/>
      <c r="N9545" s="13"/>
      <c r="O9545" s="13"/>
      <c r="P9545" s="13"/>
      <c r="Q9545" s="13"/>
      <c r="R9545" s="13"/>
    </row>
    <row r="9546" spans="8:18" x14ac:dyDescent="0.35">
      <c r="H9546" s="13"/>
      <c r="I9546" s="13"/>
      <c r="J9546" s="13"/>
      <c r="K9546" s="13"/>
      <c r="L9546" s="13"/>
      <c r="M9546" s="13"/>
      <c r="N9546" s="13"/>
      <c r="O9546" s="13"/>
      <c r="P9546" s="13"/>
      <c r="Q9546" s="13"/>
      <c r="R9546" s="13"/>
    </row>
    <row r="9547" spans="8:18" x14ac:dyDescent="0.35">
      <c r="H9547" s="13"/>
      <c r="I9547" s="13"/>
      <c r="J9547" s="13"/>
      <c r="K9547" s="13"/>
      <c r="L9547" s="13"/>
      <c r="M9547" s="13"/>
      <c r="N9547" s="13"/>
      <c r="O9547" s="13"/>
      <c r="P9547" s="13"/>
      <c r="Q9547" s="13"/>
      <c r="R9547" s="13"/>
    </row>
    <row r="9548" spans="8:18" x14ac:dyDescent="0.35">
      <c r="H9548" s="13"/>
      <c r="I9548" s="13"/>
      <c r="J9548" s="13"/>
      <c r="K9548" s="13"/>
      <c r="L9548" s="13"/>
      <c r="M9548" s="13"/>
      <c r="N9548" s="13"/>
      <c r="O9548" s="13"/>
      <c r="P9548" s="13"/>
      <c r="Q9548" s="13"/>
      <c r="R9548" s="13"/>
    </row>
    <row r="9549" spans="8:18" x14ac:dyDescent="0.35">
      <c r="H9549" s="13"/>
      <c r="I9549" s="13"/>
      <c r="J9549" s="13"/>
      <c r="K9549" s="13"/>
      <c r="L9549" s="13"/>
      <c r="M9549" s="13"/>
      <c r="N9549" s="13"/>
      <c r="O9549" s="13"/>
      <c r="P9549" s="13"/>
      <c r="Q9549" s="13"/>
      <c r="R9549" s="13"/>
    </row>
    <row r="9550" spans="8:18" x14ac:dyDescent="0.35">
      <c r="H9550" s="13"/>
      <c r="I9550" s="13"/>
      <c r="J9550" s="13"/>
      <c r="K9550" s="13"/>
      <c r="L9550" s="13"/>
      <c r="M9550" s="13"/>
      <c r="N9550" s="13"/>
      <c r="O9550" s="13"/>
      <c r="P9550" s="13"/>
      <c r="Q9550" s="13"/>
      <c r="R9550" s="13"/>
    </row>
    <row r="9551" spans="8:18" x14ac:dyDescent="0.35">
      <c r="H9551" s="13"/>
      <c r="I9551" s="13"/>
      <c r="J9551" s="13"/>
      <c r="K9551" s="13"/>
      <c r="L9551" s="13"/>
      <c r="M9551" s="13"/>
      <c r="N9551" s="13"/>
      <c r="O9551" s="13"/>
      <c r="P9551" s="13"/>
      <c r="Q9551" s="13"/>
      <c r="R9551" s="13"/>
    </row>
    <row r="9552" spans="8:18" x14ac:dyDescent="0.35">
      <c r="H9552" s="13"/>
      <c r="I9552" s="13"/>
      <c r="J9552" s="13"/>
      <c r="K9552" s="13"/>
      <c r="L9552" s="13"/>
      <c r="M9552" s="13"/>
      <c r="N9552" s="13"/>
      <c r="O9552" s="13"/>
      <c r="P9552" s="13"/>
      <c r="Q9552" s="13"/>
      <c r="R9552" s="13"/>
    </row>
    <row r="9553" spans="8:18" x14ac:dyDescent="0.35">
      <c r="H9553" s="13"/>
      <c r="I9553" s="13"/>
      <c r="J9553" s="13"/>
      <c r="K9553" s="13"/>
      <c r="L9553" s="13"/>
      <c r="M9553" s="13"/>
      <c r="N9553" s="13"/>
      <c r="O9553" s="13"/>
      <c r="P9553" s="13"/>
      <c r="Q9553" s="13"/>
      <c r="R9553" s="13"/>
    </row>
    <row r="9554" spans="8:18" x14ac:dyDescent="0.35">
      <c r="H9554" s="13"/>
      <c r="I9554" s="13"/>
      <c r="J9554" s="13"/>
      <c r="K9554" s="13"/>
      <c r="L9554" s="13"/>
      <c r="M9554" s="13"/>
      <c r="N9554" s="13"/>
      <c r="O9554" s="13"/>
      <c r="P9554" s="13"/>
      <c r="Q9554" s="13"/>
      <c r="R9554" s="13"/>
    </row>
    <row r="9555" spans="8:18" x14ac:dyDescent="0.35">
      <c r="H9555" s="13"/>
      <c r="I9555" s="13"/>
      <c r="J9555" s="13"/>
      <c r="K9555" s="13"/>
      <c r="L9555" s="13"/>
      <c r="M9555" s="13"/>
      <c r="N9555" s="13"/>
      <c r="O9555" s="13"/>
      <c r="P9555" s="13"/>
      <c r="Q9555" s="13"/>
      <c r="R9555" s="13"/>
    </row>
    <row r="9556" spans="8:18" x14ac:dyDescent="0.35">
      <c r="H9556" s="13"/>
      <c r="I9556" s="13"/>
      <c r="J9556" s="13"/>
      <c r="K9556" s="13"/>
      <c r="L9556" s="13"/>
      <c r="M9556" s="13"/>
      <c r="N9556" s="13"/>
      <c r="O9556" s="13"/>
      <c r="P9556" s="13"/>
      <c r="Q9556" s="13"/>
      <c r="R9556" s="13"/>
    </row>
    <row r="9557" spans="8:18" x14ac:dyDescent="0.35">
      <c r="H9557" s="13"/>
      <c r="I9557" s="13"/>
      <c r="J9557" s="13"/>
      <c r="K9557" s="13"/>
      <c r="L9557" s="13"/>
      <c r="M9557" s="13"/>
      <c r="N9557" s="13"/>
      <c r="O9557" s="13"/>
      <c r="P9557" s="13"/>
      <c r="Q9557" s="13"/>
      <c r="R9557" s="13"/>
    </row>
    <row r="9558" spans="8:18" x14ac:dyDescent="0.35">
      <c r="H9558" s="13"/>
      <c r="I9558" s="13"/>
      <c r="J9558" s="13"/>
      <c r="K9558" s="13"/>
      <c r="L9558" s="13"/>
      <c r="M9558" s="13"/>
      <c r="N9558" s="13"/>
      <c r="O9558" s="13"/>
      <c r="P9558" s="13"/>
      <c r="Q9558" s="13"/>
      <c r="R9558" s="13"/>
    </row>
    <row r="9559" spans="8:18" x14ac:dyDescent="0.35">
      <c r="H9559" s="13"/>
      <c r="I9559" s="13"/>
      <c r="J9559" s="13"/>
      <c r="K9559" s="13"/>
      <c r="L9559" s="13"/>
      <c r="M9559" s="13"/>
      <c r="N9559" s="13"/>
      <c r="O9559" s="13"/>
      <c r="P9559" s="13"/>
      <c r="Q9559" s="13"/>
      <c r="R9559" s="13"/>
    </row>
    <row r="9560" spans="8:18" x14ac:dyDescent="0.35">
      <c r="H9560" s="13"/>
      <c r="I9560" s="13"/>
      <c r="J9560" s="13"/>
      <c r="K9560" s="13"/>
      <c r="L9560" s="13"/>
      <c r="M9560" s="13"/>
      <c r="N9560" s="13"/>
      <c r="O9560" s="13"/>
      <c r="P9560" s="13"/>
      <c r="Q9560" s="13"/>
      <c r="R9560" s="13"/>
    </row>
    <row r="9561" spans="8:18" x14ac:dyDescent="0.35">
      <c r="H9561" s="13"/>
      <c r="I9561" s="13"/>
      <c r="J9561" s="13"/>
      <c r="K9561" s="13"/>
      <c r="L9561" s="13"/>
      <c r="M9561" s="13"/>
      <c r="N9561" s="13"/>
      <c r="O9561" s="13"/>
      <c r="P9561" s="13"/>
      <c r="Q9561" s="13"/>
      <c r="R9561" s="13"/>
    </row>
    <row r="9562" spans="8:18" x14ac:dyDescent="0.35">
      <c r="H9562" s="13"/>
      <c r="I9562" s="13"/>
      <c r="J9562" s="13"/>
      <c r="K9562" s="13"/>
      <c r="L9562" s="13"/>
      <c r="M9562" s="13"/>
      <c r="N9562" s="13"/>
      <c r="O9562" s="13"/>
      <c r="P9562" s="13"/>
      <c r="Q9562" s="13"/>
      <c r="R9562" s="13"/>
    </row>
    <row r="9563" spans="8:18" x14ac:dyDescent="0.35">
      <c r="H9563" s="13"/>
      <c r="I9563" s="13"/>
      <c r="J9563" s="13"/>
      <c r="K9563" s="13"/>
      <c r="L9563" s="13"/>
      <c r="M9563" s="13"/>
      <c r="N9563" s="13"/>
      <c r="O9563" s="13"/>
      <c r="P9563" s="13"/>
      <c r="Q9563" s="13"/>
      <c r="R9563" s="13"/>
    </row>
    <row r="9564" spans="8:18" x14ac:dyDescent="0.35">
      <c r="H9564" s="13"/>
      <c r="I9564" s="13"/>
      <c r="J9564" s="13"/>
      <c r="K9564" s="13"/>
      <c r="L9564" s="13"/>
      <c r="M9564" s="13"/>
      <c r="N9564" s="13"/>
      <c r="O9564" s="13"/>
      <c r="P9564" s="13"/>
      <c r="Q9564" s="13"/>
      <c r="R9564" s="13"/>
    </row>
    <row r="9565" spans="8:18" x14ac:dyDescent="0.35">
      <c r="H9565" s="13"/>
      <c r="I9565" s="13"/>
      <c r="J9565" s="13"/>
      <c r="K9565" s="13"/>
      <c r="L9565" s="13"/>
      <c r="M9565" s="13"/>
      <c r="N9565" s="13"/>
      <c r="O9565" s="13"/>
      <c r="P9565" s="13"/>
      <c r="Q9565" s="13"/>
      <c r="R9565" s="13"/>
    </row>
    <row r="9566" spans="8:18" x14ac:dyDescent="0.35">
      <c r="H9566" s="13"/>
      <c r="I9566" s="13"/>
      <c r="J9566" s="13"/>
      <c r="K9566" s="13"/>
      <c r="L9566" s="13"/>
      <c r="M9566" s="13"/>
      <c r="N9566" s="13"/>
      <c r="O9566" s="13"/>
      <c r="P9566" s="13"/>
      <c r="Q9566" s="13"/>
      <c r="R9566" s="13"/>
    </row>
    <row r="9567" spans="8:18" x14ac:dyDescent="0.35">
      <c r="H9567" s="13"/>
      <c r="I9567" s="13"/>
      <c r="J9567" s="13"/>
      <c r="K9567" s="13"/>
      <c r="L9567" s="13"/>
      <c r="M9567" s="13"/>
      <c r="N9567" s="13"/>
      <c r="O9567" s="13"/>
      <c r="P9567" s="13"/>
      <c r="Q9567" s="13"/>
      <c r="R9567" s="13"/>
    </row>
    <row r="9568" spans="8:18" x14ac:dyDescent="0.35">
      <c r="H9568" s="13"/>
      <c r="I9568" s="13"/>
      <c r="J9568" s="13"/>
      <c r="K9568" s="13"/>
      <c r="L9568" s="13"/>
      <c r="M9568" s="13"/>
      <c r="N9568" s="13"/>
      <c r="O9568" s="13"/>
      <c r="P9568" s="13"/>
      <c r="Q9568" s="13"/>
      <c r="R9568" s="13"/>
    </row>
    <row r="9569" spans="8:18" x14ac:dyDescent="0.35">
      <c r="H9569" s="13"/>
      <c r="I9569" s="13"/>
      <c r="J9569" s="13"/>
      <c r="K9569" s="13"/>
      <c r="L9569" s="13"/>
      <c r="M9569" s="13"/>
      <c r="N9569" s="13"/>
      <c r="O9569" s="13"/>
      <c r="P9569" s="13"/>
      <c r="Q9569" s="13"/>
      <c r="R9569" s="13"/>
    </row>
    <row r="9570" spans="8:18" x14ac:dyDescent="0.35">
      <c r="H9570" s="13"/>
      <c r="I9570" s="13"/>
      <c r="J9570" s="13"/>
      <c r="K9570" s="13"/>
      <c r="L9570" s="13"/>
      <c r="M9570" s="13"/>
      <c r="N9570" s="13"/>
      <c r="O9570" s="13"/>
      <c r="P9570" s="13"/>
      <c r="Q9570" s="13"/>
      <c r="R9570" s="13"/>
    </row>
    <row r="9571" spans="8:18" x14ac:dyDescent="0.35">
      <c r="H9571" s="13"/>
      <c r="I9571" s="13"/>
      <c r="J9571" s="13"/>
      <c r="K9571" s="13"/>
      <c r="L9571" s="13"/>
      <c r="M9571" s="13"/>
      <c r="N9571" s="13"/>
      <c r="O9571" s="13"/>
      <c r="P9571" s="13"/>
      <c r="Q9571" s="13"/>
      <c r="R9571" s="13"/>
    </row>
    <row r="9572" spans="8:18" x14ac:dyDescent="0.35">
      <c r="H9572" s="13"/>
      <c r="I9572" s="13"/>
      <c r="J9572" s="13"/>
      <c r="K9572" s="13"/>
      <c r="L9572" s="13"/>
      <c r="M9572" s="13"/>
      <c r="N9572" s="13"/>
      <c r="O9572" s="13"/>
      <c r="P9572" s="13"/>
      <c r="Q9572" s="13"/>
      <c r="R9572" s="13"/>
    </row>
    <row r="9573" spans="8:18" x14ac:dyDescent="0.35">
      <c r="H9573" s="13"/>
      <c r="I9573" s="13"/>
      <c r="J9573" s="13"/>
      <c r="K9573" s="13"/>
      <c r="L9573" s="13"/>
      <c r="M9573" s="13"/>
      <c r="N9573" s="13"/>
      <c r="O9573" s="13"/>
      <c r="P9573" s="13"/>
      <c r="Q9573" s="13"/>
      <c r="R9573" s="13"/>
    </row>
    <row r="9574" spans="8:18" x14ac:dyDescent="0.35">
      <c r="H9574" s="13"/>
      <c r="I9574" s="13"/>
      <c r="J9574" s="13"/>
      <c r="K9574" s="13"/>
      <c r="L9574" s="13"/>
      <c r="M9574" s="13"/>
      <c r="N9574" s="13"/>
      <c r="O9574" s="13"/>
      <c r="P9574" s="13"/>
      <c r="Q9574" s="13"/>
      <c r="R9574" s="13"/>
    </row>
    <row r="9575" spans="8:18" x14ac:dyDescent="0.35">
      <c r="H9575" s="13"/>
      <c r="I9575" s="13"/>
      <c r="J9575" s="13"/>
      <c r="K9575" s="13"/>
      <c r="L9575" s="13"/>
      <c r="M9575" s="13"/>
      <c r="N9575" s="13"/>
      <c r="O9575" s="13"/>
      <c r="P9575" s="13"/>
      <c r="Q9575" s="13"/>
      <c r="R9575" s="13"/>
    </row>
    <row r="9576" spans="8:18" x14ac:dyDescent="0.35">
      <c r="H9576" s="13"/>
      <c r="I9576" s="13"/>
      <c r="J9576" s="13"/>
      <c r="K9576" s="13"/>
      <c r="L9576" s="13"/>
      <c r="M9576" s="13"/>
      <c r="N9576" s="13"/>
      <c r="O9576" s="13"/>
      <c r="P9576" s="13"/>
      <c r="Q9576" s="13"/>
      <c r="R9576" s="13"/>
    </row>
    <row r="9577" spans="8:18" x14ac:dyDescent="0.35">
      <c r="H9577" s="13"/>
      <c r="I9577" s="13"/>
      <c r="J9577" s="13"/>
      <c r="K9577" s="13"/>
      <c r="L9577" s="13"/>
      <c r="M9577" s="13"/>
      <c r="N9577" s="13"/>
      <c r="O9577" s="13"/>
      <c r="P9577" s="13"/>
      <c r="Q9577" s="13"/>
      <c r="R9577" s="13"/>
    </row>
    <row r="9578" spans="8:18" x14ac:dyDescent="0.35">
      <c r="H9578" s="13"/>
      <c r="I9578" s="13"/>
      <c r="J9578" s="13"/>
      <c r="K9578" s="13"/>
      <c r="L9578" s="13"/>
      <c r="M9578" s="13"/>
      <c r="N9578" s="13"/>
      <c r="O9578" s="13"/>
      <c r="P9578" s="13"/>
      <c r="Q9578" s="13"/>
      <c r="R9578" s="13"/>
    </row>
    <row r="9579" spans="8:18" x14ac:dyDescent="0.35">
      <c r="H9579" s="13"/>
      <c r="I9579" s="13"/>
      <c r="J9579" s="13"/>
      <c r="K9579" s="13"/>
      <c r="L9579" s="13"/>
      <c r="M9579" s="13"/>
      <c r="N9579" s="13"/>
      <c r="O9579" s="13"/>
      <c r="P9579" s="13"/>
      <c r="Q9579" s="13"/>
      <c r="R9579" s="13"/>
    </row>
    <row r="9580" spans="8:18" x14ac:dyDescent="0.35">
      <c r="H9580" s="13"/>
      <c r="I9580" s="13"/>
      <c r="J9580" s="13"/>
      <c r="K9580" s="13"/>
      <c r="L9580" s="13"/>
      <c r="M9580" s="13"/>
      <c r="N9580" s="13"/>
      <c r="O9580" s="13"/>
      <c r="P9580" s="13"/>
      <c r="Q9580" s="13"/>
      <c r="R9580" s="13"/>
    </row>
    <row r="9581" spans="8:18" x14ac:dyDescent="0.35">
      <c r="H9581" s="13"/>
      <c r="I9581" s="13"/>
      <c r="J9581" s="13"/>
      <c r="K9581" s="13"/>
      <c r="L9581" s="13"/>
      <c r="M9581" s="13"/>
      <c r="N9581" s="13"/>
      <c r="O9581" s="13"/>
      <c r="P9581" s="13"/>
      <c r="Q9581" s="13"/>
      <c r="R9581" s="13"/>
    </row>
    <row r="9582" spans="8:18" x14ac:dyDescent="0.35">
      <c r="H9582" s="13"/>
      <c r="I9582" s="13"/>
      <c r="J9582" s="13"/>
      <c r="K9582" s="13"/>
      <c r="L9582" s="13"/>
      <c r="M9582" s="13"/>
      <c r="N9582" s="13"/>
      <c r="O9582" s="13"/>
      <c r="P9582" s="13"/>
      <c r="Q9582" s="13"/>
      <c r="R9582" s="13"/>
    </row>
    <row r="9583" spans="8:18" x14ac:dyDescent="0.35">
      <c r="H9583" s="13"/>
      <c r="I9583" s="13"/>
      <c r="J9583" s="13"/>
      <c r="K9583" s="13"/>
      <c r="L9583" s="13"/>
      <c r="M9583" s="13"/>
      <c r="N9583" s="13"/>
      <c r="O9583" s="13"/>
      <c r="P9583" s="13"/>
      <c r="Q9583" s="13"/>
      <c r="R9583" s="13"/>
    </row>
    <row r="9584" spans="8:18" x14ac:dyDescent="0.35">
      <c r="H9584" s="13"/>
      <c r="I9584" s="13"/>
      <c r="J9584" s="13"/>
      <c r="K9584" s="13"/>
      <c r="L9584" s="13"/>
      <c r="M9584" s="13"/>
      <c r="N9584" s="13"/>
      <c r="O9584" s="13"/>
      <c r="P9584" s="13"/>
      <c r="Q9584" s="13"/>
      <c r="R9584" s="13"/>
    </row>
    <row r="9585" spans="8:18" x14ac:dyDescent="0.35">
      <c r="H9585" s="13"/>
      <c r="I9585" s="13"/>
      <c r="J9585" s="13"/>
      <c r="K9585" s="13"/>
      <c r="L9585" s="13"/>
      <c r="M9585" s="13"/>
      <c r="N9585" s="13"/>
      <c r="O9585" s="13"/>
      <c r="P9585" s="13"/>
      <c r="Q9585" s="13"/>
      <c r="R9585" s="13"/>
    </row>
    <row r="9586" spans="8:18" x14ac:dyDescent="0.35">
      <c r="H9586" s="13"/>
      <c r="I9586" s="13"/>
      <c r="J9586" s="13"/>
      <c r="K9586" s="13"/>
      <c r="L9586" s="13"/>
      <c r="M9586" s="13"/>
      <c r="N9586" s="13"/>
      <c r="O9586" s="13"/>
      <c r="P9586" s="13"/>
      <c r="Q9586" s="13"/>
      <c r="R9586" s="13"/>
    </row>
    <row r="9587" spans="8:18" x14ac:dyDescent="0.35">
      <c r="H9587" s="13"/>
      <c r="I9587" s="13"/>
      <c r="J9587" s="13"/>
      <c r="K9587" s="13"/>
      <c r="L9587" s="13"/>
      <c r="M9587" s="13"/>
      <c r="N9587" s="13"/>
      <c r="O9587" s="13"/>
      <c r="P9587" s="13"/>
      <c r="Q9587" s="13"/>
      <c r="R9587" s="13"/>
    </row>
    <row r="9588" spans="8:18" x14ac:dyDescent="0.35">
      <c r="H9588" s="13"/>
      <c r="I9588" s="13"/>
      <c r="J9588" s="13"/>
      <c r="K9588" s="13"/>
      <c r="L9588" s="13"/>
      <c r="M9588" s="13"/>
      <c r="N9588" s="13"/>
      <c r="O9588" s="13"/>
      <c r="P9588" s="13"/>
      <c r="Q9588" s="13"/>
      <c r="R9588" s="13"/>
    </row>
    <row r="9589" spans="8:18" x14ac:dyDescent="0.35">
      <c r="H9589" s="13"/>
      <c r="I9589" s="13"/>
      <c r="J9589" s="13"/>
      <c r="K9589" s="13"/>
      <c r="L9589" s="13"/>
      <c r="M9589" s="13"/>
      <c r="N9589" s="13"/>
      <c r="O9589" s="13"/>
      <c r="P9589" s="13"/>
      <c r="Q9589" s="13"/>
      <c r="R9589" s="13"/>
    </row>
    <row r="9590" spans="8:18" x14ac:dyDescent="0.35">
      <c r="H9590" s="13"/>
      <c r="I9590" s="13"/>
      <c r="J9590" s="13"/>
      <c r="K9590" s="13"/>
      <c r="L9590" s="13"/>
      <c r="M9590" s="13"/>
      <c r="N9590" s="13"/>
      <c r="O9590" s="13"/>
      <c r="P9590" s="13"/>
      <c r="Q9590" s="13"/>
      <c r="R9590" s="13"/>
    </row>
    <row r="9591" spans="8:18" x14ac:dyDescent="0.35">
      <c r="H9591" s="13"/>
      <c r="I9591" s="13"/>
      <c r="J9591" s="13"/>
      <c r="K9591" s="13"/>
      <c r="L9591" s="13"/>
      <c r="M9591" s="13"/>
      <c r="N9591" s="13"/>
      <c r="O9591" s="13"/>
      <c r="P9591" s="13"/>
      <c r="Q9591" s="13"/>
      <c r="R9591" s="13"/>
    </row>
    <row r="9592" spans="8:18" x14ac:dyDescent="0.35">
      <c r="H9592" s="13"/>
      <c r="I9592" s="13"/>
      <c r="J9592" s="13"/>
      <c r="K9592" s="13"/>
      <c r="L9592" s="13"/>
      <c r="M9592" s="13"/>
      <c r="N9592" s="13"/>
      <c r="O9592" s="13"/>
      <c r="P9592" s="13"/>
      <c r="Q9592" s="13"/>
      <c r="R9592" s="13"/>
    </row>
    <row r="9593" spans="8:18" x14ac:dyDescent="0.35">
      <c r="H9593" s="13"/>
      <c r="I9593" s="13"/>
      <c r="J9593" s="13"/>
      <c r="K9593" s="13"/>
      <c r="L9593" s="13"/>
      <c r="M9593" s="13"/>
      <c r="N9593" s="13"/>
      <c r="O9593" s="13"/>
      <c r="P9593" s="13"/>
      <c r="Q9593" s="13"/>
      <c r="R9593" s="13"/>
    </row>
    <row r="9594" spans="8:18" x14ac:dyDescent="0.35">
      <c r="H9594" s="13"/>
      <c r="I9594" s="13"/>
      <c r="J9594" s="13"/>
      <c r="K9594" s="13"/>
      <c r="L9594" s="13"/>
      <c r="M9594" s="13"/>
      <c r="N9594" s="13"/>
      <c r="O9594" s="13"/>
      <c r="P9594" s="13"/>
      <c r="Q9594" s="13"/>
      <c r="R9594" s="13"/>
    </row>
    <row r="9595" spans="8:18" x14ac:dyDescent="0.35">
      <c r="H9595" s="13"/>
      <c r="I9595" s="13"/>
      <c r="J9595" s="13"/>
      <c r="K9595" s="13"/>
      <c r="L9595" s="13"/>
      <c r="M9595" s="13"/>
      <c r="N9595" s="13"/>
      <c r="O9595" s="13"/>
      <c r="P9595" s="13"/>
      <c r="Q9595" s="13"/>
      <c r="R9595" s="13"/>
    </row>
    <row r="9596" spans="8:18" x14ac:dyDescent="0.35">
      <c r="H9596" s="13"/>
      <c r="I9596" s="13"/>
      <c r="J9596" s="13"/>
      <c r="K9596" s="13"/>
      <c r="L9596" s="13"/>
      <c r="M9596" s="13"/>
      <c r="N9596" s="13"/>
      <c r="O9596" s="13"/>
      <c r="P9596" s="13"/>
      <c r="Q9596" s="13"/>
      <c r="R9596" s="13"/>
    </row>
    <row r="9597" spans="8:18" x14ac:dyDescent="0.35">
      <c r="H9597" s="13"/>
      <c r="I9597" s="13"/>
      <c r="J9597" s="13"/>
      <c r="K9597" s="13"/>
      <c r="L9597" s="13"/>
      <c r="M9597" s="13"/>
      <c r="N9597" s="13"/>
      <c r="O9597" s="13"/>
      <c r="P9597" s="13"/>
      <c r="Q9597" s="13"/>
      <c r="R9597" s="13"/>
    </row>
    <row r="9598" spans="8:18" x14ac:dyDescent="0.35">
      <c r="H9598" s="13"/>
      <c r="I9598" s="13"/>
      <c r="J9598" s="13"/>
      <c r="K9598" s="13"/>
      <c r="L9598" s="13"/>
      <c r="M9598" s="13"/>
      <c r="N9598" s="13"/>
      <c r="O9598" s="13"/>
      <c r="P9598" s="13"/>
      <c r="Q9598" s="13"/>
      <c r="R9598" s="13"/>
    </row>
    <row r="9599" spans="8:18" x14ac:dyDescent="0.35">
      <c r="H9599" s="13"/>
      <c r="I9599" s="13"/>
      <c r="J9599" s="13"/>
      <c r="K9599" s="13"/>
      <c r="L9599" s="13"/>
      <c r="M9599" s="13"/>
      <c r="N9599" s="13"/>
      <c r="O9599" s="13"/>
      <c r="P9599" s="13"/>
      <c r="Q9599" s="13"/>
      <c r="R9599" s="13"/>
    </row>
    <row r="9600" spans="8:18" x14ac:dyDescent="0.35">
      <c r="H9600" s="13"/>
      <c r="I9600" s="13"/>
      <c r="J9600" s="13"/>
      <c r="K9600" s="13"/>
      <c r="L9600" s="13"/>
      <c r="M9600" s="13"/>
      <c r="N9600" s="13"/>
      <c r="O9600" s="13"/>
      <c r="P9600" s="13"/>
      <c r="Q9600" s="13"/>
      <c r="R9600" s="13"/>
    </row>
    <row r="9601" spans="8:18" x14ac:dyDescent="0.35">
      <c r="H9601" s="13"/>
      <c r="I9601" s="13"/>
      <c r="J9601" s="13"/>
      <c r="K9601" s="13"/>
      <c r="L9601" s="13"/>
      <c r="M9601" s="13"/>
      <c r="N9601" s="13"/>
      <c r="O9601" s="13"/>
      <c r="P9601" s="13"/>
      <c r="Q9601" s="13"/>
      <c r="R9601" s="13"/>
    </row>
    <row r="9602" spans="8:18" x14ac:dyDescent="0.35">
      <c r="H9602" s="13"/>
      <c r="I9602" s="13"/>
      <c r="J9602" s="13"/>
      <c r="K9602" s="13"/>
      <c r="L9602" s="13"/>
      <c r="M9602" s="13"/>
      <c r="N9602" s="13"/>
      <c r="O9602" s="13"/>
      <c r="P9602" s="13"/>
      <c r="Q9602" s="13"/>
      <c r="R9602" s="13"/>
    </row>
    <row r="9603" spans="8:18" x14ac:dyDescent="0.35">
      <c r="H9603" s="13"/>
      <c r="I9603" s="13"/>
      <c r="J9603" s="13"/>
      <c r="K9603" s="13"/>
      <c r="L9603" s="13"/>
      <c r="M9603" s="13"/>
      <c r="N9603" s="13"/>
      <c r="O9603" s="13"/>
      <c r="P9603" s="13"/>
      <c r="Q9603" s="13"/>
      <c r="R9603" s="13"/>
    </row>
    <row r="9604" spans="8:18" x14ac:dyDescent="0.35">
      <c r="H9604" s="13"/>
      <c r="I9604" s="13"/>
      <c r="J9604" s="13"/>
      <c r="K9604" s="13"/>
      <c r="L9604" s="13"/>
      <c r="M9604" s="13"/>
      <c r="N9604" s="13"/>
      <c r="O9604" s="13"/>
      <c r="P9604" s="13"/>
      <c r="Q9604" s="13"/>
      <c r="R9604" s="13"/>
    </row>
    <row r="9605" spans="8:18" x14ac:dyDescent="0.35">
      <c r="H9605" s="13"/>
      <c r="I9605" s="13"/>
      <c r="J9605" s="13"/>
      <c r="K9605" s="13"/>
      <c r="L9605" s="13"/>
      <c r="M9605" s="13"/>
      <c r="N9605" s="13"/>
      <c r="O9605" s="13"/>
      <c r="P9605" s="13"/>
      <c r="Q9605" s="13"/>
      <c r="R9605" s="13"/>
    </row>
    <row r="9606" spans="8:18" x14ac:dyDescent="0.35">
      <c r="H9606" s="13"/>
      <c r="I9606" s="13"/>
      <c r="J9606" s="13"/>
      <c r="K9606" s="13"/>
      <c r="L9606" s="13"/>
      <c r="M9606" s="13"/>
      <c r="N9606" s="13"/>
      <c r="O9606" s="13"/>
      <c r="P9606" s="13"/>
      <c r="Q9606" s="13"/>
      <c r="R9606" s="13"/>
    </row>
    <row r="9607" spans="8:18" x14ac:dyDescent="0.35">
      <c r="H9607" s="13"/>
      <c r="I9607" s="13"/>
      <c r="J9607" s="13"/>
      <c r="K9607" s="13"/>
      <c r="L9607" s="13"/>
      <c r="M9607" s="13"/>
      <c r="N9607" s="13"/>
      <c r="O9607" s="13"/>
      <c r="P9607" s="13"/>
      <c r="Q9607" s="13"/>
      <c r="R9607" s="13"/>
    </row>
    <row r="9608" spans="8:18" x14ac:dyDescent="0.35">
      <c r="H9608" s="13"/>
      <c r="I9608" s="13"/>
      <c r="J9608" s="13"/>
      <c r="K9608" s="13"/>
      <c r="L9608" s="13"/>
      <c r="M9608" s="13"/>
      <c r="N9608" s="13"/>
      <c r="O9608" s="13"/>
      <c r="P9608" s="13"/>
      <c r="Q9608" s="13"/>
      <c r="R9608" s="13"/>
    </row>
    <row r="9609" spans="8:18" x14ac:dyDescent="0.35">
      <c r="H9609" s="13"/>
      <c r="I9609" s="13"/>
      <c r="J9609" s="13"/>
      <c r="K9609" s="13"/>
      <c r="L9609" s="13"/>
      <c r="M9609" s="13"/>
      <c r="N9609" s="13"/>
      <c r="O9609" s="13"/>
      <c r="P9609" s="13"/>
      <c r="Q9609" s="13"/>
      <c r="R9609" s="13"/>
    </row>
    <row r="9610" spans="8:18" x14ac:dyDescent="0.35">
      <c r="H9610" s="13"/>
      <c r="I9610" s="13"/>
      <c r="J9610" s="13"/>
      <c r="K9610" s="13"/>
      <c r="L9610" s="13"/>
      <c r="M9610" s="13"/>
      <c r="N9610" s="13"/>
      <c r="O9610" s="13"/>
      <c r="P9610" s="13"/>
      <c r="Q9610" s="13"/>
      <c r="R9610" s="13"/>
    </row>
    <row r="9611" spans="8:18" x14ac:dyDescent="0.35">
      <c r="H9611" s="13"/>
      <c r="I9611" s="13"/>
      <c r="J9611" s="13"/>
      <c r="K9611" s="13"/>
      <c r="L9611" s="13"/>
      <c r="M9611" s="13"/>
      <c r="N9611" s="13"/>
      <c r="O9611" s="13"/>
      <c r="P9611" s="13"/>
      <c r="Q9611" s="13"/>
      <c r="R9611" s="13"/>
    </row>
    <row r="9612" spans="8:18" x14ac:dyDescent="0.35">
      <c r="H9612" s="13"/>
      <c r="I9612" s="13"/>
      <c r="J9612" s="13"/>
      <c r="K9612" s="13"/>
      <c r="L9612" s="13"/>
      <c r="M9612" s="13"/>
      <c r="N9612" s="13"/>
      <c r="O9612" s="13"/>
      <c r="P9612" s="13"/>
      <c r="Q9612" s="13"/>
      <c r="R9612" s="13"/>
    </row>
    <row r="9613" spans="8:18" x14ac:dyDescent="0.35">
      <c r="H9613" s="13"/>
      <c r="I9613" s="13"/>
      <c r="J9613" s="13"/>
      <c r="K9613" s="13"/>
      <c r="L9613" s="13"/>
      <c r="M9613" s="13"/>
      <c r="N9613" s="13"/>
      <c r="O9613" s="13"/>
      <c r="P9613" s="13"/>
      <c r="Q9613" s="13"/>
      <c r="R9613" s="13"/>
    </row>
    <row r="9614" spans="8:18" x14ac:dyDescent="0.35">
      <c r="H9614" s="13"/>
      <c r="I9614" s="13"/>
      <c r="J9614" s="13"/>
      <c r="K9614" s="13"/>
      <c r="L9614" s="13"/>
      <c r="M9614" s="13"/>
      <c r="N9614" s="13"/>
      <c r="O9614" s="13"/>
      <c r="P9614" s="13"/>
      <c r="Q9614" s="13"/>
      <c r="R9614" s="13"/>
    </row>
    <row r="9615" spans="8:18" x14ac:dyDescent="0.35">
      <c r="H9615" s="13"/>
      <c r="I9615" s="13"/>
      <c r="J9615" s="13"/>
      <c r="K9615" s="13"/>
      <c r="L9615" s="13"/>
      <c r="M9615" s="13"/>
      <c r="N9615" s="13"/>
      <c r="O9615" s="13"/>
      <c r="P9615" s="13"/>
      <c r="Q9615" s="13"/>
      <c r="R9615" s="13"/>
    </row>
    <row r="9616" spans="8:18" x14ac:dyDescent="0.35">
      <c r="H9616" s="13"/>
      <c r="I9616" s="13"/>
      <c r="J9616" s="13"/>
      <c r="K9616" s="13"/>
      <c r="L9616" s="13"/>
      <c r="M9616" s="13"/>
      <c r="N9616" s="13"/>
      <c r="O9616" s="13"/>
      <c r="P9616" s="13"/>
      <c r="Q9616" s="13"/>
      <c r="R9616" s="13"/>
    </row>
    <row r="9617" spans="8:18" x14ac:dyDescent="0.35">
      <c r="H9617" s="13"/>
      <c r="I9617" s="13"/>
      <c r="J9617" s="13"/>
      <c r="K9617" s="13"/>
      <c r="L9617" s="13"/>
      <c r="M9617" s="13"/>
      <c r="N9617" s="13"/>
      <c r="O9617" s="13"/>
      <c r="P9617" s="13"/>
      <c r="Q9617" s="13"/>
      <c r="R9617" s="13"/>
    </row>
    <row r="9618" spans="8:18" x14ac:dyDescent="0.35">
      <c r="H9618" s="13"/>
      <c r="I9618" s="13"/>
      <c r="J9618" s="13"/>
      <c r="K9618" s="13"/>
      <c r="L9618" s="13"/>
      <c r="M9618" s="13"/>
      <c r="N9618" s="13"/>
      <c r="O9618" s="13"/>
      <c r="P9618" s="13"/>
      <c r="Q9618" s="13"/>
      <c r="R9618" s="13"/>
    </row>
    <row r="9619" spans="8:18" x14ac:dyDescent="0.35">
      <c r="H9619" s="13"/>
      <c r="I9619" s="13"/>
      <c r="J9619" s="13"/>
      <c r="K9619" s="13"/>
      <c r="L9619" s="13"/>
      <c r="M9619" s="13"/>
      <c r="N9619" s="13"/>
      <c r="O9619" s="13"/>
      <c r="P9619" s="13"/>
      <c r="Q9619" s="13"/>
      <c r="R9619" s="13"/>
    </row>
    <row r="9620" spans="8:18" x14ac:dyDescent="0.35">
      <c r="H9620" s="13"/>
      <c r="I9620" s="13"/>
      <c r="J9620" s="13"/>
      <c r="K9620" s="13"/>
      <c r="L9620" s="13"/>
      <c r="M9620" s="13"/>
      <c r="N9620" s="13"/>
      <c r="O9620" s="13"/>
      <c r="P9620" s="13"/>
      <c r="Q9620" s="13"/>
      <c r="R9620" s="13"/>
    </row>
    <row r="9621" spans="8:18" x14ac:dyDescent="0.35">
      <c r="H9621" s="13"/>
      <c r="I9621" s="13"/>
      <c r="J9621" s="13"/>
      <c r="K9621" s="13"/>
      <c r="L9621" s="13"/>
      <c r="M9621" s="13"/>
      <c r="N9621" s="13"/>
      <c r="O9621" s="13"/>
      <c r="P9621" s="13"/>
      <c r="Q9621" s="13"/>
      <c r="R9621" s="13"/>
    </row>
    <row r="9622" spans="8:18" x14ac:dyDescent="0.35">
      <c r="H9622" s="13"/>
      <c r="I9622" s="13"/>
      <c r="J9622" s="13"/>
      <c r="K9622" s="13"/>
      <c r="L9622" s="13"/>
      <c r="M9622" s="13"/>
      <c r="N9622" s="13"/>
      <c r="O9622" s="13"/>
      <c r="P9622" s="13"/>
      <c r="Q9622" s="13"/>
      <c r="R9622" s="13"/>
    </row>
    <row r="9623" spans="8:18" x14ac:dyDescent="0.35">
      <c r="H9623" s="13"/>
      <c r="I9623" s="13"/>
      <c r="J9623" s="13"/>
      <c r="K9623" s="13"/>
      <c r="L9623" s="13"/>
      <c r="M9623" s="13"/>
      <c r="N9623" s="13"/>
      <c r="O9623" s="13"/>
      <c r="P9623" s="13"/>
      <c r="Q9623" s="13"/>
      <c r="R9623" s="13"/>
    </row>
    <row r="9624" spans="8:18" x14ac:dyDescent="0.35">
      <c r="H9624" s="13"/>
      <c r="I9624" s="13"/>
      <c r="J9624" s="13"/>
      <c r="K9624" s="13"/>
      <c r="L9624" s="13"/>
      <c r="M9624" s="13"/>
      <c r="N9624" s="13"/>
      <c r="O9624" s="13"/>
      <c r="P9624" s="13"/>
      <c r="Q9624" s="13"/>
      <c r="R9624" s="13"/>
    </row>
    <row r="9625" spans="8:18" x14ac:dyDescent="0.35">
      <c r="H9625" s="13"/>
      <c r="I9625" s="13"/>
      <c r="J9625" s="13"/>
      <c r="K9625" s="13"/>
      <c r="L9625" s="13"/>
      <c r="M9625" s="13"/>
      <c r="N9625" s="13"/>
      <c r="O9625" s="13"/>
      <c r="P9625" s="13"/>
      <c r="Q9625" s="13"/>
      <c r="R9625" s="13"/>
    </row>
    <row r="9626" spans="8:18" x14ac:dyDescent="0.35">
      <c r="H9626" s="13"/>
      <c r="I9626" s="13"/>
      <c r="J9626" s="13"/>
      <c r="K9626" s="13"/>
      <c r="L9626" s="13"/>
      <c r="M9626" s="13"/>
      <c r="N9626" s="13"/>
      <c r="O9626" s="13"/>
      <c r="P9626" s="13"/>
      <c r="Q9626" s="13"/>
      <c r="R9626" s="13"/>
    </row>
    <row r="9627" spans="8:18" x14ac:dyDescent="0.35">
      <c r="H9627" s="13"/>
      <c r="I9627" s="13"/>
      <c r="J9627" s="13"/>
      <c r="K9627" s="13"/>
      <c r="L9627" s="13"/>
      <c r="M9627" s="13"/>
      <c r="N9627" s="13"/>
      <c r="O9627" s="13"/>
      <c r="P9627" s="13"/>
      <c r="Q9627" s="13"/>
      <c r="R9627" s="13"/>
    </row>
    <row r="9628" spans="8:18" x14ac:dyDescent="0.35">
      <c r="H9628" s="13"/>
      <c r="I9628" s="13"/>
      <c r="J9628" s="13"/>
      <c r="K9628" s="13"/>
      <c r="L9628" s="13"/>
      <c r="M9628" s="13"/>
      <c r="N9628" s="13"/>
      <c r="O9628" s="13"/>
      <c r="P9628" s="13"/>
      <c r="Q9628" s="13"/>
      <c r="R9628" s="13"/>
    </row>
    <row r="9629" spans="8:18" x14ac:dyDescent="0.35">
      <c r="H9629" s="13"/>
      <c r="I9629" s="13"/>
      <c r="J9629" s="13"/>
      <c r="K9629" s="13"/>
      <c r="L9629" s="13"/>
      <c r="M9629" s="13"/>
      <c r="N9629" s="13"/>
      <c r="O9629" s="13"/>
      <c r="P9629" s="13"/>
      <c r="Q9629" s="13"/>
      <c r="R9629" s="13"/>
    </row>
    <row r="9630" spans="8:18" x14ac:dyDescent="0.35">
      <c r="H9630" s="13"/>
      <c r="I9630" s="13"/>
      <c r="J9630" s="13"/>
      <c r="K9630" s="13"/>
      <c r="L9630" s="13"/>
      <c r="M9630" s="13"/>
      <c r="N9630" s="13"/>
      <c r="O9630" s="13"/>
      <c r="P9630" s="13"/>
      <c r="Q9630" s="13"/>
      <c r="R9630" s="13"/>
    </row>
    <row r="9631" spans="8:18" x14ac:dyDescent="0.35">
      <c r="H9631" s="13"/>
      <c r="I9631" s="13"/>
      <c r="J9631" s="13"/>
      <c r="K9631" s="13"/>
      <c r="L9631" s="13"/>
      <c r="M9631" s="13"/>
      <c r="N9631" s="13"/>
      <c r="O9631" s="13"/>
      <c r="P9631" s="13"/>
      <c r="Q9631" s="13"/>
      <c r="R9631" s="13"/>
    </row>
    <row r="9632" spans="8:18" x14ac:dyDescent="0.35">
      <c r="H9632" s="13"/>
      <c r="I9632" s="13"/>
      <c r="J9632" s="13"/>
      <c r="K9632" s="13"/>
      <c r="L9632" s="13"/>
      <c r="M9632" s="13"/>
      <c r="N9632" s="13"/>
      <c r="O9632" s="13"/>
      <c r="P9632" s="13"/>
      <c r="Q9632" s="13"/>
      <c r="R9632" s="13"/>
    </row>
    <row r="9633" spans="8:18" x14ac:dyDescent="0.35">
      <c r="H9633" s="13"/>
      <c r="I9633" s="13"/>
      <c r="J9633" s="13"/>
      <c r="K9633" s="13"/>
      <c r="L9633" s="13"/>
      <c r="M9633" s="13"/>
      <c r="N9633" s="13"/>
      <c r="O9633" s="13"/>
      <c r="P9633" s="13"/>
      <c r="Q9633" s="13"/>
      <c r="R9633" s="13"/>
    </row>
    <row r="9634" spans="8:18" x14ac:dyDescent="0.35">
      <c r="H9634" s="13"/>
      <c r="I9634" s="13"/>
      <c r="J9634" s="13"/>
      <c r="K9634" s="13"/>
      <c r="L9634" s="13"/>
      <c r="M9634" s="13"/>
      <c r="N9634" s="13"/>
      <c r="O9634" s="13"/>
      <c r="P9634" s="13"/>
      <c r="Q9634" s="13"/>
      <c r="R9634" s="13"/>
    </row>
    <row r="9635" spans="8:18" x14ac:dyDescent="0.35">
      <c r="H9635" s="13"/>
      <c r="I9635" s="13"/>
      <c r="J9635" s="13"/>
      <c r="K9635" s="13"/>
      <c r="L9635" s="13"/>
      <c r="M9635" s="13"/>
      <c r="N9635" s="13"/>
      <c r="O9635" s="13"/>
      <c r="P9635" s="13"/>
      <c r="Q9635" s="13"/>
      <c r="R9635" s="13"/>
    </row>
    <row r="9636" spans="8:18" x14ac:dyDescent="0.35">
      <c r="H9636" s="13"/>
      <c r="I9636" s="13"/>
      <c r="J9636" s="13"/>
      <c r="K9636" s="13"/>
      <c r="L9636" s="13"/>
      <c r="M9636" s="13"/>
      <c r="N9636" s="13"/>
      <c r="O9636" s="13"/>
      <c r="P9636" s="13"/>
      <c r="Q9636" s="13"/>
      <c r="R9636" s="13"/>
    </row>
    <row r="9637" spans="8:18" x14ac:dyDescent="0.35">
      <c r="H9637" s="13"/>
      <c r="I9637" s="13"/>
      <c r="J9637" s="13"/>
      <c r="K9637" s="13"/>
      <c r="L9637" s="13"/>
      <c r="M9637" s="13"/>
      <c r="N9637" s="13"/>
      <c r="O9637" s="13"/>
      <c r="P9637" s="13"/>
      <c r="Q9637" s="13"/>
      <c r="R9637" s="13"/>
    </row>
    <row r="9638" spans="8:18" x14ac:dyDescent="0.35">
      <c r="H9638" s="13"/>
      <c r="I9638" s="13"/>
      <c r="J9638" s="13"/>
      <c r="K9638" s="13"/>
      <c r="L9638" s="13"/>
      <c r="M9638" s="13"/>
      <c r="N9638" s="13"/>
      <c r="O9638" s="13"/>
      <c r="P9638" s="13"/>
      <c r="Q9638" s="13"/>
      <c r="R9638" s="13"/>
    </row>
    <row r="9639" spans="8:18" x14ac:dyDescent="0.35">
      <c r="H9639" s="13"/>
      <c r="I9639" s="13"/>
      <c r="J9639" s="13"/>
      <c r="K9639" s="13"/>
      <c r="L9639" s="13"/>
      <c r="M9639" s="13"/>
      <c r="N9639" s="13"/>
      <c r="O9639" s="13"/>
      <c r="P9639" s="13"/>
      <c r="Q9639" s="13"/>
      <c r="R9639" s="13"/>
    </row>
    <row r="9640" spans="8:18" x14ac:dyDescent="0.35">
      <c r="H9640" s="13"/>
      <c r="I9640" s="13"/>
      <c r="J9640" s="13"/>
      <c r="K9640" s="13"/>
      <c r="L9640" s="13"/>
      <c r="M9640" s="13"/>
      <c r="N9640" s="13"/>
      <c r="O9640" s="13"/>
      <c r="P9640" s="13"/>
      <c r="Q9640" s="13"/>
      <c r="R9640" s="13"/>
    </row>
    <row r="9641" spans="8:18" x14ac:dyDescent="0.35">
      <c r="H9641" s="13"/>
      <c r="I9641" s="13"/>
      <c r="J9641" s="13"/>
      <c r="K9641" s="13"/>
      <c r="L9641" s="13"/>
      <c r="M9641" s="13"/>
      <c r="N9641" s="13"/>
      <c r="O9641" s="13"/>
      <c r="P9641" s="13"/>
      <c r="Q9641" s="13"/>
      <c r="R9641" s="13"/>
    </row>
    <row r="9642" spans="8:18" x14ac:dyDescent="0.35">
      <c r="H9642" s="13"/>
      <c r="I9642" s="13"/>
      <c r="J9642" s="13"/>
      <c r="K9642" s="13"/>
      <c r="L9642" s="13"/>
      <c r="M9642" s="13"/>
      <c r="N9642" s="13"/>
      <c r="O9642" s="13"/>
      <c r="P9642" s="13"/>
      <c r="Q9642" s="13"/>
      <c r="R9642" s="13"/>
    </row>
    <row r="9643" spans="8:18" x14ac:dyDescent="0.35">
      <c r="H9643" s="13"/>
      <c r="I9643" s="13"/>
      <c r="J9643" s="13"/>
      <c r="K9643" s="13"/>
      <c r="L9643" s="13"/>
      <c r="M9643" s="13"/>
      <c r="N9643" s="13"/>
      <c r="O9643" s="13"/>
      <c r="P9643" s="13"/>
      <c r="Q9643" s="13"/>
      <c r="R9643" s="13"/>
    </row>
    <row r="9644" spans="8:18" x14ac:dyDescent="0.35">
      <c r="H9644" s="13"/>
      <c r="I9644" s="13"/>
      <c r="J9644" s="13"/>
      <c r="K9644" s="13"/>
      <c r="L9644" s="13"/>
      <c r="M9644" s="13"/>
      <c r="N9644" s="13"/>
      <c r="O9644" s="13"/>
      <c r="P9644" s="13"/>
      <c r="Q9644" s="13"/>
      <c r="R9644" s="13"/>
    </row>
    <row r="9645" spans="8:18" x14ac:dyDescent="0.35">
      <c r="H9645" s="13"/>
      <c r="I9645" s="13"/>
      <c r="J9645" s="13"/>
      <c r="K9645" s="13"/>
      <c r="L9645" s="13"/>
      <c r="M9645" s="13"/>
      <c r="N9645" s="13"/>
      <c r="O9645" s="13"/>
      <c r="P9645" s="13"/>
      <c r="Q9645" s="13"/>
      <c r="R9645" s="13"/>
    </row>
    <row r="9646" spans="8:18" x14ac:dyDescent="0.35">
      <c r="H9646" s="13"/>
      <c r="I9646" s="13"/>
      <c r="J9646" s="13"/>
      <c r="K9646" s="13"/>
      <c r="L9646" s="13"/>
      <c r="M9646" s="13"/>
      <c r="N9646" s="13"/>
      <c r="O9646" s="13"/>
      <c r="P9646" s="13"/>
      <c r="Q9646" s="13"/>
      <c r="R9646" s="13"/>
    </row>
    <row r="9647" spans="8:18" x14ac:dyDescent="0.35">
      <c r="H9647" s="13"/>
      <c r="I9647" s="13"/>
      <c r="J9647" s="13"/>
      <c r="K9647" s="13"/>
      <c r="L9647" s="13"/>
      <c r="M9647" s="13"/>
      <c r="N9647" s="13"/>
      <c r="O9647" s="13"/>
      <c r="P9647" s="13"/>
      <c r="Q9647" s="13"/>
      <c r="R9647" s="13"/>
    </row>
    <row r="9648" spans="8:18" x14ac:dyDescent="0.35">
      <c r="H9648" s="13"/>
      <c r="I9648" s="13"/>
      <c r="J9648" s="13"/>
      <c r="K9648" s="13"/>
      <c r="L9648" s="13"/>
      <c r="M9648" s="13"/>
      <c r="N9648" s="13"/>
      <c r="O9648" s="13"/>
      <c r="P9648" s="13"/>
      <c r="Q9648" s="13"/>
      <c r="R9648" s="13"/>
    </row>
    <row r="9649" spans="8:18" x14ac:dyDescent="0.35">
      <c r="H9649" s="13"/>
      <c r="I9649" s="13"/>
      <c r="J9649" s="13"/>
      <c r="K9649" s="13"/>
      <c r="L9649" s="13"/>
      <c r="M9649" s="13"/>
      <c r="N9649" s="13"/>
      <c r="O9649" s="13"/>
      <c r="P9649" s="13"/>
      <c r="Q9649" s="13"/>
      <c r="R9649" s="13"/>
    </row>
    <row r="9650" spans="8:18" x14ac:dyDescent="0.35">
      <c r="H9650" s="13"/>
      <c r="I9650" s="13"/>
      <c r="J9650" s="13"/>
      <c r="K9650" s="13"/>
      <c r="L9650" s="13"/>
      <c r="M9650" s="13"/>
      <c r="N9650" s="13"/>
      <c r="O9650" s="13"/>
      <c r="P9650" s="13"/>
      <c r="Q9650" s="13"/>
      <c r="R9650" s="13"/>
    </row>
    <row r="9651" spans="8:18" x14ac:dyDescent="0.35">
      <c r="H9651" s="13"/>
      <c r="I9651" s="13"/>
      <c r="J9651" s="13"/>
      <c r="K9651" s="13"/>
      <c r="L9651" s="13"/>
      <c r="M9651" s="13"/>
      <c r="N9651" s="13"/>
      <c r="O9651" s="13"/>
      <c r="P9651" s="13"/>
      <c r="Q9651" s="13"/>
      <c r="R9651" s="13"/>
    </row>
    <row r="9652" spans="8:18" x14ac:dyDescent="0.35">
      <c r="H9652" s="13"/>
      <c r="I9652" s="13"/>
      <c r="J9652" s="13"/>
      <c r="K9652" s="13"/>
      <c r="L9652" s="13"/>
      <c r="M9652" s="13"/>
      <c r="N9652" s="13"/>
      <c r="O9652" s="13"/>
      <c r="P9652" s="13"/>
      <c r="Q9652" s="13"/>
      <c r="R9652" s="13"/>
    </row>
    <row r="9653" spans="8:18" x14ac:dyDescent="0.35">
      <c r="H9653" s="13"/>
      <c r="I9653" s="13"/>
      <c r="J9653" s="13"/>
      <c r="K9653" s="13"/>
      <c r="L9653" s="13"/>
      <c r="M9653" s="13"/>
      <c r="N9653" s="13"/>
      <c r="O9653" s="13"/>
      <c r="P9653" s="13"/>
      <c r="Q9653" s="13"/>
      <c r="R9653" s="13"/>
    </row>
    <row r="9654" spans="8:18" x14ac:dyDescent="0.35">
      <c r="H9654" s="13"/>
      <c r="I9654" s="13"/>
      <c r="J9654" s="13"/>
      <c r="K9654" s="13"/>
      <c r="L9654" s="13"/>
      <c r="M9654" s="13"/>
      <c r="N9654" s="13"/>
      <c r="O9654" s="13"/>
      <c r="P9654" s="13"/>
      <c r="Q9654" s="13"/>
      <c r="R9654" s="13"/>
    </row>
    <row r="9655" spans="8:18" x14ac:dyDescent="0.35">
      <c r="H9655" s="13"/>
      <c r="I9655" s="13"/>
      <c r="J9655" s="13"/>
      <c r="K9655" s="13"/>
      <c r="L9655" s="13"/>
      <c r="M9655" s="13"/>
      <c r="N9655" s="13"/>
      <c r="O9655" s="13"/>
      <c r="P9655" s="13"/>
      <c r="Q9655" s="13"/>
      <c r="R9655" s="13"/>
    </row>
    <row r="9656" spans="8:18" x14ac:dyDescent="0.35">
      <c r="H9656" s="13"/>
      <c r="I9656" s="13"/>
      <c r="J9656" s="13"/>
      <c r="K9656" s="13"/>
      <c r="L9656" s="13"/>
      <c r="M9656" s="13"/>
      <c r="N9656" s="13"/>
      <c r="O9656" s="13"/>
      <c r="P9656" s="13"/>
      <c r="Q9656" s="13"/>
      <c r="R9656" s="13"/>
    </row>
    <row r="9657" spans="8:18" x14ac:dyDescent="0.35">
      <c r="H9657" s="13"/>
      <c r="I9657" s="13"/>
      <c r="J9657" s="13"/>
      <c r="K9657" s="13"/>
      <c r="L9657" s="13"/>
      <c r="M9657" s="13"/>
      <c r="N9657" s="13"/>
      <c r="O9657" s="13"/>
      <c r="P9657" s="13"/>
      <c r="Q9657" s="13"/>
      <c r="R9657" s="13"/>
    </row>
    <row r="9658" spans="8:18" x14ac:dyDescent="0.35">
      <c r="H9658" s="13"/>
      <c r="I9658" s="13"/>
      <c r="J9658" s="13"/>
      <c r="K9658" s="13"/>
      <c r="L9658" s="13"/>
      <c r="M9658" s="13"/>
      <c r="N9658" s="13"/>
      <c r="O9658" s="13"/>
      <c r="P9658" s="13"/>
      <c r="Q9658" s="13"/>
      <c r="R9658" s="13"/>
    </row>
    <row r="9659" spans="8:18" x14ac:dyDescent="0.35">
      <c r="H9659" s="13"/>
      <c r="I9659" s="13"/>
      <c r="J9659" s="13"/>
      <c r="K9659" s="13"/>
      <c r="L9659" s="13"/>
      <c r="M9659" s="13"/>
      <c r="N9659" s="13"/>
      <c r="O9659" s="13"/>
      <c r="P9659" s="13"/>
      <c r="Q9659" s="13"/>
      <c r="R9659" s="13"/>
    </row>
    <row r="9660" spans="8:18" x14ac:dyDescent="0.35">
      <c r="H9660" s="13"/>
      <c r="I9660" s="13"/>
      <c r="J9660" s="13"/>
      <c r="K9660" s="13"/>
      <c r="L9660" s="13"/>
      <c r="M9660" s="13"/>
      <c r="N9660" s="13"/>
      <c r="O9660" s="13"/>
      <c r="P9660" s="13"/>
      <c r="Q9660" s="13"/>
      <c r="R9660" s="13"/>
    </row>
    <row r="9661" spans="8:18" x14ac:dyDescent="0.35">
      <c r="H9661" s="13"/>
      <c r="I9661" s="13"/>
      <c r="J9661" s="13"/>
      <c r="K9661" s="13"/>
      <c r="L9661" s="13"/>
      <c r="M9661" s="13"/>
      <c r="N9661" s="13"/>
      <c r="O9661" s="13"/>
      <c r="P9661" s="13"/>
      <c r="Q9661" s="13"/>
      <c r="R9661" s="13"/>
    </row>
    <row r="9662" spans="8:18" x14ac:dyDescent="0.35">
      <c r="H9662" s="13"/>
      <c r="I9662" s="13"/>
      <c r="J9662" s="13"/>
      <c r="K9662" s="13"/>
      <c r="L9662" s="13"/>
      <c r="M9662" s="13"/>
      <c r="N9662" s="13"/>
      <c r="O9662" s="13"/>
      <c r="P9662" s="13"/>
      <c r="Q9662" s="13"/>
      <c r="R9662" s="13"/>
    </row>
    <row r="9663" spans="8:18" x14ac:dyDescent="0.35">
      <c r="H9663" s="13"/>
      <c r="I9663" s="13"/>
      <c r="J9663" s="13"/>
      <c r="K9663" s="13"/>
      <c r="L9663" s="13"/>
      <c r="M9663" s="13"/>
      <c r="N9663" s="13"/>
      <c r="O9663" s="13"/>
      <c r="P9663" s="13"/>
      <c r="Q9663" s="13"/>
      <c r="R9663" s="13"/>
    </row>
    <row r="9664" spans="8:18" x14ac:dyDescent="0.35">
      <c r="H9664" s="13"/>
      <c r="I9664" s="13"/>
      <c r="J9664" s="13"/>
      <c r="K9664" s="13"/>
      <c r="L9664" s="13"/>
      <c r="M9664" s="13"/>
      <c r="N9664" s="13"/>
      <c r="O9664" s="13"/>
      <c r="P9664" s="13"/>
      <c r="Q9664" s="13"/>
      <c r="R9664" s="13"/>
    </row>
    <row r="9665" spans="8:18" x14ac:dyDescent="0.35">
      <c r="H9665" s="13"/>
      <c r="I9665" s="13"/>
      <c r="J9665" s="13"/>
      <c r="K9665" s="13"/>
      <c r="L9665" s="13"/>
      <c r="M9665" s="13"/>
      <c r="N9665" s="13"/>
      <c r="O9665" s="13"/>
      <c r="P9665" s="13"/>
      <c r="Q9665" s="13"/>
      <c r="R9665" s="13"/>
    </row>
    <row r="9666" spans="8:18" x14ac:dyDescent="0.35">
      <c r="H9666" s="13"/>
      <c r="I9666" s="13"/>
      <c r="J9666" s="13"/>
      <c r="K9666" s="13"/>
      <c r="L9666" s="13"/>
      <c r="M9666" s="13"/>
      <c r="N9666" s="13"/>
      <c r="O9666" s="13"/>
      <c r="P9666" s="13"/>
      <c r="Q9666" s="13"/>
      <c r="R9666" s="13"/>
    </row>
    <row r="9667" spans="8:18" x14ac:dyDescent="0.35">
      <c r="H9667" s="13"/>
      <c r="I9667" s="13"/>
      <c r="J9667" s="13"/>
      <c r="K9667" s="13"/>
      <c r="L9667" s="13"/>
      <c r="M9667" s="13"/>
      <c r="N9667" s="13"/>
      <c r="O9667" s="13"/>
      <c r="P9667" s="13"/>
      <c r="Q9667" s="13"/>
      <c r="R9667" s="13"/>
    </row>
    <row r="9668" spans="8:18" x14ac:dyDescent="0.35">
      <c r="H9668" s="13"/>
      <c r="I9668" s="13"/>
      <c r="J9668" s="13"/>
      <c r="K9668" s="13"/>
      <c r="L9668" s="13"/>
      <c r="M9668" s="13"/>
      <c r="N9668" s="13"/>
      <c r="O9668" s="13"/>
      <c r="P9668" s="13"/>
      <c r="Q9668" s="13"/>
      <c r="R9668" s="13"/>
    </row>
    <row r="9669" spans="8:18" x14ac:dyDescent="0.35">
      <c r="H9669" s="13"/>
      <c r="I9669" s="13"/>
      <c r="J9669" s="13"/>
      <c r="K9669" s="13"/>
      <c r="L9669" s="13"/>
      <c r="M9669" s="13"/>
      <c r="N9669" s="13"/>
      <c r="O9669" s="13"/>
      <c r="P9669" s="13"/>
      <c r="Q9669" s="13"/>
      <c r="R9669" s="13"/>
    </row>
    <row r="9670" spans="8:18" x14ac:dyDescent="0.35">
      <c r="H9670" s="13"/>
      <c r="I9670" s="13"/>
      <c r="J9670" s="13"/>
      <c r="K9670" s="13"/>
      <c r="L9670" s="13"/>
      <c r="M9670" s="13"/>
      <c r="N9670" s="13"/>
      <c r="O9670" s="13"/>
      <c r="P9670" s="13"/>
      <c r="Q9670" s="13"/>
      <c r="R9670" s="13"/>
    </row>
    <row r="9671" spans="8:18" x14ac:dyDescent="0.35">
      <c r="H9671" s="13"/>
      <c r="I9671" s="13"/>
      <c r="J9671" s="13"/>
      <c r="K9671" s="13"/>
      <c r="L9671" s="13"/>
      <c r="M9671" s="13"/>
      <c r="N9671" s="13"/>
      <c r="O9671" s="13"/>
      <c r="P9671" s="13"/>
      <c r="Q9671" s="13"/>
      <c r="R9671" s="13"/>
    </row>
    <row r="9672" spans="8:18" x14ac:dyDescent="0.35">
      <c r="H9672" s="13"/>
      <c r="I9672" s="13"/>
      <c r="J9672" s="13"/>
      <c r="K9672" s="13"/>
      <c r="L9672" s="13"/>
      <c r="M9672" s="13"/>
      <c r="N9672" s="13"/>
      <c r="O9672" s="13"/>
      <c r="P9672" s="13"/>
      <c r="Q9672" s="13"/>
      <c r="R9672" s="13"/>
    </row>
    <row r="9673" spans="8:18" x14ac:dyDescent="0.35">
      <c r="H9673" s="13"/>
      <c r="I9673" s="13"/>
      <c r="J9673" s="13"/>
      <c r="K9673" s="13"/>
      <c r="L9673" s="13"/>
      <c r="M9673" s="13"/>
      <c r="N9673" s="13"/>
      <c r="O9673" s="13"/>
      <c r="P9673" s="13"/>
      <c r="Q9673" s="13"/>
      <c r="R9673" s="13"/>
    </row>
    <row r="9674" spans="8:18" x14ac:dyDescent="0.35">
      <c r="H9674" s="13"/>
      <c r="I9674" s="13"/>
      <c r="J9674" s="13"/>
      <c r="K9674" s="13"/>
      <c r="L9674" s="13"/>
      <c r="M9674" s="13"/>
      <c r="N9674" s="13"/>
      <c r="O9674" s="13"/>
      <c r="P9674" s="13"/>
      <c r="Q9674" s="13"/>
      <c r="R9674" s="13"/>
    </row>
    <row r="9675" spans="8:18" x14ac:dyDescent="0.35">
      <c r="H9675" s="13"/>
      <c r="I9675" s="13"/>
      <c r="J9675" s="13"/>
      <c r="K9675" s="13"/>
      <c r="L9675" s="13"/>
      <c r="M9675" s="13"/>
      <c r="N9675" s="13"/>
      <c r="O9675" s="13"/>
      <c r="P9675" s="13"/>
      <c r="Q9675" s="13"/>
      <c r="R9675" s="13"/>
    </row>
    <row r="9676" spans="8:18" x14ac:dyDescent="0.35">
      <c r="H9676" s="13"/>
      <c r="I9676" s="13"/>
      <c r="J9676" s="13"/>
      <c r="K9676" s="13"/>
      <c r="L9676" s="13"/>
      <c r="M9676" s="13"/>
      <c r="N9676" s="13"/>
      <c r="O9676" s="13"/>
      <c r="P9676" s="13"/>
      <c r="Q9676" s="13"/>
      <c r="R9676" s="13"/>
    </row>
    <row r="9677" spans="8:18" x14ac:dyDescent="0.35">
      <c r="H9677" s="13"/>
      <c r="I9677" s="13"/>
      <c r="J9677" s="13"/>
      <c r="K9677" s="13"/>
      <c r="L9677" s="13"/>
      <c r="M9677" s="13"/>
      <c r="N9677" s="13"/>
      <c r="O9677" s="13"/>
      <c r="P9677" s="13"/>
      <c r="Q9677" s="13"/>
      <c r="R9677" s="13"/>
    </row>
    <row r="9678" spans="8:18" x14ac:dyDescent="0.35">
      <c r="H9678" s="13"/>
      <c r="I9678" s="13"/>
      <c r="J9678" s="13"/>
      <c r="K9678" s="13"/>
      <c r="L9678" s="13"/>
      <c r="M9678" s="13"/>
      <c r="N9678" s="13"/>
      <c r="O9678" s="13"/>
      <c r="P9678" s="13"/>
      <c r="Q9678" s="13"/>
      <c r="R9678" s="13"/>
    </row>
    <row r="9679" spans="8:18" x14ac:dyDescent="0.35">
      <c r="H9679" s="13"/>
      <c r="I9679" s="13"/>
      <c r="J9679" s="13"/>
      <c r="K9679" s="13"/>
      <c r="L9679" s="13"/>
      <c r="M9679" s="13"/>
      <c r="N9679" s="13"/>
      <c r="O9679" s="13"/>
      <c r="P9679" s="13"/>
      <c r="Q9679" s="13"/>
      <c r="R9679" s="13"/>
    </row>
    <row r="9680" spans="8:18" x14ac:dyDescent="0.35">
      <c r="H9680" s="13"/>
      <c r="I9680" s="13"/>
      <c r="J9680" s="13"/>
      <c r="K9680" s="13"/>
      <c r="L9680" s="13"/>
      <c r="M9680" s="13"/>
      <c r="N9680" s="13"/>
      <c r="O9680" s="13"/>
      <c r="P9680" s="13"/>
      <c r="Q9680" s="13"/>
      <c r="R9680" s="13"/>
    </row>
    <row r="9681" spans="8:18" x14ac:dyDescent="0.35">
      <c r="H9681" s="13"/>
      <c r="I9681" s="13"/>
      <c r="J9681" s="13"/>
      <c r="K9681" s="13"/>
      <c r="L9681" s="13"/>
      <c r="M9681" s="13"/>
      <c r="N9681" s="13"/>
      <c r="O9681" s="13"/>
      <c r="P9681" s="13"/>
      <c r="Q9681" s="13"/>
      <c r="R9681" s="13"/>
    </row>
    <row r="9682" spans="8:18" x14ac:dyDescent="0.35">
      <c r="H9682" s="13"/>
      <c r="I9682" s="13"/>
      <c r="J9682" s="13"/>
      <c r="K9682" s="13"/>
      <c r="L9682" s="13"/>
      <c r="M9682" s="13"/>
      <c r="N9682" s="13"/>
      <c r="O9682" s="13"/>
      <c r="P9682" s="13"/>
      <c r="Q9682" s="13"/>
      <c r="R9682" s="13"/>
    </row>
    <row r="9683" spans="8:18" x14ac:dyDescent="0.35">
      <c r="H9683" s="13"/>
      <c r="I9683" s="13"/>
      <c r="J9683" s="13"/>
      <c r="K9683" s="13"/>
      <c r="L9683" s="13"/>
      <c r="M9683" s="13"/>
      <c r="N9683" s="13"/>
      <c r="O9683" s="13"/>
      <c r="P9683" s="13"/>
      <c r="Q9683" s="13"/>
      <c r="R9683" s="13"/>
    </row>
    <row r="9684" spans="8:18" x14ac:dyDescent="0.35">
      <c r="H9684" s="13"/>
      <c r="I9684" s="13"/>
      <c r="J9684" s="13"/>
      <c r="K9684" s="13"/>
      <c r="L9684" s="13"/>
      <c r="M9684" s="13"/>
      <c r="N9684" s="13"/>
      <c r="O9684" s="13"/>
      <c r="P9684" s="13"/>
      <c r="Q9684" s="13"/>
      <c r="R9684" s="13"/>
    </row>
    <row r="9685" spans="8:18" x14ac:dyDescent="0.35">
      <c r="H9685" s="13"/>
      <c r="I9685" s="13"/>
      <c r="J9685" s="13"/>
      <c r="K9685" s="13"/>
      <c r="L9685" s="13"/>
      <c r="M9685" s="13"/>
      <c r="N9685" s="13"/>
      <c r="O9685" s="13"/>
      <c r="P9685" s="13"/>
      <c r="Q9685" s="13"/>
      <c r="R9685" s="13"/>
    </row>
    <row r="9686" spans="8:18" x14ac:dyDescent="0.35">
      <c r="H9686" s="13"/>
      <c r="I9686" s="13"/>
      <c r="J9686" s="13"/>
      <c r="K9686" s="13"/>
      <c r="L9686" s="13"/>
      <c r="M9686" s="13"/>
      <c r="N9686" s="13"/>
      <c r="O9686" s="13"/>
      <c r="P9686" s="13"/>
      <c r="Q9686" s="13"/>
      <c r="R9686" s="13"/>
    </row>
    <row r="9687" spans="8:18" x14ac:dyDescent="0.35">
      <c r="H9687" s="13"/>
      <c r="I9687" s="13"/>
      <c r="J9687" s="13"/>
      <c r="K9687" s="13"/>
      <c r="L9687" s="13"/>
      <c r="M9687" s="13"/>
      <c r="N9687" s="13"/>
      <c r="O9687" s="13"/>
      <c r="P9687" s="13"/>
      <c r="Q9687" s="13"/>
      <c r="R9687" s="13"/>
    </row>
    <row r="9688" spans="8:18" x14ac:dyDescent="0.35">
      <c r="H9688" s="13"/>
      <c r="I9688" s="13"/>
      <c r="J9688" s="13"/>
      <c r="K9688" s="13"/>
      <c r="L9688" s="13"/>
      <c r="M9688" s="13"/>
      <c r="N9688" s="13"/>
      <c r="O9688" s="13"/>
      <c r="P9688" s="13"/>
      <c r="Q9688" s="13"/>
      <c r="R9688" s="13"/>
    </row>
    <row r="9689" spans="8:18" x14ac:dyDescent="0.35">
      <c r="H9689" s="13"/>
      <c r="I9689" s="13"/>
      <c r="J9689" s="13"/>
      <c r="K9689" s="13"/>
      <c r="L9689" s="13"/>
      <c r="M9689" s="13"/>
      <c r="N9689" s="13"/>
      <c r="O9689" s="13"/>
      <c r="P9689" s="13"/>
      <c r="Q9689" s="13"/>
      <c r="R9689" s="13"/>
    </row>
    <row r="9690" spans="8:18" x14ac:dyDescent="0.35">
      <c r="H9690" s="13"/>
      <c r="I9690" s="13"/>
      <c r="J9690" s="13"/>
      <c r="K9690" s="13"/>
      <c r="L9690" s="13"/>
      <c r="M9690" s="13"/>
      <c r="N9690" s="13"/>
      <c r="O9690" s="13"/>
      <c r="P9690" s="13"/>
      <c r="Q9690" s="13"/>
      <c r="R9690" s="13"/>
    </row>
    <row r="9691" spans="8:18" x14ac:dyDescent="0.35">
      <c r="H9691" s="13"/>
      <c r="I9691" s="13"/>
      <c r="J9691" s="13"/>
      <c r="K9691" s="13"/>
      <c r="L9691" s="13"/>
      <c r="M9691" s="13"/>
      <c r="N9691" s="13"/>
      <c r="O9691" s="13"/>
      <c r="P9691" s="13"/>
      <c r="Q9691" s="13"/>
      <c r="R9691" s="13"/>
    </row>
    <row r="9692" spans="8:18" x14ac:dyDescent="0.35">
      <c r="H9692" s="13"/>
      <c r="I9692" s="13"/>
      <c r="J9692" s="13"/>
      <c r="K9692" s="13"/>
      <c r="L9692" s="13"/>
      <c r="M9692" s="13"/>
      <c r="N9692" s="13"/>
      <c r="O9692" s="13"/>
      <c r="P9692" s="13"/>
      <c r="Q9692" s="13"/>
      <c r="R9692" s="13"/>
    </row>
    <row r="9693" spans="8:18" x14ac:dyDescent="0.35">
      <c r="H9693" s="13"/>
      <c r="I9693" s="13"/>
      <c r="J9693" s="13"/>
      <c r="K9693" s="13"/>
      <c r="L9693" s="13"/>
      <c r="M9693" s="13"/>
      <c r="N9693" s="13"/>
      <c r="O9693" s="13"/>
      <c r="P9693" s="13"/>
      <c r="Q9693" s="13"/>
      <c r="R9693" s="13"/>
    </row>
    <row r="9694" spans="8:18" x14ac:dyDescent="0.35">
      <c r="H9694" s="13"/>
      <c r="I9694" s="13"/>
      <c r="J9694" s="13"/>
      <c r="K9694" s="13"/>
      <c r="L9694" s="13"/>
      <c r="M9694" s="13"/>
      <c r="N9694" s="13"/>
      <c r="O9694" s="13"/>
      <c r="P9694" s="13"/>
      <c r="Q9694" s="13"/>
      <c r="R9694" s="13"/>
    </row>
    <row r="9695" spans="8:18" x14ac:dyDescent="0.35">
      <c r="H9695" s="13"/>
      <c r="I9695" s="13"/>
      <c r="J9695" s="13"/>
      <c r="K9695" s="13"/>
      <c r="L9695" s="13"/>
      <c r="M9695" s="13"/>
      <c r="N9695" s="13"/>
      <c r="O9695" s="13"/>
      <c r="P9695" s="13"/>
      <c r="Q9695" s="13"/>
      <c r="R9695" s="13"/>
    </row>
    <row r="9696" spans="8:18" x14ac:dyDescent="0.35">
      <c r="H9696" s="13"/>
      <c r="I9696" s="13"/>
      <c r="J9696" s="13"/>
      <c r="K9696" s="13"/>
      <c r="L9696" s="13"/>
      <c r="M9696" s="13"/>
      <c r="N9696" s="13"/>
      <c r="O9696" s="13"/>
      <c r="P9696" s="13"/>
      <c r="Q9696" s="13"/>
      <c r="R9696" s="13"/>
    </row>
    <row r="9697" spans="8:18" x14ac:dyDescent="0.35">
      <c r="H9697" s="13"/>
      <c r="I9697" s="13"/>
      <c r="J9697" s="13"/>
      <c r="K9697" s="13"/>
      <c r="L9697" s="13"/>
      <c r="M9697" s="13"/>
      <c r="N9697" s="13"/>
      <c r="O9697" s="13"/>
      <c r="P9697" s="13"/>
      <c r="Q9697" s="13"/>
      <c r="R9697" s="13"/>
    </row>
    <row r="9698" spans="8:18" x14ac:dyDescent="0.35">
      <c r="H9698" s="13"/>
      <c r="I9698" s="13"/>
      <c r="J9698" s="13"/>
      <c r="K9698" s="13"/>
      <c r="L9698" s="13"/>
      <c r="M9698" s="13"/>
      <c r="N9698" s="13"/>
      <c r="O9698" s="13"/>
      <c r="P9698" s="13"/>
      <c r="Q9698" s="13"/>
      <c r="R9698" s="13"/>
    </row>
    <row r="9699" spans="8:18" x14ac:dyDescent="0.35">
      <c r="H9699" s="13"/>
      <c r="I9699" s="13"/>
      <c r="J9699" s="13"/>
      <c r="K9699" s="13"/>
      <c r="L9699" s="13"/>
      <c r="M9699" s="13"/>
      <c r="N9699" s="13"/>
      <c r="O9699" s="13"/>
      <c r="P9699" s="13"/>
      <c r="Q9699" s="13"/>
      <c r="R9699" s="13"/>
    </row>
    <row r="9700" spans="8:18" x14ac:dyDescent="0.35">
      <c r="H9700" s="13"/>
      <c r="I9700" s="13"/>
      <c r="J9700" s="13"/>
      <c r="K9700" s="13"/>
      <c r="L9700" s="13"/>
      <c r="M9700" s="13"/>
      <c r="N9700" s="13"/>
      <c r="O9700" s="13"/>
      <c r="P9700" s="13"/>
      <c r="Q9700" s="13"/>
      <c r="R9700" s="13"/>
    </row>
    <row r="9701" spans="8:18" x14ac:dyDescent="0.35">
      <c r="H9701" s="13"/>
      <c r="I9701" s="13"/>
      <c r="J9701" s="13"/>
      <c r="K9701" s="13"/>
      <c r="L9701" s="13"/>
      <c r="M9701" s="13"/>
      <c r="N9701" s="13"/>
      <c r="O9701" s="13"/>
      <c r="P9701" s="13"/>
      <c r="Q9701" s="13"/>
      <c r="R9701" s="13"/>
    </row>
    <row r="9702" spans="8:18" x14ac:dyDescent="0.35">
      <c r="H9702" s="13"/>
      <c r="I9702" s="13"/>
      <c r="J9702" s="13"/>
      <c r="K9702" s="13"/>
      <c r="L9702" s="13"/>
      <c r="M9702" s="13"/>
      <c r="N9702" s="13"/>
      <c r="O9702" s="13"/>
      <c r="P9702" s="13"/>
      <c r="Q9702" s="13"/>
      <c r="R9702" s="13"/>
    </row>
    <row r="9703" spans="8:18" x14ac:dyDescent="0.35">
      <c r="H9703" s="13"/>
      <c r="I9703" s="13"/>
      <c r="J9703" s="13"/>
      <c r="K9703" s="13"/>
      <c r="L9703" s="13"/>
      <c r="M9703" s="13"/>
      <c r="N9703" s="13"/>
      <c r="O9703" s="13"/>
      <c r="P9703" s="13"/>
      <c r="Q9703" s="13"/>
      <c r="R9703" s="13"/>
    </row>
    <row r="9704" spans="8:18" x14ac:dyDescent="0.35">
      <c r="H9704" s="13"/>
      <c r="I9704" s="13"/>
      <c r="J9704" s="13"/>
      <c r="K9704" s="13"/>
      <c r="L9704" s="13"/>
      <c r="M9704" s="13"/>
      <c r="N9704" s="13"/>
      <c r="O9704" s="13"/>
      <c r="P9704" s="13"/>
      <c r="Q9704" s="13"/>
      <c r="R9704" s="13"/>
    </row>
    <row r="9705" spans="8:18" x14ac:dyDescent="0.35">
      <c r="H9705" s="13"/>
      <c r="I9705" s="13"/>
      <c r="J9705" s="13"/>
      <c r="K9705" s="13"/>
      <c r="L9705" s="13"/>
      <c r="M9705" s="13"/>
      <c r="N9705" s="13"/>
      <c r="O9705" s="13"/>
      <c r="P9705" s="13"/>
      <c r="Q9705" s="13"/>
      <c r="R9705" s="13"/>
    </row>
    <row r="9706" spans="8:18" x14ac:dyDescent="0.35">
      <c r="H9706" s="13"/>
      <c r="I9706" s="13"/>
      <c r="J9706" s="13"/>
      <c r="K9706" s="13"/>
      <c r="L9706" s="13"/>
      <c r="M9706" s="13"/>
      <c r="N9706" s="13"/>
      <c r="O9706" s="13"/>
      <c r="P9706" s="13"/>
      <c r="Q9706" s="13"/>
      <c r="R9706" s="13"/>
    </row>
    <row r="9707" spans="8:18" x14ac:dyDescent="0.35">
      <c r="H9707" s="13"/>
      <c r="I9707" s="13"/>
      <c r="J9707" s="13"/>
      <c r="K9707" s="13"/>
      <c r="L9707" s="13"/>
      <c r="M9707" s="13"/>
      <c r="N9707" s="13"/>
      <c r="O9707" s="13"/>
      <c r="P9707" s="13"/>
      <c r="Q9707" s="13"/>
      <c r="R9707" s="13"/>
    </row>
    <row r="9708" spans="8:18" x14ac:dyDescent="0.35">
      <c r="H9708" s="13"/>
      <c r="I9708" s="13"/>
      <c r="J9708" s="13"/>
      <c r="K9708" s="13"/>
      <c r="L9708" s="13"/>
      <c r="M9708" s="13"/>
      <c r="N9708" s="13"/>
      <c r="O9708" s="13"/>
      <c r="P9708" s="13"/>
      <c r="Q9708" s="13"/>
      <c r="R9708" s="13"/>
    </row>
    <row r="9709" spans="8:18" x14ac:dyDescent="0.35">
      <c r="H9709" s="13"/>
      <c r="I9709" s="13"/>
      <c r="J9709" s="13"/>
      <c r="K9709" s="13"/>
      <c r="L9709" s="13"/>
      <c r="M9709" s="13"/>
      <c r="N9709" s="13"/>
      <c r="O9709" s="13"/>
      <c r="P9709" s="13"/>
      <c r="Q9709" s="13"/>
      <c r="R9709" s="13"/>
    </row>
    <row r="9710" spans="8:18" x14ac:dyDescent="0.35">
      <c r="H9710" s="13"/>
      <c r="I9710" s="13"/>
      <c r="J9710" s="13"/>
      <c r="K9710" s="13"/>
      <c r="L9710" s="13"/>
      <c r="M9710" s="13"/>
      <c r="N9710" s="13"/>
      <c r="O9710" s="13"/>
      <c r="P9710" s="13"/>
      <c r="Q9710" s="13"/>
      <c r="R9710" s="13"/>
    </row>
    <row r="9711" spans="8:18" x14ac:dyDescent="0.35">
      <c r="H9711" s="13"/>
      <c r="I9711" s="13"/>
      <c r="J9711" s="13"/>
      <c r="K9711" s="13"/>
      <c r="L9711" s="13"/>
      <c r="M9711" s="13"/>
      <c r="N9711" s="13"/>
      <c r="O9711" s="13"/>
      <c r="P9711" s="13"/>
      <c r="Q9711" s="13"/>
      <c r="R9711" s="13"/>
    </row>
    <row r="9712" spans="8:18" x14ac:dyDescent="0.35">
      <c r="H9712" s="13"/>
      <c r="I9712" s="13"/>
      <c r="J9712" s="13"/>
      <c r="K9712" s="13"/>
      <c r="L9712" s="13"/>
      <c r="M9712" s="13"/>
      <c r="N9712" s="13"/>
      <c r="O9712" s="13"/>
      <c r="P9712" s="13"/>
      <c r="Q9712" s="13"/>
      <c r="R9712" s="13"/>
    </row>
    <row r="9713" spans="8:18" x14ac:dyDescent="0.35">
      <c r="H9713" s="13"/>
      <c r="I9713" s="13"/>
      <c r="J9713" s="13"/>
      <c r="K9713" s="13"/>
      <c r="L9713" s="13"/>
      <c r="M9713" s="13"/>
      <c r="N9713" s="13"/>
      <c r="O9713" s="13"/>
      <c r="P9713" s="13"/>
      <c r="Q9713" s="13"/>
      <c r="R9713" s="13"/>
    </row>
    <row r="9714" spans="8:18" x14ac:dyDescent="0.35">
      <c r="H9714" s="13"/>
      <c r="I9714" s="13"/>
      <c r="J9714" s="13"/>
      <c r="K9714" s="13"/>
      <c r="L9714" s="13"/>
      <c r="M9714" s="13"/>
      <c r="N9714" s="13"/>
      <c r="O9714" s="13"/>
      <c r="P9714" s="13"/>
      <c r="Q9714" s="13"/>
      <c r="R9714" s="13"/>
    </row>
    <row r="9715" spans="8:18" x14ac:dyDescent="0.35">
      <c r="H9715" s="13"/>
      <c r="I9715" s="13"/>
      <c r="J9715" s="13"/>
      <c r="K9715" s="13"/>
      <c r="L9715" s="13"/>
      <c r="M9715" s="13"/>
      <c r="N9715" s="13"/>
      <c r="O9715" s="13"/>
      <c r="P9715" s="13"/>
      <c r="Q9715" s="13"/>
      <c r="R9715" s="13"/>
    </row>
    <row r="9716" spans="8:18" x14ac:dyDescent="0.35">
      <c r="H9716" s="13"/>
      <c r="I9716" s="13"/>
      <c r="J9716" s="13"/>
      <c r="K9716" s="13"/>
      <c r="L9716" s="13"/>
      <c r="M9716" s="13"/>
      <c r="N9716" s="13"/>
      <c r="O9716" s="13"/>
      <c r="P9716" s="13"/>
      <c r="Q9716" s="13"/>
      <c r="R9716" s="13"/>
    </row>
    <row r="9717" spans="8:18" x14ac:dyDescent="0.35">
      <c r="H9717" s="13"/>
      <c r="I9717" s="13"/>
      <c r="J9717" s="13"/>
      <c r="K9717" s="13"/>
      <c r="L9717" s="13"/>
      <c r="M9717" s="13"/>
      <c r="N9717" s="13"/>
      <c r="O9717" s="13"/>
      <c r="P9717" s="13"/>
      <c r="Q9717" s="13"/>
      <c r="R9717" s="13"/>
    </row>
    <row r="9718" spans="8:18" x14ac:dyDescent="0.35">
      <c r="H9718" s="13"/>
      <c r="I9718" s="13"/>
      <c r="J9718" s="13"/>
      <c r="K9718" s="13"/>
      <c r="L9718" s="13"/>
      <c r="M9718" s="13"/>
      <c r="N9718" s="13"/>
      <c r="O9718" s="13"/>
      <c r="P9718" s="13"/>
      <c r="Q9718" s="13"/>
      <c r="R9718" s="13"/>
    </row>
    <row r="9719" spans="8:18" x14ac:dyDescent="0.35">
      <c r="H9719" s="13"/>
      <c r="I9719" s="13"/>
      <c r="J9719" s="13"/>
      <c r="K9719" s="13"/>
      <c r="L9719" s="13"/>
      <c r="M9719" s="13"/>
      <c r="N9719" s="13"/>
      <c r="O9719" s="13"/>
      <c r="P9719" s="13"/>
      <c r="Q9719" s="13"/>
      <c r="R9719" s="13"/>
    </row>
    <row r="9720" spans="8:18" x14ac:dyDescent="0.35">
      <c r="H9720" s="13"/>
      <c r="I9720" s="13"/>
      <c r="J9720" s="13"/>
      <c r="K9720" s="13"/>
      <c r="L9720" s="13"/>
      <c r="M9720" s="13"/>
      <c r="N9720" s="13"/>
      <c r="O9720" s="13"/>
      <c r="P9720" s="13"/>
      <c r="Q9720" s="13"/>
      <c r="R9720" s="13"/>
    </row>
    <row r="9721" spans="8:18" x14ac:dyDescent="0.35">
      <c r="H9721" s="13"/>
      <c r="I9721" s="13"/>
      <c r="J9721" s="13"/>
      <c r="K9721" s="13"/>
      <c r="L9721" s="13"/>
      <c r="M9721" s="13"/>
      <c r="N9721" s="13"/>
      <c r="O9721" s="13"/>
      <c r="P9721" s="13"/>
      <c r="Q9721" s="13"/>
      <c r="R9721" s="13"/>
    </row>
    <row r="9722" spans="8:18" x14ac:dyDescent="0.35">
      <c r="H9722" s="13"/>
      <c r="I9722" s="13"/>
      <c r="J9722" s="13"/>
      <c r="K9722" s="13"/>
      <c r="L9722" s="13"/>
      <c r="M9722" s="13"/>
      <c r="N9722" s="13"/>
      <c r="O9722" s="13"/>
      <c r="P9722" s="13"/>
      <c r="Q9722" s="13"/>
      <c r="R9722" s="13"/>
    </row>
    <row r="9723" spans="8:18" x14ac:dyDescent="0.35">
      <c r="H9723" s="13"/>
      <c r="I9723" s="13"/>
      <c r="J9723" s="13"/>
      <c r="K9723" s="13"/>
      <c r="L9723" s="13"/>
      <c r="M9723" s="13"/>
      <c r="N9723" s="13"/>
      <c r="O9723" s="13"/>
      <c r="P9723" s="13"/>
      <c r="Q9723" s="13"/>
      <c r="R9723" s="13"/>
    </row>
    <row r="9724" spans="8:18" x14ac:dyDescent="0.35">
      <c r="H9724" s="13"/>
      <c r="I9724" s="13"/>
      <c r="J9724" s="13"/>
      <c r="K9724" s="13"/>
      <c r="L9724" s="13"/>
      <c r="M9724" s="13"/>
      <c r="N9724" s="13"/>
      <c r="O9724" s="13"/>
      <c r="P9724" s="13"/>
      <c r="Q9724" s="13"/>
      <c r="R9724" s="13"/>
    </row>
    <row r="9725" spans="8:18" x14ac:dyDescent="0.35">
      <c r="H9725" s="13"/>
      <c r="I9725" s="13"/>
      <c r="J9725" s="13"/>
      <c r="K9725" s="13"/>
      <c r="L9725" s="13"/>
      <c r="M9725" s="13"/>
      <c r="N9725" s="13"/>
      <c r="O9725" s="13"/>
      <c r="P9725" s="13"/>
      <c r="Q9725" s="13"/>
      <c r="R9725" s="13"/>
    </row>
    <row r="9726" spans="8:18" x14ac:dyDescent="0.35">
      <c r="H9726" s="13"/>
      <c r="I9726" s="13"/>
      <c r="J9726" s="13"/>
      <c r="K9726" s="13"/>
      <c r="L9726" s="13"/>
      <c r="M9726" s="13"/>
      <c r="N9726" s="13"/>
      <c r="O9726" s="13"/>
      <c r="P9726" s="13"/>
      <c r="Q9726" s="13"/>
      <c r="R9726" s="13"/>
    </row>
    <row r="9727" spans="8:18" x14ac:dyDescent="0.35">
      <c r="H9727" s="13"/>
      <c r="I9727" s="13"/>
      <c r="J9727" s="13"/>
      <c r="K9727" s="13"/>
      <c r="L9727" s="13"/>
      <c r="M9727" s="13"/>
      <c r="N9727" s="13"/>
      <c r="O9727" s="13"/>
      <c r="P9727" s="13"/>
      <c r="Q9727" s="13"/>
      <c r="R9727" s="13"/>
    </row>
    <row r="9728" spans="8:18" x14ac:dyDescent="0.35">
      <c r="H9728" s="13"/>
      <c r="I9728" s="13"/>
      <c r="J9728" s="13"/>
      <c r="K9728" s="13"/>
      <c r="L9728" s="13"/>
      <c r="M9728" s="13"/>
      <c r="N9728" s="13"/>
      <c r="O9728" s="13"/>
      <c r="P9728" s="13"/>
      <c r="Q9728" s="13"/>
      <c r="R9728" s="13"/>
    </row>
    <row r="9729" spans="8:18" x14ac:dyDescent="0.35">
      <c r="H9729" s="13"/>
      <c r="I9729" s="13"/>
      <c r="J9729" s="13"/>
      <c r="K9729" s="13"/>
      <c r="L9729" s="13"/>
      <c r="M9729" s="13"/>
      <c r="N9729" s="13"/>
      <c r="O9729" s="13"/>
      <c r="P9729" s="13"/>
      <c r="Q9729" s="13"/>
      <c r="R9729" s="13"/>
    </row>
    <row r="9730" spans="8:18" x14ac:dyDescent="0.35">
      <c r="H9730" s="13"/>
      <c r="I9730" s="13"/>
      <c r="J9730" s="13"/>
      <c r="K9730" s="13"/>
      <c r="L9730" s="13"/>
      <c r="M9730" s="13"/>
      <c r="N9730" s="13"/>
      <c r="O9730" s="13"/>
      <c r="P9730" s="13"/>
      <c r="Q9730" s="13"/>
      <c r="R9730" s="13"/>
    </row>
    <row r="9731" spans="8:18" x14ac:dyDescent="0.35">
      <c r="H9731" s="13"/>
      <c r="I9731" s="13"/>
      <c r="J9731" s="13"/>
      <c r="K9731" s="13"/>
      <c r="L9731" s="13"/>
      <c r="M9731" s="13"/>
      <c r="N9731" s="13"/>
      <c r="O9731" s="13"/>
      <c r="P9731" s="13"/>
      <c r="Q9731" s="13"/>
      <c r="R9731" s="13"/>
    </row>
    <row r="9732" spans="8:18" x14ac:dyDescent="0.35">
      <c r="H9732" s="13"/>
      <c r="I9732" s="13"/>
      <c r="J9732" s="13"/>
      <c r="K9732" s="13"/>
      <c r="L9732" s="13"/>
      <c r="M9732" s="13"/>
      <c r="N9732" s="13"/>
      <c r="O9732" s="13"/>
      <c r="P9732" s="13"/>
      <c r="Q9732" s="13"/>
      <c r="R9732" s="13"/>
    </row>
    <row r="9733" spans="8:18" x14ac:dyDescent="0.35">
      <c r="H9733" s="13"/>
      <c r="I9733" s="13"/>
      <c r="J9733" s="13"/>
      <c r="K9733" s="13"/>
      <c r="L9733" s="13"/>
      <c r="M9733" s="13"/>
      <c r="N9733" s="13"/>
      <c r="O9733" s="13"/>
      <c r="P9733" s="13"/>
      <c r="Q9733" s="13"/>
      <c r="R9733" s="13"/>
    </row>
    <row r="9734" spans="8:18" x14ac:dyDescent="0.35">
      <c r="H9734" s="13"/>
      <c r="I9734" s="13"/>
      <c r="J9734" s="13"/>
      <c r="K9734" s="13"/>
      <c r="L9734" s="13"/>
      <c r="M9734" s="13"/>
      <c r="N9734" s="13"/>
      <c r="O9734" s="13"/>
      <c r="P9734" s="13"/>
      <c r="Q9734" s="13"/>
      <c r="R9734" s="13"/>
    </row>
    <row r="9735" spans="8:18" x14ac:dyDescent="0.35">
      <c r="H9735" s="13"/>
      <c r="I9735" s="13"/>
      <c r="J9735" s="13"/>
      <c r="K9735" s="13"/>
      <c r="L9735" s="13"/>
      <c r="M9735" s="13"/>
      <c r="N9735" s="13"/>
      <c r="O9735" s="13"/>
      <c r="P9735" s="13"/>
      <c r="Q9735" s="13"/>
      <c r="R9735" s="13"/>
    </row>
    <row r="9736" spans="8:18" x14ac:dyDescent="0.35">
      <c r="H9736" s="13"/>
      <c r="I9736" s="13"/>
      <c r="J9736" s="13"/>
      <c r="K9736" s="13"/>
      <c r="L9736" s="13"/>
      <c r="M9736" s="13"/>
      <c r="N9736" s="13"/>
      <c r="O9736" s="13"/>
      <c r="P9736" s="13"/>
      <c r="Q9736" s="13"/>
      <c r="R9736" s="13"/>
    </row>
    <row r="9737" spans="8:18" x14ac:dyDescent="0.35">
      <c r="H9737" s="13"/>
      <c r="I9737" s="13"/>
      <c r="J9737" s="13"/>
      <c r="K9737" s="13"/>
      <c r="L9737" s="13"/>
      <c r="M9737" s="13"/>
      <c r="N9737" s="13"/>
      <c r="O9737" s="13"/>
      <c r="P9737" s="13"/>
      <c r="Q9737" s="13"/>
      <c r="R9737" s="13"/>
    </row>
    <row r="9738" spans="8:18" x14ac:dyDescent="0.35">
      <c r="H9738" s="13"/>
      <c r="I9738" s="13"/>
      <c r="J9738" s="13"/>
      <c r="K9738" s="13"/>
      <c r="L9738" s="13"/>
      <c r="M9738" s="13"/>
      <c r="N9738" s="13"/>
      <c r="O9738" s="13"/>
      <c r="P9738" s="13"/>
      <c r="Q9738" s="13"/>
      <c r="R9738" s="13"/>
    </row>
    <row r="9739" spans="8:18" x14ac:dyDescent="0.35">
      <c r="H9739" s="13"/>
      <c r="I9739" s="13"/>
      <c r="J9739" s="13"/>
      <c r="K9739" s="13"/>
      <c r="L9739" s="13"/>
      <c r="M9739" s="13"/>
      <c r="N9739" s="13"/>
      <c r="O9739" s="13"/>
      <c r="P9739" s="13"/>
      <c r="Q9739" s="13"/>
      <c r="R9739" s="13"/>
    </row>
    <row r="9740" spans="8:18" x14ac:dyDescent="0.35">
      <c r="H9740" s="13"/>
      <c r="I9740" s="13"/>
      <c r="J9740" s="13"/>
      <c r="K9740" s="13"/>
      <c r="L9740" s="13"/>
      <c r="M9740" s="13"/>
      <c r="N9740" s="13"/>
      <c r="O9740" s="13"/>
      <c r="P9740" s="13"/>
      <c r="Q9740" s="13"/>
      <c r="R9740" s="13"/>
    </row>
    <row r="9741" spans="8:18" x14ac:dyDescent="0.35">
      <c r="H9741" s="13"/>
      <c r="I9741" s="13"/>
      <c r="J9741" s="13"/>
      <c r="K9741" s="13"/>
      <c r="L9741" s="13"/>
      <c r="M9741" s="13"/>
      <c r="N9741" s="13"/>
      <c r="O9741" s="13"/>
      <c r="P9741" s="13"/>
      <c r="Q9741" s="13"/>
      <c r="R9741" s="13"/>
    </row>
    <row r="9742" spans="8:18" x14ac:dyDescent="0.35">
      <c r="H9742" s="13"/>
      <c r="I9742" s="13"/>
      <c r="J9742" s="13"/>
      <c r="K9742" s="13"/>
      <c r="L9742" s="13"/>
      <c r="M9742" s="13"/>
      <c r="N9742" s="13"/>
      <c r="O9742" s="13"/>
      <c r="P9742" s="13"/>
      <c r="Q9742" s="13"/>
      <c r="R9742" s="13"/>
    </row>
    <row r="9743" spans="8:18" x14ac:dyDescent="0.35">
      <c r="H9743" s="13"/>
      <c r="I9743" s="13"/>
      <c r="J9743" s="13"/>
      <c r="K9743" s="13"/>
      <c r="L9743" s="13"/>
      <c r="M9743" s="13"/>
      <c r="N9743" s="13"/>
      <c r="O9743" s="13"/>
      <c r="P9743" s="13"/>
      <c r="Q9743" s="13"/>
      <c r="R9743" s="13"/>
    </row>
    <row r="9744" spans="8:18" x14ac:dyDescent="0.35">
      <c r="H9744" s="13"/>
      <c r="I9744" s="13"/>
      <c r="J9744" s="13"/>
      <c r="K9744" s="13"/>
      <c r="L9744" s="13"/>
      <c r="M9744" s="13"/>
      <c r="N9744" s="13"/>
      <c r="O9744" s="13"/>
      <c r="P9744" s="13"/>
      <c r="Q9744" s="13"/>
      <c r="R9744" s="13"/>
    </row>
    <row r="9745" spans="8:18" x14ac:dyDescent="0.35">
      <c r="H9745" s="13"/>
      <c r="I9745" s="13"/>
      <c r="J9745" s="13"/>
      <c r="K9745" s="13"/>
      <c r="L9745" s="13"/>
      <c r="M9745" s="13"/>
      <c r="N9745" s="13"/>
      <c r="O9745" s="13"/>
      <c r="P9745" s="13"/>
      <c r="Q9745" s="13"/>
      <c r="R9745" s="13"/>
    </row>
    <row r="9746" spans="8:18" x14ac:dyDescent="0.35">
      <c r="H9746" s="13"/>
      <c r="I9746" s="13"/>
      <c r="J9746" s="13"/>
      <c r="K9746" s="13"/>
      <c r="L9746" s="13"/>
      <c r="M9746" s="13"/>
      <c r="N9746" s="13"/>
      <c r="O9746" s="13"/>
      <c r="P9746" s="13"/>
      <c r="Q9746" s="13"/>
      <c r="R9746" s="13"/>
    </row>
    <row r="9747" spans="8:18" x14ac:dyDescent="0.35">
      <c r="H9747" s="13"/>
      <c r="I9747" s="13"/>
      <c r="J9747" s="13"/>
      <c r="K9747" s="13"/>
      <c r="L9747" s="13"/>
      <c r="M9747" s="13"/>
      <c r="N9747" s="13"/>
      <c r="O9747" s="13"/>
      <c r="P9747" s="13"/>
      <c r="Q9747" s="13"/>
      <c r="R9747" s="13"/>
    </row>
    <row r="9748" spans="8:18" x14ac:dyDescent="0.35">
      <c r="H9748" s="13"/>
      <c r="I9748" s="13"/>
      <c r="J9748" s="13"/>
      <c r="K9748" s="13"/>
      <c r="L9748" s="13"/>
      <c r="M9748" s="13"/>
      <c r="N9748" s="13"/>
      <c r="O9748" s="13"/>
      <c r="P9748" s="13"/>
      <c r="Q9748" s="13"/>
      <c r="R9748" s="13"/>
    </row>
    <row r="9749" spans="8:18" x14ac:dyDescent="0.35">
      <c r="H9749" s="13"/>
      <c r="I9749" s="13"/>
      <c r="J9749" s="13"/>
      <c r="K9749" s="13"/>
      <c r="L9749" s="13"/>
      <c r="M9749" s="13"/>
      <c r="N9749" s="13"/>
      <c r="O9749" s="13"/>
      <c r="P9749" s="13"/>
      <c r="Q9749" s="13"/>
      <c r="R9749" s="13"/>
    </row>
    <row r="9750" spans="8:18" x14ac:dyDescent="0.35">
      <c r="H9750" s="13"/>
      <c r="I9750" s="13"/>
      <c r="J9750" s="13"/>
      <c r="K9750" s="13"/>
      <c r="L9750" s="13"/>
      <c r="M9750" s="13"/>
      <c r="N9750" s="13"/>
      <c r="O9750" s="13"/>
      <c r="P9750" s="13"/>
      <c r="Q9750" s="13"/>
      <c r="R9750" s="13"/>
    </row>
    <row r="9751" spans="8:18" x14ac:dyDescent="0.35">
      <c r="H9751" s="13"/>
      <c r="I9751" s="13"/>
      <c r="J9751" s="13"/>
      <c r="K9751" s="13"/>
      <c r="L9751" s="13"/>
      <c r="M9751" s="13"/>
      <c r="N9751" s="13"/>
      <c r="O9751" s="13"/>
      <c r="P9751" s="13"/>
      <c r="Q9751" s="13"/>
      <c r="R9751" s="13"/>
    </row>
    <row r="9752" spans="8:18" x14ac:dyDescent="0.35">
      <c r="H9752" s="13"/>
      <c r="I9752" s="13"/>
      <c r="J9752" s="13"/>
      <c r="K9752" s="13"/>
      <c r="L9752" s="13"/>
      <c r="M9752" s="13"/>
      <c r="N9752" s="13"/>
      <c r="O9752" s="13"/>
      <c r="P9752" s="13"/>
      <c r="Q9752" s="13"/>
      <c r="R9752" s="13"/>
    </row>
    <row r="9753" spans="8:18" x14ac:dyDescent="0.35">
      <c r="H9753" s="13"/>
      <c r="I9753" s="13"/>
      <c r="J9753" s="13"/>
      <c r="K9753" s="13"/>
      <c r="L9753" s="13"/>
      <c r="M9753" s="13"/>
      <c r="N9753" s="13"/>
      <c r="O9753" s="13"/>
      <c r="P9753" s="13"/>
      <c r="Q9753" s="13"/>
      <c r="R9753" s="13"/>
    </row>
    <row r="9754" spans="8:18" x14ac:dyDescent="0.35">
      <c r="H9754" s="13"/>
      <c r="I9754" s="13"/>
      <c r="J9754" s="13"/>
      <c r="K9754" s="13"/>
      <c r="L9754" s="13"/>
      <c r="M9754" s="13"/>
      <c r="N9754" s="13"/>
      <c r="O9754" s="13"/>
      <c r="P9754" s="13"/>
      <c r="Q9754" s="13"/>
      <c r="R9754" s="13"/>
    </row>
    <row r="9755" spans="8:18" x14ac:dyDescent="0.35">
      <c r="H9755" s="13"/>
      <c r="I9755" s="13"/>
      <c r="J9755" s="13"/>
      <c r="K9755" s="13"/>
      <c r="L9755" s="13"/>
      <c r="M9755" s="13"/>
      <c r="N9755" s="13"/>
      <c r="O9755" s="13"/>
      <c r="P9755" s="13"/>
      <c r="Q9755" s="13"/>
      <c r="R9755" s="13"/>
    </row>
    <row r="9756" spans="8:18" x14ac:dyDescent="0.35">
      <c r="H9756" s="13"/>
      <c r="I9756" s="13"/>
      <c r="J9756" s="13"/>
      <c r="K9756" s="13"/>
      <c r="L9756" s="13"/>
      <c r="M9756" s="13"/>
      <c r="N9756" s="13"/>
      <c r="O9756" s="13"/>
      <c r="P9756" s="13"/>
      <c r="Q9756" s="13"/>
      <c r="R9756" s="13"/>
    </row>
    <row r="9757" spans="8:18" x14ac:dyDescent="0.35">
      <c r="H9757" s="13"/>
      <c r="I9757" s="13"/>
      <c r="J9757" s="13"/>
      <c r="K9757" s="13"/>
      <c r="L9757" s="13"/>
      <c r="M9757" s="13"/>
      <c r="N9757" s="13"/>
      <c r="O9757" s="13"/>
      <c r="P9757" s="13"/>
      <c r="Q9757" s="13"/>
      <c r="R9757" s="13"/>
    </row>
    <row r="9758" spans="8:18" x14ac:dyDescent="0.35">
      <c r="H9758" s="13"/>
      <c r="I9758" s="13"/>
      <c r="J9758" s="13"/>
      <c r="K9758" s="13"/>
      <c r="L9758" s="13"/>
      <c r="M9758" s="13"/>
      <c r="N9758" s="13"/>
      <c r="O9758" s="13"/>
      <c r="P9758" s="13"/>
      <c r="Q9758" s="13"/>
      <c r="R9758" s="13"/>
    </row>
    <row r="9759" spans="8:18" x14ac:dyDescent="0.35">
      <c r="H9759" s="13"/>
      <c r="I9759" s="13"/>
      <c r="J9759" s="13"/>
      <c r="K9759" s="13"/>
      <c r="L9759" s="13"/>
      <c r="M9759" s="13"/>
      <c r="N9759" s="13"/>
      <c r="O9759" s="13"/>
      <c r="P9759" s="13"/>
      <c r="Q9759" s="13"/>
      <c r="R9759" s="13"/>
    </row>
    <row r="9760" spans="8:18" x14ac:dyDescent="0.35">
      <c r="H9760" s="13"/>
      <c r="I9760" s="13"/>
      <c r="J9760" s="13"/>
      <c r="K9760" s="13"/>
      <c r="L9760" s="13"/>
      <c r="M9760" s="13"/>
      <c r="N9760" s="13"/>
      <c r="O9760" s="13"/>
      <c r="P9760" s="13"/>
      <c r="Q9760" s="13"/>
      <c r="R9760" s="13"/>
    </row>
    <row r="9761" spans="8:18" x14ac:dyDescent="0.35">
      <c r="H9761" s="13"/>
      <c r="I9761" s="13"/>
      <c r="J9761" s="13"/>
      <c r="K9761" s="13"/>
      <c r="L9761" s="13"/>
      <c r="M9761" s="13"/>
      <c r="N9761" s="13"/>
      <c r="O9761" s="13"/>
      <c r="P9761" s="13"/>
      <c r="Q9761" s="13"/>
      <c r="R9761" s="13"/>
    </row>
    <row r="9762" spans="8:18" x14ac:dyDescent="0.35">
      <c r="H9762" s="13"/>
      <c r="I9762" s="13"/>
      <c r="J9762" s="13"/>
      <c r="K9762" s="13"/>
      <c r="L9762" s="13"/>
      <c r="M9762" s="13"/>
      <c r="N9762" s="13"/>
      <c r="O9762" s="13"/>
      <c r="P9762" s="13"/>
      <c r="Q9762" s="13"/>
      <c r="R9762" s="13"/>
    </row>
    <row r="9763" spans="8:18" x14ac:dyDescent="0.35">
      <c r="H9763" s="13"/>
      <c r="I9763" s="13"/>
      <c r="J9763" s="13"/>
      <c r="K9763" s="13"/>
      <c r="L9763" s="13"/>
      <c r="M9763" s="13"/>
      <c r="N9763" s="13"/>
      <c r="O9763" s="13"/>
      <c r="P9763" s="13"/>
      <c r="Q9763" s="13"/>
      <c r="R9763" s="13"/>
    </row>
    <row r="9764" spans="8:18" x14ac:dyDescent="0.35">
      <c r="H9764" s="13"/>
      <c r="I9764" s="13"/>
      <c r="J9764" s="13"/>
      <c r="K9764" s="13"/>
      <c r="L9764" s="13"/>
      <c r="M9764" s="13"/>
      <c r="N9764" s="13"/>
      <c r="O9764" s="13"/>
      <c r="P9764" s="13"/>
      <c r="Q9764" s="13"/>
      <c r="R9764" s="13"/>
    </row>
    <row r="9765" spans="8:18" x14ac:dyDescent="0.35">
      <c r="H9765" s="13"/>
      <c r="I9765" s="13"/>
      <c r="J9765" s="13"/>
      <c r="K9765" s="13"/>
      <c r="L9765" s="13"/>
      <c r="M9765" s="13"/>
      <c r="N9765" s="13"/>
      <c r="O9765" s="13"/>
      <c r="P9765" s="13"/>
      <c r="Q9765" s="13"/>
      <c r="R9765" s="13"/>
    </row>
    <row r="9766" spans="8:18" x14ac:dyDescent="0.35">
      <c r="H9766" s="13"/>
      <c r="I9766" s="13"/>
      <c r="J9766" s="13"/>
      <c r="K9766" s="13"/>
      <c r="L9766" s="13"/>
      <c r="M9766" s="13"/>
      <c r="N9766" s="13"/>
      <c r="O9766" s="13"/>
      <c r="P9766" s="13"/>
      <c r="Q9766" s="13"/>
      <c r="R9766" s="13"/>
    </row>
    <row r="9767" spans="8:18" x14ac:dyDescent="0.35">
      <c r="H9767" s="13"/>
      <c r="I9767" s="13"/>
      <c r="J9767" s="13"/>
      <c r="K9767" s="13"/>
      <c r="L9767" s="13"/>
      <c r="M9767" s="13"/>
      <c r="N9767" s="13"/>
      <c r="O9767" s="13"/>
      <c r="P9767" s="13"/>
      <c r="Q9767" s="13"/>
      <c r="R9767" s="13"/>
    </row>
    <row r="9768" spans="8:18" x14ac:dyDescent="0.35">
      <c r="H9768" s="13"/>
      <c r="I9768" s="13"/>
      <c r="J9768" s="13"/>
      <c r="K9768" s="13"/>
      <c r="L9768" s="13"/>
      <c r="M9768" s="13"/>
      <c r="N9768" s="13"/>
      <c r="O9768" s="13"/>
      <c r="P9768" s="13"/>
      <c r="Q9768" s="13"/>
      <c r="R9768" s="13"/>
    </row>
    <row r="9769" spans="8:18" x14ac:dyDescent="0.35">
      <c r="H9769" s="13"/>
      <c r="I9769" s="13"/>
      <c r="J9769" s="13"/>
      <c r="K9769" s="13"/>
      <c r="L9769" s="13"/>
      <c r="M9769" s="13"/>
      <c r="N9769" s="13"/>
      <c r="O9769" s="13"/>
      <c r="P9769" s="13"/>
      <c r="Q9769" s="13"/>
      <c r="R9769" s="13"/>
    </row>
    <row r="9770" spans="8:18" x14ac:dyDescent="0.35">
      <c r="H9770" s="13"/>
      <c r="I9770" s="13"/>
      <c r="J9770" s="13"/>
      <c r="K9770" s="13"/>
      <c r="L9770" s="13"/>
      <c r="M9770" s="13"/>
      <c r="N9770" s="13"/>
      <c r="O9770" s="13"/>
      <c r="P9770" s="13"/>
      <c r="Q9770" s="13"/>
      <c r="R9770" s="13"/>
    </row>
    <row r="9771" spans="8:18" x14ac:dyDescent="0.35">
      <c r="H9771" s="13"/>
      <c r="I9771" s="13"/>
      <c r="J9771" s="13"/>
      <c r="K9771" s="13"/>
      <c r="L9771" s="13"/>
      <c r="M9771" s="13"/>
      <c r="N9771" s="13"/>
      <c r="O9771" s="13"/>
      <c r="P9771" s="13"/>
      <c r="Q9771" s="13"/>
      <c r="R9771" s="13"/>
    </row>
    <row r="9772" spans="8:18" x14ac:dyDescent="0.35">
      <c r="H9772" s="13"/>
      <c r="I9772" s="13"/>
      <c r="J9772" s="13"/>
      <c r="K9772" s="13"/>
      <c r="L9772" s="13"/>
      <c r="M9772" s="13"/>
      <c r="N9772" s="13"/>
      <c r="O9772" s="13"/>
      <c r="P9772" s="13"/>
      <c r="Q9772" s="13"/>
      <c r="R9772" s="13"/>
    </row>
    <row r="9773" spans="8:18" x14ac:dyDescent="0.35">
      <c r="H9773" s="13"/>
      <c r="I9773" s="13"/>
      <c r="J9773" s="13"/>
      <c r="K9773" s="13"/>
      <c r="L9773" s="13"/>
      <c r="M9773" s="13"/>
      <c r="N9773" s="13"/>
      <c r="O9773" s="13"/>
      <c r="P9773" s="13"/>
      <c r="Q9773" s="13"/>
      <c r="R9773" s="13"/>
    </row>
    <row r="9774" spans="8:18" x14ac:dyDescent="0.35">
      <c r="H9774" s="13"/>
      <c r="I9774" s="13"/>
      <c r="J9774" s="13"/>
      <c r="K9774" s="13"/>
      <c r="L9774" s="13"/>
      <c r="M9774" s="13"/>
      <c r="N9774" s="13"/>
      <c r="O9774" s="13"/>
      <c r="P9774" s="13"/>
      <c r="Q9774" s="13"/>
      <c r="R9774" s="13"/>
    </row>
    <row r="9775" spans="8:18" x14ac:dyDescent="0.35">
      <c r="H9775" s="13"/>
      <c r="I9775" s="13"/>
      <c r="J9775" s="13"/>
      <c r="K9775" s="13"/>
      <c r="L9775" s="13"/>
      <c r="M9775" s="13"/>
      <c r="N9775" s="13"/>
      <c r="O9775" s="13"/>
      <c r="P9775" s="13"/>
      <c r="Q9775" s="13"/>
      <c r="R9775" s="13"/>
    </row>
    <row r="9776" spans="8:18" x14ac:dyDescent="0.35">
      <c r="H9776" s="13"/>
      <c r="I9776" s="13"/>
      <c r="J9776" s="13"/>
      <c r="K9776" s="13"/>
      <c r="L9776" s="13"/>
      <c r="M9776" s="13"/>
      <c r="N9776" s="13"/>
      <c r="O9776" s="13"/>
      <c r="P9776" s="13"/>
      <c r="Q9776" s="13"/>
      <c r="R9776" s="13"/>
    </row>
    <row r="9777" spans="8:18" x14ac:dyDescent="0.35">
      <c r="H9777" s="13"/>
      <c r="I9777" s="13"/>
      <c r="J9777" s="13"/>
      <c r="K9777" s="13"/>
      <c r="L9777" s="13"/>
      <c r="M9777" s="13"/>
      <c r="N9777" s="13"/>
      <c r="O9777" s="13"/>
      <c r="P9777" s="13"/>
      <c r="Q9777" s="13"/>
      <c r="R9777" s="13"/>
    </row>
    <row r="9778" spans="8:18" x14ac:dyDescent="0.35">
      <c r="H9778" s="13"/>
      <c r="I9778" s="13"/>
      <c r="J9778" s="13"/>
      <c r="K9778" s="13"/>
      <c r="L9778" s="13"/>
      <c r="M9778" s="13"/>
      <c r="N9778" s="13"/>
      <c r="O9778" s="13"/>
      <c r="P9778" s="13"/>
      <c r="Q9778" s="13"/>
      <c r="R9778" s="13"/>
    </row>
    <row r="9779" spans="8:18" x14ac:dyDescent="0.35">
      <c r="H9779" s="13"/>
      <c r="I9779" s="13"/>
      <c r="J9779" s="13"/>
      <c r="K9779" s="13"/>
      <c r="L9779" s="13"/>
      <c r="M9779" s="13"/>
      <c r="N9779" s="13"/>
      <c r="O9779" s="13"/>
      <c r="P9779" s="13"/>
      <c r="Q9779" s="13"/>
      <c r="R9779" s="13"/>
    </row>
    <row r="9780" spans="8:18" x14ac:dyDescent="0.35">
      <c r="H9780" s="13"/>
      <c r="I9780" s="13"/>
      <c r="J9780" s="13"/>
      <c r="K9780" s="13"/>
      <c r="L9780" s="13"/>
      <c r="M9780" s="13"/>
      <c r="N9780" s="13"/>
      <c r="O9780" s="13"/>
      <c r="P9780" s="13"/>
      <c r="Q9780" s="13"/>
      <c r="R9780" s="13"/>
    </row>
    <row r="9781" spans="8:18" x14ac:dyDescent="0.35">
      <c r="H9781" s="13"/>
      <c r="I9781" s="13"/>
      <c r="J9781" s="13"/>
      <c r="K9781" s="13"/>
      <c r="L9781" s="13"/>
      <c r="M9781" s="13"/>
      <c r="N9781" s="13"/>
      <c r="O9781" s="13"/>
      <c r="P9781" s="13"/>
      <c r="Q9781" s="13"/>
      <c r="R9781" s="13"/>
    </row>
    <row r="9782" spans="8:18" x14ac:dyDescent="0.35">
      <c r="H9782" s="13"/>
      <c r="I9782" s="13"/>
      <c r="J9782" s="13"/>
      <c r="K9782" s="13"/>
      <c r="L9782" s="13"/>
      <c r="M9782" s="13"/>
      <c r="N9782" s="13"/>
      <c r="O9782" s="13"/>
      <c r="P9782" s="13"/>
      <c r="Q9782" s="13"/>
      <c r="R9782" s="13"/>
    </row>
    <row r="9783" spans="8:18" x14ac:dyDescent="0.35">
      <c r="H9783" s="13"/>
      <c r="I9783" s="13"/>
      <c r="J9783" s="13"/>
      <c r="K9783" s="13"/>
      <c r="L9783" s="13"/>
      <c r="M9783" s="13"/>
      <c r="N9783" s="13"/>
      <c r="O9783" s="13"/>
      <c r="P9783" s="13"/>
      <c r="Q9783" s="13"/>
      <c r="R9783" s="13"/>
    </row>
    <row r="9784" spans="8:18" x14ac:dyDescent="0.35">
      <c r="H9784" s="13"/>
      <c r="I9784" s="13"/>
      <c r="J9784" s="13"/>
      <c r="K9784" s="13"/>
      <c r="L9784" s="13"/>
      <c r="M9784" s="13"/>
      <c r="N9784" s="13"/>
      <c r="O9784" s="13"/>
      <c r="P9784" s="13"/>
      <c r="Q9784" s="13"/>
      <c r="R9784" s="13"/>
    </row>
    <row r="9785" spans="8:18" x14ac:dyDescent="0.35">
      <c r="H9785" s="13"/>
      <c r="I9785" s="13"/>
      <c r="J9785" s="13"/>
      <c r="K9785" s="13"/>
      <c r="L9785" s="13"/>
      <c r="M9785" s="13"/>
      <c r="N9785" s="13"/>
      <c r="O9785" s="13"/>
      <c r="P9785" s="13"/>
      <c r="Q9785" s="13"/>
      <c r="R9785" s="13"/>
    </row>
    <row r="9786" spans="8:18" x14ac:dyDescent="0.35">
      <c r="H9786" s="13"/>
      <c r="I9786" s="13"/>
      <c r="J9786" s="13"/>
      <c r="K9786" s="13"/>
      <c r="L9786" s="13"/>
      <c r="M9786" s="13"/>
      <c r="N9786" s="13"/>
      <c r="O9786" s="13"/>
      <c r="P9786" s="13"/>
      <c r="Q9786" s="13"/>
      <c r="R9786" s="13"/>
    </row>
    <row r="9787" spans="8:18" x14ac:dyDescent="0.35">
      <c r="H9787" s="13"/>
      <c r="I9787" s="13"/>
      <c r="J9787" s="13"/>
      <c r="K9787" s="13"/>
      <c r="L9787" s="13"/>
      <c r="M9787" s="13"/>
      <c r="N9787" s="13"/>
      <c r="O9787" s="13"/>
      <c r="P9787" s="13"/>
      <c r="Q9787" s="13"/>
      <c r="R9787" s="13"/>
    </row>
    <row r="9788" spans="8:18" x14ac:dyDescent="0.35">
      <c r="H9788" s="13"/>
      <c r="I9788" s="13"/>
      <c r="J9788" s="13"/>
      <c r="K9788" s="13"/>
      <c r="L9788" s="13"/>
      <c r="M9788" s="13"/>
      <c r="N9788" s="13"/>
      <c r="O9788" s="13"/>
      <c r="P9788" s="13"/>
      <c r="Q9788" s="13"/>
      <c r="R9788" s="13"/>
    </row>
    <row r="9789" spans="8:18" x14ac:dyDescent="0.35">
      <c r="H9789" s="13"/>
      <c r="I9789" s="13"/>
      <c r="J9789" s="13"/>
      <c r="K9789" s="13"/>
      <c r="L9789" s="13"/>
      <c r="M9789" s="13"/>
      <c r="N9789" s="13"/>
      <c r="O9789" s="13"/>
      <c r="P9789" s="13"/>
      <c r="Q9789" s="13"/>
      <c r="R9789" s="13"/>
    </row>
    <row r="9790" spans="8:18" x14ac:dyDescent="0.35">
      <c r="H9790" s="13"/>
      <c r="I9790" s="13"/>
      <c r="J9790" s="13"/>
      <c r="K9790" s="13"/>
      <c r="L9790" s="13"/>
      <c r="M9790" s="13"/>
      <c r="N9790" s="13"/>
      <c r="O9790" s="13"/>
      <c r="P9790" s="13"/>
      <c r="Q9790" s="13"/>
      <c r="R9790" s="13"/>
    </row>
    <row r="9791" spans="8:18" x14ac:dyDescent="0.35">
      <c r="H9791" s="13"/>
      <c r="I9791" s="13"/>
      <c r="J9791" s="13"/>
      <c r="K9791" s="13"/>
      <c r="L9791" s="13"/>
      <c r="M9791" s="13"/>
      <c r="N9791" s="13"/>
      <c r="O9791" s="13"/>
      <c r="P9791" s="13"/>
      <c r="Q9791" s="13"/>
      <c r="R9791" s="13"/>
    </row>
    <row r="9792" spans="8:18" x14ac:dyDescent="0.35">
      <c r="H9792" s="13"/>
      <c r="I9792" s="13"/>
      <c r="J9792" s="13"/>
      <c r="K9792" s="13"/>
      <c r="L9792" s="13"/>
      <c r="M9792" s="13"/>
      <c r="N9792" s="13"/>
      <c r="O9792" s="13"/>
      <c r="P9792" s="13"/>
      <c r="Q9792" s="13"/>
      <c r="R9792" s="13"/>
    </row>
    <row r="9793" spans="8:18" x14ac:dyDescent="0.35">
      <c r="H9793" s="13"/>
      <c r="I9793" s="13"/>
      <c r="J9793" s="13"/>
      <c r="K9793" s="13"/>
      <c r="L9793" s="13"/>
      <c r="M9793" s="13"/>
      <c r="N9793" s="13"/>
      <c r="O9793" s="13"/>
      <c r="P9793" s="13"/>
      <c r="Q9793" s="13"/>
      <c r="R9793" s="13"/>
    </row>
    <row r="9794" spans="8:18" x14ac:dyDescent="0.35">
      <c r="H9794" s="13"/>
      <c r="I9794" s="13"/>
      <c r="J9794" s="13"/>
      <c r="K9794" s="13"/>
      <c r="L9794" s="13"/>
      <c r="M9794" s="13"/>
      <c r="N9794" s="13"/>
      <c r="O9794" s="13"/>
      <c r="P9794" s="13"/>
      <c r="Q9794" s="13"/>
      <c r="R9794" s="13"/>
    </row>
    <row r="9795" spans="8:18" x14ac:dyDescent="0.35">
      <c r="H9795" s="13"/>
      <c r="I9795" s="13"/>
      <c r="J9795" s="13"/>
      <c r="K9795" s="13"/>
      <c r="L9795" s="13"/>
      <c r="M9795" s="13"/>
      <c r="N9795" s="13"/>
      <c r="O9795" s="13"/>
      <c r="P9795" s="13"/>
      <c r="Q9795" s="13"/>
      <c r="R9795" s="13"/>
    </row>
    <row r="9796" spans="8:18" x14ac:dyDescent="0.35">
      <c r="H9796" s="13"/>
      <c r="I9796" s="13"/>
      <c r="J9796" s="13"/>
      <c r="K9796" s="13"/>
      <c r="L9796" s="13"/>
      <c r="M9796" s="13"/>
      <c r="N9796" s="13"/>
      <c r="O9796" s="13"/>
      <c r="P9796" s="13"/>
      <c r="Q9796" s="13"/>
      <c r="R9796" s="13"/>
    </row>
    <row r="9797" spans="8:18" x14ac:dyDescent="0.35">
      <c r="H9797" s="13"/>
      <c r="I9797" s="13"/>
      <c r="J9797" s="13"/>
      <c r="K9797" s="13"/>
      <c r="L9797" s="13"/>
      <c r="M9797" s="13"/>
      <c r="N9797" s="13"/>
      <c r="O9797" s="13"/>
      <c r="P9797" s="13"/>
      <c r="Q9797" s="13"/>
      <c r="R9797" s="13"/>
    </row>
    <row r="9798" spans="8:18" x14ac:dyDescent="0.35">
      <c r="H9798" s="13"/>
      <c r="I9798" s="13"/>
      <c r="J9798" s="13"/>
      <c r="K9798" s="13"/>
      <c r="L9798" s="13"/>
      <c r="M9798" s="13"/>
      <c r="N9798" s="13"/>
      <c r="O9798" s="13"/>
      <c r="P9798" s="13"/>
      <c r="Q9798" s="13"/>
      <c r="R9798" s="13"/>
    </row>
    <row r="9799" spans="8:18" x14ac:dyDescent="0.35">
      <c r="H9799" s="13"/>
      <c r="I9799" s="13"/>
      <c r="J9799" s="13"/>
      <c r="K9799" s="13"/>
      <c r="L9799" s="13"/>
      <c r="M9799" s="13"/>
      <c r="N9799" s="13"/>
      <c r="O9799" s="13"/>
      <c r="P9799" s="13"/>
      <c r="Q9799" s="13"/>
      <c r="R9799" s="13"/>
    </row>
    <row r="9800" spans="8:18" x14ac:dyDescent="0.35">
      <c r="H9800" s="13"/>
      <c r="I9800" s="13"/>
      <c r="J9800" s="13"/>
      <c r="K9800" s="13"/>
      <c r="L9800" s="13"/>
      <c r="M9800" s="13"/>
      <c r="N9800" s="13"/>
      <c r="O9800" s="13"/>
      <c r="P9800" s="13"/>
      <c r="Q9800" s="13"/>
      <c r="R9800" s="13"/>
    </row>
    <row r="9801" spans="8:18" x14ac:dyDescent="0.35">
      <c r="H9801" s="13"/>
      <c r="I9801" s="13"/>
      <c r="J9801" s="13"/>
      <c r="K9801" s="13"/>
      <c r="L9801" s="13"/>
      <c r="M9801" s="13"/>
      <c r="N9801" s="13"/>
      <c r="O9801" s="13"/>
      <c r="P9801" s="13"/>
      <c r="Q9801" s="13"/>
      <c r="R9801" s="13"/>
    </row>
    <row r="9802" spans="8:18" x14ac:dyDescent="0.35">
      <c r="H9802" s="13"/>
      <c r="I9802" s="13"/>
      <c r="J9802" s="13"/>
      <c r="K9802" s="13"/>
      <c r="L9802" s="13"/>
      <c r="M9802" s="13"/>
      <c r="N9802" s="13"/>
      <c r="O9802" s="13"/>
      <c r="P9802" s="13"/>
      <c r="Q9802" s="13"/>
      <c r="R9802" s="13"/>
    </row>
    <row r="9803" spans="8:18" x14ac:dyDescent="0.35">
      <c r="H9803" s="13"/>
      <c r="I9803" s="13"/>
      <c r="J9803" s="13"/>
      <c r="K9803" s="13"/>
      <c r="L9803" s="13"/>
      <c r="M9803" s="13"/>
      <c r="N9803" s="13"/>
      <c r="O9803" s="13"/>
      <c r="P9803" s="13"/>
      <c r="Q9803" s="13"/>
      <c r="R9803" s="13"/>
    </row>
    <row r="9804" spans="8:18" x14ac:dyDescent="0.35">
      <c r="H9804" s="13"/>
      <c r="I9804" s="13"/>
      <c r="J9804" s="13"/>
      <c r="K9804" s="13"/>
      <c r="L9804" s="13"/>
      <c r="M9804" s="13"/>
      <c r="N9804" s="13"/>
      <c r="O9804" s="13"/>
      <c r="P9804" s="13"/>
      <c r="Q9804" s="13"/>
      <c r="R9804" s="13"/>
    </row>
    <row r="9805" spans="8:18" x14ac:dyDescent="0.35">
      <c r="H9805" s="13"/>
      <c r="I9805" s="13"/>
      <c r="J9805" s="13"/>
      <c r="K9805" s="13"/>
      <c r="L9805" s="13"/>
      <c r="M9805" s="13"/>
      <c r="N9805" s="13"/>
      <c r="O9805" s="13"/>
      <c r="P9805" s="13"/>
      <c r="Q9805" s="13"/>
      <c r="R9805" s="13"/>
    </row>
    <row r="9806" spans="8:18" x14ac:dyDescent="0.35">
      <c r="H9806" s="13"/>
      <c r="I9806" s="13"/>
      <c r="J9806" s="13"/>
      <c r="K9806" s="13"/>
      <c r="L9806" s="13"/>
      <c r="M9806" s="13"/>
      <c r="N9806" s="13"/>
      <c r="O9806" s="13"/>
      <c r="P9806" s="13"/>
      <c r="Q9806" s="13"/>
      <c r="R9806" s="13"/>
    </row>
    <row r="9807" spans="8:18" x14ac:dyDescent="0.35">
      <c r="H9807" s="13"/>
      <c r="I9807" s="13"/>
      <c r="J9807" s="13"/>
      <c r="K9807" s="13"/>
      <c r="L9807" s="13"/>
      <c r="M9807" s="13"/>
      <c r="N9807" s="13"/>
      <c r="O9807" s="13"/>
      <c r="P9807" s="13"/>
      <c r="Q9807" s="13"/>
      <c r="R9807" s="13"/>
    </row>
    <row r="9808" spans="8:18" x14ac:dyDescent="0.35">
      <c r="H9808" s="13"/>
      <c r="I9808" s="13"/>
      <c r="J9808" s="13"/>
      <c r="K9808" s="13"/>
      <c r="L9808" s="13"/>
      <c r="M9808" s="13"/>
      <c r="N9808" s="13"/>
      <c r="O9808" s="13"/>
      <c r="P9808" s="13"/>
      <c r="Q9808" s="13"/>
      <c r="R9808" s="13"/>
    </row>
    <row r="9809" spans="8:18" x14ac:dyDescent="0.35">
      <c r="H9809" s="13"/>
      <c r="I9809" s="13"/>
      <c r="J9809" s="13"/>
      <c r="K9809" s="13"/>
      <c r="L9809" s="13"/>
      <c r="M9809" s="13"/>
      <c r="N9809" s="13"/>
      <c r="O9809" s="13"/>
      <c r="P9809" s="13"/>
      <c r="Q9809" s="13"/>
      <c r="R9809" s="13"/>
    </row>
    <row r="9810" spans="8:18" x14ac:dyDescent="0.35">
      <c r="H9810" s="13"/>
      <c r="I9810" s="13"/>
      <c r="J9810" s="13"/>
      <c r="K9810" s="13"/>
      <c r="L9810" s="13"/>
      <c r="M9810" s="13"/>
      <c r="N9810" s="13"/>
      <c r="O9810" s="13"/>
      <c r="P9810" s="13"/>
      <c r="Q9810" s="13"/>
      <c r="R9810" s="13"/>
    </row>
    <row r="9811" spans="8:18" x14ac:dyDescent="0.35">
      <c r="H9811" s="13"/>
      <c r="I9811" s="13"/>
      <c r="J9811" s="13"/>
      <c r="K9811" s="13"/>
      <c r="L9811" s="13"/>
      <c r="M9811" s="13"/>
      <c r="N9811" s="13"/>
      <c r="O9811" s="13"/>
      <c r="P9811" s="13"/>
      <c r="Q9811" s="13"/>
      <c r="R9811" s="13"/>
    </row>
    <row r="9812" spans="8:18" x14ac:dyDescent="0.35">
      <c r="H9812" s="13"/>
      <c r="I9812" s="13"/>
      <c r="J9812" s="13"/>
      <c r="K9812" s="13"/>
      <c r="L9812" s="13"/>
      <c r="M9812" s="13"/>
      <c r="N9812" s="13"/>
      <c r="O9812" s="13"/>
      <c r="P9812" s="13"/>
      <c r="Q9812" s="13"/>
      <c r="R9812" s="13"/>
    </row>
    <row r="9813" spans="8:18" x14ac:dyDescent="0.35">
      <c r="H9813" s="13"/>
      <c r="I9813" s="13"/>
      <c r="J9813" s="13"/>
      <c r="K9813" s="13"/>
      <c r="L9813" s="13"/>
      <c r="M9813" s="13"/>
      <c r="N9813" s="13"/>
      <c r="O9813" s="13"/>
      <c r="P9813" s="13"/>
      <c r="Q9813" s="13"/>
      <c r="R9813" s="13"/>
    </row>
    <row r="9814" spans="8:18" x14ac:dyDescent="0.35">
      <c r="H9814" s="13"/>
      <c r="I9814" s="13"/>
      <c r="J9814" s="13"/>
      <c r="K9814" s="13"/>
      <c r="L9814" s="13"/>
      <c r="M9814" s="13"/>
      <c r="N9814" s="13"/>
      <c r="O9814" s="13"/>
      <c r="P9814" s="13"/>
      <c r="Q9814" s="13"/>
      <c r="R9814" s="13"/>
    </row>
    <row r="9815" spans="8:18" x14ac:dyDescent="0.35">
      <c r="H9815" s="13"/>
      <c r="I9815" s="13"/>
      <c r="J9815" s="13"/>
      <c r="K9815" s="13"/>
      <c r="L9815" s="13"/>
      <c r="M9815" s="13"/>
      <c r="N9815" s="13"/>
      <c r="O9815" s="13"/>
      <c r="P9815" s="13"/>
      <c r="Q9815" s="13"/>
      <c r="R9815" s="13"/>
    </row>
    <row r="9816" spans="8:18" x14ac:dyDescent="0.35">
      <c r="H9816" s="13"/>
      <c r="I9816" s="13"/>
      <c r="J9816" s="13"/>
      <c r="K9816" s="13"/>
      <c r="L9816" s="13"/>
      <c r="M9816" s="13"/>
      <c r="N9816" s="13"/>
      <c r="O9816" s="13"/>
      <c r="P9816" s="13"/>
      <c r="Q9816" s="13"/>
      <c r="R9816" s="13"/>
    </row>
    <row r="9817" spans="8:18" x14ac:dyDescent="0.35">
      <c r="H9817" s="13"/>
      <c r="I9817" s="13"/>
      <c r="J9817" s="13"/>
      <c r="K9817" s="13"/>
      <c r="L9817" s="13"/>
      <c r="M9817" s="13"/>
      <c r="N9817" s="13"/>
      <c r="O9817" s="13"/>
      <c r="P9817" s="13"/>
      <c r="Q9817" s="13"/>
      <c r="R9817" s="13"/>
    </row>
    <row r="9818" spans="8:18" x14ac:dyDescent="0.35">
      <c r="H9818" s="13"/>
      <c r="I9818" s="13"/>
      <c r="J9818" s="13"/>
      <c r="K9818" s="13"/>
      <c r="L9818" s="13"/>
      <c r="M9818" s="13"/>
      <c r="N9818" s="13"/>
      <c r="O9818" s="13"/>
      <c r="P9818" s="13"/>
      <c r="Q9818" s="13"/>
      <c r="R9818" s="13"/>
    </row>
    <row r="9819" spans="8:18" x14ac:dyDescent="0.35">
      <c r="H9819" s="13"/>
      <c r="I9819" s="13"/>
      <c r="J9819" s="13"/>
      <c r="K9819" s="13"/>
      <c r="L9819" s="13"/>
      <c r="M9819" s="13"/>
      <c r="N9819" s="13"/>
      <c r="O9819" s="13"/>
      <c r="P9819" s="13"/>
      <c r="Q9819" s="13"/>
      <c r="R9819" s="13"/>
    </row>
    <row r="9820" spans="8:18" x14ac:dyDescent="0.35">
      <c r="H9820" s="13"/>
      <c r="I9820" s="13"/>
      <c r="J9820" s="13"/>
      <c r="K9820" s="13"/>
      <c r="L9820" s="13"/>
      <c r="M9820" s="13"/>
      <c r="N9820" s="13"/>
      <c r="O9820" s="13"/>
      <c r="P9820" s="13"/>
      <c r="Q9820" s="13"/>
      <c r="R9820" s="13"/>
    </row>
    <row r="9821" spans="8:18" x14ac:dyDescent="0.35">
      <c r="H9821" s="13"/>
      <c r="I9821" s="13"/>
      <c r="J9821" s="13"/>
      <c r="K9821" s="13"/>
      <c r="L9821" s="13"/>
      <c r="M9821" s="13"/>
      <c r="N9821" s="13"/>
      <c r="O9821" s="13"/>
      <c r="P9821" s="13"/>
      <c r="Q9821" s="13"/>
      <c r="R9821" s="13"/>
    </row>
    <row r="9822" spans="8:18" x14ac:dyDescent="0.35">
      <c r="H9822" s="13"/>
      <c r="I9822" s="13"/>
      <c r="J9822" s="13"/>
      <c r="K9822" s="13"/>
      <c r="L9822" s="13"/>
      <c r="M9822" s="13"/>
      <c r="N9822" s="13"/>
      <c r="O9822" s="13"/>
      <c r="P9822" s="13"/>
      <c r="Q9822" s="13"/>
      <c r="R9822" s="13"/>
    </row>
    <row r="9823" spans="8:18" x14ac:dyDescent="0.35">
      <c r="H9823" s="13"/>
      <c r="I9823" s="13"/>
      <c r="J9823" s="13"/>
      <c r="K9823" s="13"/>
      <c r="L9823" s="13"/>
      <c r="M9823" s="13"/>
      <c r="N9823" s="13"/>
      <c r="O9823" s="13"/>
      <c r="P9823" s="13"/>
      <c r="Q9823" s="13"/>
      <c r="R9823" s="13"/>
    </row>
    <row r="9824" spans="8:18" x14ac:dyDescent="0.35">
      <c r="H9824" s="13"/>
      <c r="I9824" s="13"/>
      <c r="J9824" s="13"/>
      <c r="K9824" s="13"/>
      <c r="L9824" s="13"/>
      <c r="M9824" s="13"/>
      <c r="N9824" s="13"/>
      <c r="O9824" s="13"/>
      <c r="P9824" s="13"/>
      <c r="Q9824" s="13"/>
      <c r="R9824" s="13"/>
    </row>
    <row r="9825" spans="8:18" x14ac:dyDescent="0.35">
      <c r="H9825" s="13"/>
      <c r="I9825" s="13"/>
      <c r="J9825" s="13"/>
      <c r="K9825" s="13"/>
      <c r="L9825" s="13"/>
      <c r="M9825" s="13"/>
      <c r="N9825" s="13"/>
      <c r="O9825" s="13"/>
      <c r="P9825" s="13"/>
      <c r="Q9825" s="13"/>
      <c r="R9825" s="13"/>
    </row>
    <row r="9826" spans="8:18" x14ac:dyDescent="0.35">
      <c r="H9826" s="13"/>
      <c r="I9826" s="13"/>
      <c r="J9826" s="13"/>
      <c r="K9826" s="13"/>
      <c r="L9826" s="13"/>
      <c r="M9826" s="13"/>
      <c r="N9826" s="13"/>
      <c r="O9826" s="13"/>
      <c r="P9826" s="13"/>
      <c r="Q9826" s="13"/>
      <c r="R9826" s="13"/>
    </row>
    <row r="9827" spans="8:18" x14ac:dyDescent="0.35">
      <c r="H9827" s="13"/>
      <c r="I9827" s="13"/>
      <c r="J9827" s="13"/>
      <c r="K9827" s="13"/>
      <c r="L9827" s="13"/>
      <c r="M9827" s="13"/>
      <c r="N9827" s="13"/>
      <c r="O9827" s="13"/>
      <c r="P9827" s="13"/>
      <c r="Q9827" s="13"/>
      <c r="R9827" s="13"/>
    </row>
    <row r="9828" spans="8:18" x14ac:dyDescent="0.35">
      <c r="H9828" s="13"/>
      <c r="I9828" s="13"/>
      <c r="J9828" s="13"/>
      <c r="K9828" s="13"/>
      <c r="L9828" s="13"/>
      <c r="M9828" s="13"/>
      <c r="N9828" s="13"/>
      <c r="O9828" s="13"/>
      <c r="P9828" s="13"/>
      <c r="Q9828" s="13"/>
      <c r="R9828" s="13"/>
    </row>
    <row r="9829" spans="8:18" x14ac:dyDescent="0.35">
      <c r="H9829" s="13"/>
      <c r="I9829" s="13"/>
      <c r="J9829" s="13"/>
      <c r="K9829" s="13"/>
      <c r="L9829" s="13"/>
      <c r="M9829" s="13"/>
      <c r="N9829" s="13"/>
      <c r="O9829" s="13"/>
      <c r="P9829" s="13"/>
      <c r="Q9829" s="13"/>
      <c r="R9829" s="13"/>
    </row>
    <row r="9830" spans="8:18" x14ac:dyDescent="0.35">
      <c r="H9830" s="13"/>
      <c r="I9830" s="13"/>
      <c r="J9830" s="13"/>
      <c r="K9830" s="13"/>
      <c r="L9830" s="13"/>
      <c r="M9830" s="13"/>
      <c r="N9830" s="13"/>
      <c r="O9830" s="13"/>
      <c r="P9830" s="13"/>
      <c r="Q9830" s="13"/>
      <c r="R9830" s="13"/>
    </row>
    <row r="9831" spans="8:18" x14ac:dyDescent="0.35">
      <c r="H9831" s="13"/>
      <c r="I9831" s="13"/>
      <c r="J9831" s="13"/>
      <c r="K9831" s="13"/>
      <c r="L9831" s="13"/>
      <c r="M9831" s="13"/>
      <c r="N9831" s="13"/>
      <c r="O9831" s="13"/>
      <c r="P9831" s="13"/>
      <c r="Q9831" s="13"/>
      <c r="R9831" s="13"/>
    </row>
    <row r="9832" spans="8:18" x14ac:dyDescent="0.35">
      <c r="H9832" s="13"/>
      <c r="I9832" s="13"/>
      <c r="J9832" s="13"/>
      <c r="K9832" s="13"/>
      <c r="L9832" s="13"/>
      <c r="M9832" s="13"/>
      <c r="N9832" s="13"/>
      <c r="O9832" s="13"/>
      <c r="P9832" s="13"/>
      <c r="Q9832" s="13"/>
      <c r="R9832" s="13"/>
    </row>
    <row r="9833" spans="8:18" x14ac:dyDescent="0.35">
      <c r="H9833" s="13"/>
      <c r="I9833" s="13"/>
      <c r="J9833" s="13"/>
      <c r="K9833" s="13"/>
      <c r="L9833" s="13"/>
      <c r="M9833" s="13"/>
      <c r="N9833" s="13"/>
      <c r="O9833" s="13"/>
      <c r="P9833" s="13"/>
      <c r="Q9833" s="13"/>
      <c r="R9833" s="13"/>
    </row>
    <row r="9834" spans="8:18" x14ac:dyDescent="0.35">
      <c r="H9834" s="13"/>
      <c r="I9834" s="13"/>
      <c r="J9834" s="13"/>
      <c r="K9834" s="13"/>
      <c r="L9834" s="13"/>
      <c r="M9834" s="13"/>
      <c r="N9834" s="13"/>
      <c r="O9834" s="13"/>
      <c r="P9834" s="13"/>
      <c r="Q9834" s="13"/>
      <c r="R9834" s="13"/>
    </row>
    <row r="9835" spans="8:18" x14ac:dyDescent="0.35">
      <c r="H9835" s="13"/>
      <c r="I9835" s="13"/>
      <c r="J9835" s="13"/>
      <c r="K9835" s="13"/>
      <c r="L9835" s="13"/>
      <c r="M9835" s="13"/>
      <c r="N9835" s="13"/>
      <c r="O9835" s="13"/>
      <c r="P9835" s="13"/>
      <c r="Q9835" s="13"/>
      <c r="R9835" s="13"/>
    </row>
    <row r="9836" spans="8:18" x14ac:dyDescent="0.35">
      <c r="H9836" s="13"/>
      <c r="I9836" s="13"/>
      <c r="J9836" s="13"/>
      <c r="K9836" s="13"/>
      <c r="L9836" s="13"/>
      <c r="M9836" s="13"/>
      <c r="N9836" s="13"/>
      <c r="O9836" s="13"/>
      <c r="P9836" s="13"/>
      <c r="Q9836" s="13"/>
      <c r="R9836" s="13"/>
    </row>
    <row r="9837" spans="8:18" x14ac:dyDescent="0.35">
      <c r="H9837" s="13"/>
      <c r="I9837" s="13"/>
      <c r="J9837" s="13"/>
      <c r="K9837" s="13"/>
      <c r="L9837" s="13"/>
      <c r="M9837" s="13"/>
      <c r="N9837" s="13"/>
      <c r="O9837" s="13"/>
      <c r="P9837" s="13"/>
      <c r="Q9837" s="13"/>
      <c r="R9837" s="13"/>
    </row>
    <row r="9838" spans="8:18" x14ac:dyDescent="0.35">
      <c r="H9838" s="13"/>
      <c r="I9838" s="13"/>
      <c r="J9838" s="13"/>
      <c r="K9838" s="13"/>
      <c r="L9838" s="13"/>
      <c r="M9838" s="13"/>
      <c r="N9838" s="13"/>
      <c r="O9838" s="13"/>
      <c r="P9838" s="13"/>
      <c r="Q9838" s="13"/>
      <c r="R9838" s="13"/>
    </row>
    <row r="9839" spans="8:18" x14ac:dyDescent="0.35">
      <c r="H9839" s="13"/>
      <c r="I9839" s="13"/>
      <c r="J9839" s="13"/>
      <c r="K9839" s="13"/>
      <c r="L9839" s="13"/>
      <c r="M9839" s="13"/>
      <c r="N9839" s="13"/>
      <c r="O9839" s="13"/>
      <c r="P9839" s="13"/>
      <c r="Q9839" s="13"/>
      <c r="R9839" s="13"/>
    </row>
    <row r="9840" spans="8:18" x14ac:dyDescent="0.35">
      <c r="H9840" s="13"/>
      <c r="I9840" s="13"/>
      <c r="J9840" s="13"/>
      <c r="K9840" s="13"/>
      <c r="L9840" s="13"/>
      <c r="M9840" s="13"/>
      <c r="N9840" s="13"/>
      <c r="O9840" s="13"/>
      <c r="P9840" s="13"/>
      <c r="Q9840" s="13"/>
      <c r="R9840" s="13"/>
    </row>
    <row r="9841" spans="8:18" x14ac:dyDescent="0.35">
      <c r="H9841" s="13"/>
      <c r="I9841" s="13"/>
      <c r="J9841" s="13"/>
      <c r="K9841" s="13"/>
      <c r="L9841" s="13"/>
      <c r="M9841" s="13"/>
      <c r="N9841" s="13"/>
      <c r="O9841" s="13"/>
      <c r="P9841" s="13"/>
      <c r="Q9841" s="13"/>
      <c r="R9841" s="13"/>
    </row>
    <row r="9842" spans="8:18" x14ac:dyDescent="0.35">
      <c r="H9842" s="13"/>
      <c r="I9842" s="13"/>
      <c r="J9842" s="13"/>
      <c r="K9842" s="13"/>
      <c r="L9842" s="13"/>
      <c r="M9842" s="13"/>
      <c r="N9842" s="13"/>
      <c r="O9842" s="13"/>
      <c r="P9842" s="13"/>
      <c r="Q9842" s="13"/>
      <c r="R9842" s="13"/>
    </row>
    <row r="9843" spans="8:18" x14ac:dyDescent="0.35">
      <c r="H9843" s="13"/>
      <c r="I9843" s="13"/>
      <c r="J9843" s="13"/>
      <c r="K9843" s="13"/>
      <c r="L9843" s="13"/>
      <c r="M9843" s="13"/>
      <c r="N9843" s="13"/>
      <c r="O9843" s="13"/>
      <c r="P9843" s="13"/>
      <c r="Q9843" s="13"/>
      <c r="R9843" s="13"/>
    </row>
    <row r="9844" spans="8:18" x14ac:dyDescent="0.35">
      <c r="H9844" s="13"/>
      <c r="I9844" s="13"/>
      <c r="J9844" s="13"/>
      <c r="K9844" s="13"/>
      <c r="L9844" s="13"/>
      <c r="M9844" s="13"/>
      <c r="N9844" s="13"/>
      <c r="O9844" s="13"/>
      <c r="P9844" s="13"/>
      <c r="Q9844" s="13"/>
      <c r="R9844" s="13"/>
    </row>
    <row r="9845" spans="8:18" x14ac:dyDescent="0.35">
      <c r="H9845" s="13"/>
      <c r="I9845" s="13"/>
      <c r="J9845" s="13"/>
      <c r="K9845" s="13"/>
      <c r="L9845" s="13"/>
      <c r="M9845" s="13"/>
      <c r="N9845" s="13"/>
      <c r="O9845" s="13"/>
      <c r="P9845" s="13"/>
      <c r="Q9845" s="13"/>
      <c r="R9845" s="13"/>
    </row>
    <row r="9846" spans="8:18" x14ac:dyDescent="0.35">
      <c r="H9846" s="13"/>
      <c r="I9846" s="13"/>
      <c r="J9846" s="13"/>
      <c r="K9846" s="13"/>
      <c r="L9846" s="13"/>
      <c r="M9846" s="13"/>
      <c r="N9846" s="13"/>
      <c r="O9846" s="13"/>
      <c r="P9846" s="13"/>
      <c r="Q9846" s="13"/>
      <c r="R9846" s="13"/>
    </row>
    <row r="9847" spans="8:18" x14ac:dyDescent="0.35">
      <c r="H9847" s="13"/>
      <c r="I9847" s="13"/>
      <c r="J9847" s="13"/>
      <c r="K9847" s="13"/>
      <c r="L9847" s="13"/>
      <c r="M9847" s="13"/>
      <c r="N9847" s="13"/>
      <c r="O9847" s="13"/>
      <c r="P9847" s="13"/>
      <c r="Q9847" s="13"/>
      <c r="R9847" s="13"/>
    </row>
    <row r="9848" spans="8:18" x14ac:dyDescent="0.35">
      <c r="H9848" s="13"/>
      <c r="I9848" s="13"/>
      <c r="J9848" s="13"/>
      <c r="K9848" s="13"/>
      <c r="L9848" s="13"/>
      <c r="M9848" s="13"/>
      <c r="N9848" s="13"/>
      <c r="O9848" s="13"/>
      <c r="P9848" s="13"/>
      <c r="Q9848" s="13"/>
      <c r="R9848" s="13"/>
    </row>
    <row r="9849" spans="8:18" x14ac:dyDescent="0.35">
      <c r="H9849" s="13"/>
      <c r="I9849" s="13"/>
      <c r="J9849" s="13"/>
      <c r="K9849" s="13"/>
      <c r="L9849" s="13"/>
      <c r="M9849" s="13"/>
      <c r="N9849" s="13"/>
      <c r="O9849" s="13"/>
      <c r="P9849" s="13"/>
      <c r="Q9849" s="13"/>
      <c r="R9849" s="13"/>
    </row>
    <row r="9850" spans="8:18" x14ac:dyDescent="0.35">
      <c r="H9850" s="13"/>
      <c r="I9850" s="13"/>
      <c r="J9850" s="13"/>
      <c r="K9850" s="13"/>
      <c r="L9850" s="13"/>
      <c r="M9850" s="13"/>
      <c r="N9850" s="13"/>
      <c r="O9850" s="13"/>
      <c r="P9850" s="13"/>
      <c r="Q9850" s="13"/>
      <c r="R9850" s="13"/>
    </row>
    <row r="9851" spans="8:18" x14ac:dyDescent="0.35">
      <c r="H9851" s="13"/>
      <c r="I9851" s="13"/>
      <c r="J9851" s="13"/>
      <c r="K9851" s="13"/>
      <c r="L9851" s="13"/>
      <c r="M9851" s="13"/>
      <c r="N9851" s="13"/>
      <c r="O9851" s="13"/>
      <c r="P9851" s="13"/>
      <c r="Q9851" s="13"/>
      <c r="R9851" s="13"/>
    </row>
    <row r="9852" spans="8:18" x14ac:dyDescent="0.35">
      <c r="H9852" s="13"/>
      <c r="I9852" s="13"/>
      <c r="J9852" s="13"/>
      <c r="K9852" s="13"/>
      <c r="L9852" s="13"/>
      <c r="M9852" s="13"/>
      <c r="N9852" s="13"/>
      <c r="O9852" s="13"/>
      <c r="P9852" s="13"/>
      <c r="Q9852" s="13"/>
      <c r="R9852" s="13"/>
    </row>
    <row r="9853" spans="8:18" x14ac:dyDescent="0.35">
      <c r="H9853" s="13"/>
      <c r="I9853" s="13"/>
      <c r="J9853" s="13"/>
      <c r="K9853" s="13"/>
      <c r="L9853" s="13"/>
      <c r="M9853" s="13"/>
      <c r="N9853" s="13"/>
      <c r="O9853" s="13"/>
      <c r="P9853" s="13"/>
      <c r="Q9853" s="13"/>
      <c r="R9853" s="13"/>
    </row>
    <row r="9854" spans="8:18" x14ac:dyDescent="0.35">
      <c r="H9854" s="13"/>
      <c r="I9854" s="13"/>
      <c r="J9854" s="13"/>
      <c r="K9854" s="13"/>
      <c r="L9854" s="13"/>
      <c r="M9854" s="13"/>
      <c r="N9854" s="13"/>
      <c r="O9854" s="13"/>
      <c r="P9854" s="13"/>
      <c r="Q9854" s="13"/>
      <c r="R9854" s="13"/>
    </row>
    <row r="9855" spans="8:18" x14ac:dyDescent="0.35">
      <c r="H9855" s="13"/>
      <c r="I9855" s="13"/>
      <c r="J9855" s="13"/>
      <c r="K9855" s="13"/>
      <c r="L9855" s="13"/>
      <c r="M9855" s="13"/>
      <c r="N9855" s="13"/>
      <c r="O9855" s="13"/>
      <c r="P9855" s="13"/>
      <c r="Q9855" s="13"/>
      <c r="R9855" s="13"/>
    </row>
    <row r="9856" spans="8:18" x14ac:dyDescent="0.35">
      <c r="H9856" s="13"/>
      <c r="I9856" s="13"/>
      <c r="J9856" s="13"/>
      <c r="K9856" s="13"/>
      <c r="L9856" s="13"/>
      <c r="M9856" s="13"/>
      <c r="N9856" s="13"/>
      <c r="O9856" s="13"/>
      <c r="P9856" s="13"/>
      <c r="Q9856" s="13"/>
      <c r="R9856" s="13"/>
    </row>
    <row r="9857" spans="8:18" x14ac:dyDescent="0.35">
      <c r="H9857" s="13"/>
      <c r="I9857" s="13"/>
      <c r="J9857" s="13"/>
      <c r="K9857" s="13"/>
      <c r="L9857" s="13"/>
      <c r="M9857" s="13"/>
      <c r="N9857" s="13"/>
      <c r="O9857" s="13"/>
      <c r="P9857" s="13"/>
      <c r="Q9857" s="13"/>
      <c r="R9857" s="13"/>
    </row>
    <row r="9858" spans="8:18" x14ac:dyDescent="0.35">
      <c r="H9858" s="13"/>
      <c r="I9858" s="13"/>
      <c r="J9858" s="13"/>
      <c r="K9858" s="13"/>
      <c r="L9858" s="13"/>
      <c r="M9858" s="13"/>
      <c r="N9858" s="13"/>
      <c r="O9858" s="13"/>
      <c r="P9858" s="13"/>
      <c r="Q9858" s="13"/>
      <c r="R9858" s="13"/>
    </row>
    <row r="9859" spans="8:18" x14ac:dyDescent="0.35">
      <c r="H9859" s="13"/>
      <c r="I9859" s="13"/>
      <c r="J9859" s="13"/>
      <c r="K9859" s="13"/>
      <c r="L9859" s="13"/>
      <c r="M9859" s="13"/>
      <c r="N9859" s="13"/>
      <c r="O9859" s="13"/>
      <c r="P9859" s="13"/>
      <c r="Q9859" s="13"/>
      <c r="R9859" s="13"/>
    </row>
    <row r="9860" spans="8:18" x14ac:dyDescent="0.35">
      <c r="H9860" s="13"/>
      <c r="I9860" s="13"/>
      <c r="J9860" s="13"/>
      <c r="K9860" s="13"/>
      <c r="L9860" s="13"/>
      <c r="M9860" s="13"/>
      <c r="N9860" s="13"/>
      <c r="O9860" s="13"/>
      <c r="P9860" s="13"/>
      <c r="Q9860" s="13"/>
      <c r="R9860" s="13"/>
    </row>
    <row r="9861" spans="8:18" x14ac:dyDescent="0.35">
      <c r="H9861" s="13"/>
      <c r="I9861" s="13"/>
      <c r="J9861" s="13"/>
      <c r="K9861" s="13"/>
      <c r="L9861" s="13"/>
      <c r="M9861" s="13"/>
      <c r="N9861" s="13"/>
      <c r="O9861" s="13"/>
      <c r="P9861" s="13"/>
      <c r="Q9861" s="13"/>
      <c r="R9861" s="13"/>
    </row>
    <row r="9862" spans="8:18" x14ac:dyDescent="0.35">
      <c r="H9862" s="13"/>
      <c r="I9862" s="13"/>
      <c r="J9862" s="13"/>
      <c r="K9862" s="13"/>
      <c r="L9862" s="13"/>
      <c r="M9862" s="13"/>
      <c r="N9862" s="13"/>
      <c r="O9862" s="13"/>
      <c r="P9862" s="13"/>
      <c r="Q9862" s="13"/>
      <c r="R9862" s="13"/>
    </row>
    <row r="9863" spans="8:18" x14ac:dyDescent="0.35">
      <c r="H9863" s="13"/>
      <c r="I9863" s="13"/>
      <c r="J9863" s="13"/>
      <c r="K9863" s="13"/>
      <c r="L9863" s="13"/>
      <c r="M9863" s="13"/>
      <c r="N9863" s="13"/>
      <c r="O9863" s="13"/>
      <c r="P9863" s="13"/>
      <c r="Q9863" s="13"/>
      <c r="R9863" s="13"/>
    </row>
    <row r="9864" spans="8:18" x14ac:dyDescent="0.35">
      <c r="H9864" s="13"/>
      <c r="I9864" s="13"/>
      <c r="J9864" s="13"/>
      <c r="K9864" s="13"/>
      <c r="L9864" s="13"/>
      <c r="M9864" s="13"/>
      <c r="N9864" s="13"/>
      <c r="O9864" s="13"/>
      <c r="P9864" s="13"/>
      <c r="Q9864" s="13"/>
      <c r="R9864" s="13"/>
    </row>
    <row r="9865" spans="8:18" x14ac:dyDescent="0.35">
      <c r="H9865" s="13"/>
      <c r="I9865" s="13"/>
      <c r="J9865" s="13"/>
      <c r="K9865" s="13"/>
      <c r="L9865" s="13"/>
      <c r="M9865" s="13"/>
      <c r="N9865" s="13"/>
      <c r="O9865" s="13"/>
      <c r="P9865" s="13"/>
      <c r="Q9865" s="13"/>
      <c r="R9865" s="13"/>
    </row>
    <row r="9866" spans="8:18" x14ac:dyDescent="0.35">
      <c r="H9866" s="13"/>
      <c r="I9866" s="13"/>
      <c r="J9866" s="13"/>
      <c r="K9866" s="13"/>
      <c r="L9866" s="13"/>
      <c r="M9866" s="13"/>
      <c r="N9866" s="13"/>
      <c r="O9866" s="13"/>
      <c r="P9866" s="13"/>
      <c r="Q9866" s="13"/>
      <c r="R9866" s="13"/>
    </row>
    <row r="9867" spans="8:18" x14ac:dyDescent="0.35">
      <c r="H9867" s="13"/>
      <c r="I9867" s="13"/>
      <c r="J9867" s="13"/>
      <c r="K9867" s="13"/>
      <c r="L9867" s="13"/>
      <c r="M9867" s="13"/>
      <c r="N9867" s="13"/>
      <c r="O9867" s="13"/>
      <c r="P9867" s="13"/>
      <c r="Q9867" s="13"/>
      <c r="R9867" s="13"/>
    </row>
    <row r="9868" spans="8:18" x14ac:dyDescent="0.35">
      <c r="H9868" s="13"/>
      <c r="I9868" s="13"/>
      <c r="J9868" s="13"/>
      <c r="K9868" s="13"/>
      <c r="L9868" s="13"/>
      <c r="M9868" s="13"/>
      <c r="N9868" s="13"/>
      <c r="O9868" s="13"/>
      <c r="P9868" s="13"/>
      <c r="Q9868" s="13"/>
      <c r="R9868" s="13"/>
    </row>
    <row r="9869" spans="8:18" x14ac:dyDescent="0.35">
      <c r="H9869" s="13"/>
      <c r="I9869" s="13"/>
      <c r="J9869" s="13"/>
      <c r="K9869" s="13"/>
      <c r="L9869" s="13"/>
      <c r="M9869" s="13"/>
      <c r="N9869" s="13"/>
      <c r="O9869" s="13"/>
      <c r="P9869" s="13"/>
      <c r="Q9869" s="13"/>
      <c r="R9869" s="13"/>
    </row>
    <row r="9870" spans="8:18" x14ac:dyDescent="0.35">
      <c r="H9870" s="13"/>
      <c r="I9870" s="13"/>
      <c r="J9870" s="13"/>
      <c r="K9870" s="13"/>
      <c r="L9870" s="13"/>
      <c r="M9870" s="13"/>
      <c r="N9870" s="13"/>
      <c r="O9870" s="13"/>
      <c r="P9870" s="13"/>
      <c r="Q9870" s="13"/>
      <c r="R9870" s="13"/>
    </row>
    <row r="9871" spans="8:18" x14ac:dyDescent="0.35">
      <c r="H9871" s="13"/>
      <c r="I9871" s="13"/>
      <c r="J9871" s="13"/>
      <c r="K9871" s="13"/>
      <c r="L9871" s="13"/>
      <c r="M9871" s="13"/>
      <c r="N9871" s="13"/>
      <c r="O9871" s="13"/>
      <c r="P9871" s="13"/>
      <c r="Q9871" s="13"/>
      <c r="R9871" s="13"/>
    </row>
    <row r="9872" spans="8:18" x14ac:dyDescent="0.35">
      <c r="H9872" s="13"/>
      <c r="I9872" s="13"/>
      <c r="J9872" s="13"/>
      <c r="K9872" s="13"/>
      <c r="L9872" s="13"/>
      <c r="M9872" s="13"/>
      <c r="N9872" s="13"/>
      <c r="O9872" s="13"/>
      <c r="P9872" s="13"/>
      <c r="Q9872" s="13"/>
      <c r="R9872" s="13"/>
    </row>
    <row r="9873" spans="8:18" x14ac:dyDescent="0.35">
      <c r="H9873" s="13"/>
      <c r="I9873" s="13"/>
      <c r="J9873" s="13"/>
      <c r="K9873" s="13"/>
      <c r="L9873" s="13"/>
      <c r="M9873" s="13"/>
      <c r="N9873" s="13"/>
      <c r="O9873" s="13"/>
      <c r="P9873" s="13"/>
      <c r="Q9873" s="13"/>
      <c r="R9873" s="13"/>
    </row>
    <row r="9874" spans="8:18" x14ac:dyDescent="0.35">
      <c r="H9874" s="13"/>
      <c r="I9874" s="13"/>
      <c r="J9874" s="13"/>
      <c r="K9874" s="13"/>
      <c r="L9874" s="13"/>
      <c r="M9874" s="13"/>
      <c r="N9874" s="13"/>
      <c r="O9874" s="13"/>
      <c r="P9874" s="13"/>
      <c r="Q9874" s="13"/>
      <c r="R9874" s="13"/>
    </row>
    <row r="9875" spans="8:18" x14ac:dyDescent="0.35">
      <c r="H9875" s="13"/>
      <c r="I9875" s="13"/>
      <c r="J9875" s="13"/>
      <c r="K9875" s="13"/>
      <c r="L9875" s="13"/>
      <c r="M9875" s="13"/>
      <c r="N9875" s="13"/>
      <c r="O9875" s="13"/>
      <c r="P9875" s="13"/>
      <c r="Q9875" s="13"/>
      <c r="R9875" s="13"/>
    </row>
    <row r="9876" spans="8:18" x14ac:dyDescent="0.35">
      <c r="H9876" s="13"/>
      <c r="I9876" s="13"/>
      <c r="J9876" s="13"/>
      <c r="K9876" s="13"/>
      <c r="L9876" s="13"/>
      <c r="M9876" s="13"/>
      <c r="N9876" s="13"/>
      <c r="O9876" s="13"/>
      <c r="P9876" s="13"/>
      <c r="Q9876" s="13"/>
      <c r="R9876" s="13"/>
    </row>
    <row r="9877" spans="8:18" x14ac:dyDescent="0.35">
      <c r="H9877" s="13"/>
      <c r="I9877" s="13"/>
      <c r="J9877" s="13"/>
      <c r="K9877" s="13"/>
      <c r="L9877" s="13"/>
      <c r="M9877" s="13"/>
      <c r="N9877" s="13"/>
      <c r="O9877" s="13"/>
      <c r="P9877" s="13"/>
      <c r="Q9877" s="13"/>
      <c r="R9877" s="13"/>
    </row>
    <row r="9878" spans="8:18" x14ac:dyDescent="0.35">
      <c r="H9878" s="13"/>
      <c r="I9878" s="13"/>
      <c r="J9878" s="13"/>
      <c r="K9878" s="13"/>
      <c r="L9878" s="13"/>
      <c r="M9878" s="13"/>
      <c r="N9878" s="13"/>
      <c r="O9878" s="13"/>
      <c r="P9878" s="13"/>
      <c r="Q9878" s="13"/>
      <c r="R9878" s="13"/>
    </row>
    <row r="9879" spans="8:18" x14ac:dyDescent="0.35">
      <c r="H9879" s="13"/>
      <c r="I9879" s="13"/>
      <c r="J9879" s="13"/>
      <c r="K9879" s="13"/>
      <c r="L9879" s="13"/>
      <c r="M9879" s="13"/>
      <c r="N9879" s="13"/>
      <c r="O9879" s="13"/>
      <c r="P9879" s="13"/>
      <c r="Q9879" s="13"/>
      <c r="R9879" s="13"/>
    </row>
    <row r="9880" spans="8:18" x14ac:dyDescent="0.35">
      <c r="H9880" s="13"/>
      <c r="I9880" s="13"/>
      <c r="J9880" s="13"/>
      <c r="K9880" s="13"/>
      <c r="L9880" s="13"/>
      <c r="M9880" s="13"/>
      <c r="N9880" s="13"/>
      <c r="O9880" s="13"/>
      <c r="P9880" s="13"/>
      <c r="Q9880" s="13"/>
      <c r="R9880" s="13"/>
    </row>
    <row r="9881" spans="8:18" x14ac:dyDescent="0.35">
      <c r="H9881" s="13"/>
      <c r="I9881" s="13"/>
      <c r="J9881" s="13"/>
      <c r="K9881" s="13"/>
      <c r="L9881" s="13"/>
      <c r="M9881" s="13"/>
      <c r="N9881" s="13"/>
      <c r="O9881" s="13"/>
      <c r="P9881" s="13"/>
      <c r="Q9881" s="13"/>
      <c r="R9881" s="13"/>
    </row>
    <row r="9882" spans="8:18" x14ac:dyDescent="0.35">
      <c r="H9882" s="13"/>
      <c r="I9882" s="13"/>
      <c r="J9882" s="13"/>
      <c r="K9882" s="13"/>
      <c r="L9882" s="13"/>
      <c r="M9882" s="13"/>
      <c r="N9882" s="13"/>
      <c r="O9882" s="13"/>
      <c r="P9882" s="13"/>
      <c r="Q9882" s="13"/>
      <c r="R9882" s="13"/>
    </row>
    <row r="9883" spans="8:18" x14ac:dyDescent="0.35">
      <c r="H9883" s="13"/>
      <c r="I9883" s="13"/>
      <c r="J9883" s="13"/>
      <c r="K9883" s="13"/>
      <c r="L9883" s="13"/>
      <c r="M9883" s="13"/>
      <c r="N9883" s="13"/>
      <c r="O9883" s="13"/>
      <c r="P9883" s="13"/>
      <c r="Q9883" s="13"/>
      <c r="R9883" s="13"/>
    </row>
    <row r="9884" spans="8:18" x14ac:dyDescent="0.35">
      <c r="H9884" s="13"/>
      <c r="I9884" s="13"/>
      <c r="J9884" s="13"/>
      <c r="K9884" s="13"/>
      <c r="L9884" s="13"/>
      <c r="M9884" s="13"/>
      <c r="N9884" s="13"/>
      <c r="O9884" s="13"/>
      <c r="P9884" s="13"/>
      <c r="Q9884" s="13"/>
      <c r="R9884" s="13"/>
    </row>
    <row r="9885" spans="8:18" x14ac:dyDescent="0.35">
      <c r="H9885" s="13"/>
      <c r="I9885" s="13"/>
      <c r="J9885" s="13"/>
      <c r="K9885" s="13"/>
      <c r="L9885" s="13"/>
      <c r="M9885" s="13"/>
      <c r="N9885" s="13"/>
      <c r="O9885" s="13"/>
      <c r="P9885" s="13"/>
      <c r="Q9885" s="13"/>
      <c r="R9885" s="13"/>
    </row>
    <row r="9886" spans="8:18" x14ac:dyDescent="0.35">
      <c r="H9886" s="13"/>
      <c r="I9886" s="13"/>
      <c r="J9886" s="13"/>
      <c r="K9886" s="13"/>
      <c r="L9886" s="13"/>
      <c r="M9886" s="13"/>
      <c r="N9886" s="13"/>
      <c r="O9886" s="13"/>
      <c r="P9886" s="13"/>
      <c r="Q9886" s="13"/>
      <c r="R9886" s="13"/>
    </row>
    <row r="9887" spans="8:18" x14ac:dyDescent="0.35">
      <c r="H9887" s="13"/>
      <c r="I9887" s="13"/>
      <c r="J9887" s="13"/>
      <c r="K9887" s="13"/>
      <c r="L9887" s="13"/>
      <c r="M9887" s="13"/>
      <c r="N9887" s="13"/>
      <c r="O9887" s="13"/>
      <c r="P9887" s="13"/>
      <c r="Q9887" s="13"/>
      <c r="R9887" s="13"/>
    </row>
    <row r="9888" spans="8:18" x14ac:dyDescent="0.35">
      <c r="H9888" s="13"/>
      <c r="I9888" s="13"/>
      <c r="J9888" s="13"/>
      <c r="K9888" s="13"/>
      <c r="L9888" s="13"/>
      <c r="M9888" s="13"/>
      <c r="N9888" s="13"/>
      <c r="O9888" s="13"/>
      <c r="P9888" s="13"/>
      <c r="Q9888" s="13"/>
      <c r="R9888" s="13"/>
    </row>
    <row r="9889" spans="8:18" x14ac:dyDescent="0.35">
      <c r="H9889" s="13"/>
      <c r="I9889" s="13"/>
      <c r="J9889" s="13"/>
      <c r="K9889" s="13"/>
      <c r="L9889" s="13"/>
      <c r="M9889" s="13"/>
      <c r="N9889" s="13"/>
      <c r="O9889" s="13"/>
      <c r="P9889" s="13"/>
      <c r="Q9889" s="13"/>
      <c r="R9889" s="13"/>
    </row>
    <row r="9890" spans="8:18" x14ac:dyDescent="0.35">
      <c r="H9890" s="13"/>
      <c r="I9890" s="13"/>
      <c r="J9890" s="13"/>
      <c r="K9890" s="13"/>
      <c r="L9890" s="13"/>
      <c r="M9890" s="13"/>
      <c r="N9890" s="13"/>
      <c r="O9890" s="13"/>
      <c r="P9890" s="13"/>
      <c r="Q9890" s="13"/>
      <c r="R9890" s="13"/>
    </row>
    <row r="9891" spans="8:18" x14ac:dyDescent="0.35">
      <c r="H9891" s="13"/>
      <c r="I9891" s="13"/>
      <c r="J9891" s="13"/>
      <c r="K9891" s="13"/>
      <c r="L9891" s="13"/>
      <c r="M9891" s="13"/>
      <c r="N9891" s="13"/>
      <c r="O9891" s="13"/>
      <c r="P9891" s="13"/>
      <c r="Q9891" s="13"/>
      <c r="R9891" s="13"/>
    </row>
    <row r="9892" spans="8:18" x14ac:dyDescent="0.35">
      <c r="H9892" s="13"/>
      <c r="I9892" s="13"/>
      <c r="J9892" s="13"/>
      <c r="K9892" s="13"/>
      <c r="L9892" s="13"/>
      <c r="M9892" s="13"/>
      <c r="N9892" s="13"/>
      <c r="O9892" s="13"/>
      <c r="P9892" s="13"/>
      <c r="Q9892" s="13"/>
      <c r="R9892" s="13"/>
    </row>
    <row r="9893" spans="8:18" x14ac:dyDescent="0.35">
      <c r="H9893" s="13"/>
      <c r="I9893" s="13"/>
      <c r="J9893" s="13"/>
      <c r="K9893" s="13"/>
      <c r="L9893" s="13"/>
      <c r="M9893" s="13"/>
      <c r="N9893" s="13"/>
      <c r="O9893" s="13"/>
      <c r="P9893" s="13"/>
      <c r="Q9893" s="13"/>
      <c r="R9893" s="13"/>
    </row>
    <row r="9894" spans="8:18" x14ac:dyDescent="0.35">
      <c r="H9894" s="13"/>
      <c r="I9894" s="13"/>
      <c r="J9894" s="13"/>
      <c r="K9894" s="13"/>
      <c r="L9894" s="13"/>
      <c r="M9894" s="13"/>
      <c r="N9894" s="13"/>
      <c r="O9894" s="13"/>
      <c r="P9894" s="13"/>
      <c r="Q9894" s="13"/>
      <c r="R9894" s="13"/>
    </row>
    <row r="9895" spans="8:18" x14ac:dyDescent="0.35">
      <c r="H9895" s="13"/>
      <c r="I9895" s="13"/>
      <c r="J9895" s="13"/>
      <c r="K9895" s="13"/>
      <c r="L9895" s="13"/>
      <c r="M9895" s="13"/>
      <c r="N9895" s="13"/>
      <c r="O9895" s="13"/>
      <c r="P9895" s="13"/>
      <c r="Q9895" s="13"/>
      <c r="R9895" s="13"/>
    </row>
    <row r="9896" spans="8:18" x14ac:dyDescent="0.35">
      <c r="H9896" s="13"/>
      <c r="I9896" s="13"/>
      <c r="J9896" s="13"/>
      <c r="K9896" s="13"/>
      <c r="L9896" s="13"/>
      <c r="M9896" s="13"/>
      <c r="N9896" s="13"/>
      <c r="O9896" s="13"/>
      <c r="P9896" s="13"/>
      <c r="Q9896" s="13"/>
      <c r="R9896" s="13"/>
    </row>
    <row r="9897" spans="8:18" x14ac:dyDescent="0.35">
      <c r="H9897" s="13"/>
      <c r="I9897" s="13"/>
      <c r="J9897" s="13"/>
      <c r="K9897" s="13"/>
      <c r="L9897" s="13"/>
      <c r="M9897" s="13"/>
      <c r="N9897" s="13"/>
      <c r="O9897" s="13"/>
      <c r="P9897" s="13"/>
      <c r="Q9897" s="13"/>
      <c r="R9897" s="13"/>
    </row>
    <row r="9898" spans="8:18" x14ac:dyDescent="0.35">
      <c r="H9898" s="13"/>
      <c r="I9898" s="13"/>
      <c r="J9898" s="13"/>
      <c r="K9898" s="13"/>
      <c r="L9898" s="13"/>
      <c r="M9898" s="13"/>
      <c r="N9898" s="13"/>
      <c r="O9898" s="13"/>
      <c r="P9898" s="13"/>
      <c r="Q9898" s="13"/>
      <c r="R9898" s="13"/>
    </row>
    <row r="9899" spans="8:18" x14ac:dyDescent="0.35">
      <c r="H9899" s="13"/>
      <c r="I9899" s="13"/>
      <c r="J9899" s="13"/>
      <c r="K9899" s="13"/>
      <c r="L9899" s="13"/>
      <c r="M9899" s="13"/>
      <c r="N9899" s="13"/>
      <c r="O9899" s="13"/>
      <c r="P9899" s="13"/>
      <c r="Q9899" s="13"/>
      <c r="R9899" s="13"/>
    </row>
    <row r="9900" spans="8:18" x14ac:dyDescent="0.35">
      <c r="H9900" s="13"/>
      <c r="I9900" s="13"/>
      <c r="J9900" s="13"/>
      <c r="K9900" s="13"/>
      <c r="L9900" s="13"/>
      <c r="M9900" s="13"/>
      <c r="N9900" s="13"/>
      <c r="O9900" s="13"/>
      <c r="P9900" s="13"/>
      <c r="Q9900" s="13"/>
      <c r="R9900" s="13"/>
    </row>
    <row r="9901" spans="8:18" x14ac:dyDescent="0.35">
      <c r="H9901" s="13"/>
      <c r="I9901" s="13"/>
      <c r="J9901" s="13"/>
      <c r="K9901" s="13"/>
      <c r="L9901" s="13"/>
      <c r="M9901" s="13"/>
      <c r="N9901" s="13"/>
      <c r="O9901" s="13"/>
      <c r="P9901" s="13"/>
      <c r="Q9901" s="13"/>
      <c r="R9901" s="13"/>
    </row>
    <row r="9902" spans="8:18" x14ac:dyDescent="0.35">
      <c r="H9902" s="13"/>
      <c r="I9902" s="13"/>
      <c r="J9902" s="13"/>
      <c r="K9902" s="13"/>
      <c r="L9902" s="13"/>
      <c r="M9902" s="13"/>
      <c r="N9902" s="13"/>
      <c r="O9902" s="13"/>
      <c r="P9902" s="13"/>
      <c r="Q9902" s="13"/>
      <c r="R9902" s="13"/>
    </row>
    <row r="9903" spans="8:18" x14ac:dyDescent="0.35">
      <c r="H9903" s="13"/>
      <c r="I9903" s="13"/>
      <c r="J9903" s="13"/>
      <c r="K9903" s="13"/>
      <c r="L9903" s="13"/>
      <c r="M9903" s="13"/>
      <c r="N9903" s="13"/>
      <c r="O9903" s="13"/>
      <c r="P9903" s="13"/>
      <c r="Q9903" s="13"/>
      <c r="R9903" s="13"/>
    </row>
    <row r="9904" spans="8:18" x14ac:dyDescent="0.35">
      <c r="H9904" s="13"/>
      <c r="I9904" s="13"/>
      <c r="J9904" s="13"/>
      <c r="K9904" s="13"/>
      <c r="L9904" s="13"/>
      <c r="M9904" s="13"/>
      <c r="N9904" s="13"/>
      <c r="O9904" s="13"/>
      <c r="P9904" s="13"/>
      <c r="Q9904" s="13"/>
      <c r="R9904" s="13"/>
    </row>
    <row r="9905" spans="8:18" x14ac:dyDescent="0.35">
      <c r="H9905" s="13"/>
      <c r="I9905" s="13"/>
      <c r="J9905" s="13"/>
      <c r="K9905" s="13"/>
      <c r="L9905" s="13"/>
      <c r="M9905" s="13"/>
      <c r="N9905" s="13"/>
      <c r="O9905" s="13"/>
      <c r="P9905" s="13"/>
      <c r="Q9905" s="13"/>
      <c r="R9905" s="13"/>
    </row>
    <row r="9906" spans="8:18" x14ac:dyDescent="0.35">
      <c r="H9906" s="13"/>
      <c r="I9906" s="13"/>
      <c r="J9906" s="13"/>
      <c r="K9906" s="13"/>
      <c r="L9906" s="13"/>
      <c r="M9906" s="13"/>
      <c r="N9906" s="13"/>
      <c r="O9906" s="13"/>
      <c r="P9906" s="13"/>
      <c r="Q9906" s="13"/>
      <c r="R9906" s="13"/>
    </row>
    <row r="9907" spans="8:18" x14ac:dyDescent="0.35">
      <c r="H9907" s="13"/>
      <c r="I9907" s="13"/>
      <c r="J9907" s="13"/>
      <c r="K9907" s="13"/>
      <c r="L9907" s="13"/>
      <c r="M9907" s="13"/>
      <c r="N9907" s="13"/>
      <c r="O9907" s="13"/>
      <c r="P9907" s="13"/>
      <c r="Q9907" s="13"/>
      <c r="R9907" s="13"/>
    </row>
    <row r="9908" spans="8:18" x14ac:dyDescent="0.35">
      <c r="H9908" s="13"/>
      <c r="I9908" s="13"/>
      <c r="J9908" s="13"/>
      <c r="K9908" s="13"/>
      <c r="L9908" s="13"/>
      <c r="M9908" s="13"/>
      <c r="N9908" s="13"/>
      <c r="O9908" s="13"/>
      <c r="P9908" s="13"/>
      <c r="Q9908" s="13"/>
      <c r="R9908" s="13"/>
    </row>
    <row r="9909" spans="8:18" x14ac:dyDescent="0.35">
      <c r="H9909" s="13"/>
      <c r="I9909" s="13"/>
      <c r="J9909" s="13"/>
      <c r="K9909" s="13"/>
      <c r="L9909" s="13"/>
      <c r="M9909" s="13"/>
      <c r="N9909" s="13"/>
      <c r="O9909" s="13"/>
      <c r="P9909" s="13"/>
      <c r="Q9909" s="13"/>
      <c r="R9909" s="13"/>
    </row>
    <row r="9910" spans="8:18" x14ac:dyDescent="0.35">
      <c r="H9910" s="13"/>
      <c r="I9910" s="13"/>
      <c r="J9910" s="13"/>
      <c r="K9910" s="13"/>
      <c r="L9910" s="13"/>
      <c r="M9910" s="13"/>
      <c r="N9910" s="13"/>
      <c r="O9910" s="13"/>
      <c r="P9910" s="13"/>
      <c r="Q9910" s="13"/>
      <c r="R9910" s="13"/>
    </row>
    <row r="9911" spans="8:18" x14ac:dyDescent="0.35">
      <c r="H9911" s="13"/>
      <c r="I9911" s="13"/>
      <c r="J9911" s="13"/>
      <c r="K9911" s="13"/>
      <c r="L9911" s="13"/>
      <c r="M9911" s="13"/>
      <c r="N9911" s="13"/>
      <c r="O9911" s="13"/>
      <c r="P9911" s="13"/>
      <c r="Q9911" s="13"/>
      <c r="R9911" s="13"/>
    </row>
    <row r="9912" spans="8:18" x14ac:dyDescent="0.35">
      <c r="H9912" s="13"/>
      <c r="I9912" s="13"/>
      <c r="J9912" s="13"/>
      <c r="K9912" s="13"/>
      <c r="L9912" s="13"/>
      <c r="M9912" s="13"/>
      <c r="N9912" s="13"/>
      <c r="O9912" s="13"/>
      <c r="P9912" s="13"/>
      <c r="Q9912" s="13"/>
      <c r="R9912" s="13"/>
    </row>
    <row r="9913" spans="8:18" x14ac:dyDescent="0.35">
      <c r="H9913" s="13"/>
      <c r="I9913" s="13"/>
      <c r="J9913" s="13"/>
      <c r="K9913" s="13"/>
      <c r="L9913" s="13"/>
      <c r="M9913" s="13"/>
      <c r="N9913" s="13"/>
      <c r="O9913" s="13"/>
      <c r="P9913" s="13"/>
      <c r="Q9913" s="13"/>
      <c r="R9913" s="13"/>
    </row>
    <row r="9914" spans="8:18" x14ac:dyDescent="0.35">
      <c r="H9914" s="13"/>
      <c r="I9914" s="13"/>
      <c r="J9914" s="13"/>
      <c r="K9914" s="13"/>
      <c r="L9914" s="13"/>
      <c r="M9914" s="13"/>
      <c r="N9914" s="13"/>
      <c r="O9914" s="13"/>
      <c r="P9914" s="13"/>
      <c r="Q9914" s="13"/>
      <c r="R9914" s="13"/>
    </row>
    <row r="9915" spans="8:18" x14ac:dyDescent="0.35">
      <c r="H9915" s="13"/>
      <c r="I9915" s="13"/>
      <c r="J9915" s="13"/>
      <c r="K9915" s="13"/>
      <c r="L9915" s="13"/>
      <c r="M9915" s="13"/>
      <c r="N9915" s="13"/>
      <c r="O9915" s="13"/>
      <c r="P9915" s="13"/>
      <c r="Q9915" s="13"/>
      <c r="R9915" s="13"/>
    </row>
    <row r="9916" spans="8:18" x14ac:dyDescent="0.35">
      <c r="H9916" s="13"/>
      <c r="I9916" s="13"/>
      <c r="J9916" s="13"/>
      <c r="K9916" s="13"/>
      <c r="L9916" s="13"/>
      <c r="M9916" s="13"/>
      <c r="N9916" s="13"/>
      <c r="O9916" s="13"/>
      <c r="P9916" s="13"/>
      <c r="Q9916" s="13"/>
      <c r="R9916" s="13"/>
    </row>
    <row r="9917" spans="8:18" x14ac:dyDescent="0.35">
      <c r="H9917" s="13"/>
      <c r="I9917" s="13"/>
      <c r="J9917" s="13"/>
      <c r="K9917" s="13"/>
      <c r="L9917" s="13"/>
      <c r="M9917" s="13"/>
      <c r="N9917" s="13"/>
      <c r="O9917" s="13"/>
      <c r="P9917" s="13"/>
      <c r="Q9917" s="13"/>
      <c r="R9917" s="13"/>
    </row>
    <row r="9918" spans="8:18" x14ac:dyDescent="0.35">
      <c r="H9918" s="13"/>
      <c r="I9918" s="13"/>
      <c r="J9918" s="13"/>
      <c r="K9918" s="13"/>
      <c r="L9918" s="13"/>
      <c r="M9918" s="13"/>
      <c r="N9918" s="13"/>
      <c r="O9918" s="13"/>
      <c r="P9918" s="13"/>
      <c r="Q9918" s="13"/>
      <c r="R9918" s="13"/>
    </row>
    <row r="9919" spans="8:18" x14ac:dyDescent="0.35">
      <c r="H9919" s="13"/>
      <c r="I9919" s="13"/>
      <c r="J9919" s="13"/>
      <c r="K9919" s="13"/>
      <c r="L9919" s="13"/>
      <c r="M9919" s="13"/>
      <c r="N9919" s="13"/>
      <c r="O9919" s="13"/>
      <c r="P9919" s="13"/>
      <c r="Q9919" s="13"/>
      <c r="R9919" s="13"/>
    </row>
    <row r="9920" spans="8:18" x14ac:dyDescent="0.35">
      <c r="H9920" s="13"/>
      <c r="I9920" s="13"/>
      <c r="J9920" s="13"/>
      <c r="K9920" s="13"/>
      <c r="L9920" s="13"/>
      <c r="M9920" s="13"/>
      <c r="N9920" s="13"/>
      <c r="O9920" s="13"/>
      <c r="P9920" s="13"/>
      <c r="Q9920" s="13"/>
      <c r="R9920" s="13"/>
    </row>
    <row r="9921" spans="8:18" x14ac:dyDescent="0.35">
      <c r="H9921" s="13"/>
      <c r="I9921" s="13"/>
      <c r="J9921" s="13"/>
      <c r="K9921" s="13"/>
      <c r="L9921" s="13"/>
      <c r="M9921" s="13"/>
      <c r="N9921" s="13"/>
      <c r="O9921" s="13"/>
      <c r="P9921" s="13"/>
      <c r="Q9921" s="13"/>
      <c r="R9921" s="13"/>
    </row>
    <row r="9922" spans="8:18" x14ac:dyDescent="0.35">
      <c r="H9922" s="13"/>
      <c r="I9922" s="13"/>
      <c r="J9922" s="13"/>
      <c r="K9922" s="13"/>
      <c r="L9922" s="13"/>
      <c r="M9922" s="13"/>
      <c r="N9922" s="13"/>
      <c r="O9922" s="13"/>
      <c r="P9922" s="13"/>
      <c r="Q9922" s="13"/>
      <c r="R9922" s="13"/>
    </row>
    <row r="9923" spans="8:18" x14ac:dyDescent="0.35">
      <c r="H9923" s="13"/>
      <c r="I9923" s="13"/>
      <c r="J9923" s="13"/>
      <c r="K9923" s="13"/>
      <c r="L9923" s="13"/>
      <c r="M9923" s="13"/>
      <c r="N9923" s="13"/>
      <c r="O9923" s="13"/>
      <c r="P9923" s="13"/>
      <c r="Q9923" s="13"/>
      <c r="R9923" s="13"/>
    </row>
    <row r="9924" spans="8:18" x14ac:dyDescent="0.35">
      <c r="H9924" s="13"/>
      <c r="I9924" s="13"/>
      <c r="J9924" s="13"/>
      <c r="K9924" s="13"/>
      <c r="L9924" s="13"/>
      <c r="M9924" s="13"/>
      <c r="N9924" s="13"/>
      <c r="O9924" s="13"/>
      <c r="P9924" s="13"/>
      <c r="Q9924" s="13"/>
      <c r="R9924" s="13"/>
    </row>
    <row r="9925" spans="8:18" x14ac:dyDescent="0.35">
      <c r="H9925" s="13"/>
      <c r="I9925" s="13"/>
      <c r="J9925" s="13"/>
      <c r="K9925" s="13"/>
      <c r="L9925" s="13"/>
      <c r="M9925" s="13"/>
      <c r="N9925" s="13"/>
      <c r="O9925" s="13"/>
      <c r="P9925" s="13"/>
      <c r="Q9925" s="13"/>
      <c r="R9925" s="13"/>
    </row>
    <row r="9926" spans="8:18" x14ac:dyDescent="0.35">
      <c r="H9926" s="13"/>
      <c r="I9926" s="13"/>
      <c r="J9926" s="13"/>
      <c r="K9926" s="13"/>
      <c r="L9926" s="13"/>
      <c r="M9926" s="13"/>
      <c r="N9926" s="13"/>
      <c r="O9926" s="13"/>
      <c r="P9926" s="13"/>
      <c r="Q9926" s="13"/>
      <c r="R9926" s="13"/>
    </row>
    <row r="9927" spans="8:18" x14ac:dyDescent="0.35">
      <c r="H9927" s="13"/>
      <c r="I9927" s="13"/>
      <c r="J9927" s="13"/>
      <c r="K9927" s="13"/>
      <c r="L9927" s="13"/>
      <c r="M9927" s="13"/>
      <c r="N9927" s="13"/>
      <c r="O9927" s="13"/>
      <c r="P9927" s="13"/>
      <c r="Q9927" s="13"/>
      <c r="R9927" s="13"/>
    </row>
    <row r="9928" spans="8:18" x14ac:dyDescent="0.35">
      <c r="H9928" s="13"/>
      <c r="I9928" s="13"/>
      <c r="J9928" s="13"/>
      <c r="K9928" s="13"/>
      <c r="L9928" s="13"/>
      <c r="M9928" s="13"/>
      <c r="N9928" s="13"/>
      <c r="O9928" s="13"/>
      <c r="P9928" s="13"/>
      <c r="Q9928" s="13"/>
      <c r="R9928" s="13"/>
    </row>
    <row r="9929" spans="8:18" x14ac:dyDescent="0.35">
      <c r="H9929" s="13"/>
      <c r="I9929" s="13"/>
      <c r="J9929" s="13"/>
      <c r="K9929" s="13"/>
      <c r="L9929" s="13"/>
      <c r="M9929" s="13"/>
      <c r="N9929" s="13"/>
      <c r="O9929" s="13"/>
      <c r="P9929" s="13"/>
      <c r="Q9929" s="13"/>
      <c r="R9929" s="13"/>
    </row>
    <row r="9930" spans="8:18" x14ac:dyDescent="0.35">
      <c r="H9930" s="13"/>
      <c r="I9930" s="13"/>
      <c r="J9930" s="13"/>
      <c r="K9930" s="13"/>
      <c r="L9930" s="13"/>
      <c r="M9930" s="13"/>
      <c r="N9930" s="13"/>
      <c r="O9930" s="13"/>
      <c r="P9930" s="13"/>
      <c r="Q9930" s="13"/>
      <c r="R9930" s="13"/>
    </row>
    <row r="9931" spans="8:18" x14ac:dyDescent="0.35">
      <c r="H9931" s="13"/>
      <c r="I9931" s="13"/>
      <c r="J9931" s="13"/>
      <c r="K9931" s="13"/>
      <c r="L9931" s="13"/>
      <c r="M9931" s="13"/>
      <c r="N9931" s="13"/>
      <c r="O9931" s="13"/>
      <c r="P9931" s="13"/>
      <c r="Q9931" s="13"/>
      <c r="R9931" s="13"/>
    </row>
    <row r="9932" spans="8:18" x14ac:dyDescent="0.35">
      <c r="H9932" s="13"/>
      <c r="I9932" s="13"/>
      <c r="J9932" s="13"/>
      <c r="K9932" s="13"/>
      <c r="L9932" s="13"/>
      <c r="M9932" s="13"/>
      <c r="N9932" s="13"/>
      <c r="O9932" s="13"/>
      <c r="P9932" s="13"/>
      <c r="Q9932" s="13"/>
      <c r="R9932" s="13"/>
    </row>
    <row r="9933" spans="8:18" x14ac:dyDescent="0.35">
      <c r="H9933" s="13"/>
      <c r="I9933" s="13"/>
      <c r="J9933" s="13"/>
      <c r="K9933" s="13"/>
      <c r="L9933" s="13"/>
      <c r="M9933" s="13"/>
      <c r="N9933" s="13"/>
      <c r="O9933" s="13"/>
      <c r="P9933" s="13"/>
      <c r="Q9933" s="13"/>
      <c r="R9933" s="13"/>
    </row>
    <row r="9934" spans="8:18" x14ac:dyDescent="0.35">
      <c r="H9934" s="13"/>
      <c r="I9934" s="13"/>
      <c r="J9934" s="13"/>
      <c r="K9934" s="13"/>
      <c r="L9934" s="13"/>
      <c r="M9934" s="13"/>
      <c r="N9934" s="13"/>
      <c r="O9934" s="13"/>
      <c r="P9934" s="13"/>
      <c r="Q9934" s="13"/>
      <c r="R9934" s="13"/>
    </row>
    <row r="9935" spans="8:18" x14ac:dyDescent="0.35">
      <c r="H9935" s="13"/>
      <c r="I9935" s="13"/>
      <c r="J9935" s="13"/>
      <c r="K9935" s="13"/>
      <c r="L9935" s="13"/>
      <c r="M9935" s="13"/>
      <c r="N9935" s="13"/>
      <c r="O9935" s="13"/>
      <c r="P9935" s="13"/>
      <c r="Q9935" s="13"/>
      <c r="R9935" s="13"/>
    </row>
    <row r="9936" spans="8:18" x14ac:dyDescent="0.35">
      <c r="H9936" s="13"/>
      <c r="I9936" s="13"/>
      <c r="J9936" s="13"/>
      <c r="K9936" s="13"/>
      <c r="L9936" s="13"/>
      <c r="M9936" s="13"/>
      <c r="N9936" s="13"/>
      <c r="O9936" s="13"/>
      <c r="P9936" s="13"/>
      <c r="Q9936" s="13"/>
      <c r="R9936" s="13"/>
    </row>
    <row r="9937" spans="8:18" x14ac:dyDescent="0.35">
      <c r="H9937" s="13"/>
      <c r="I9937" s="13"/>
      <c r="J9937" s="13"/>
      <c r="K9937" s="13"/>
      <c r="L9937" s="13"/>
      <c r="M9937" s="13"/>
      <c r="N9937" s="13"/>
      <c r="O9937" s="13"/>
      <c r="P9937" s="13"/>
      <c r="Q9937" s="13"/>
      <c r="R9937" s="13"/>
    </row>
    <row r="9938" spans="8:18" x14ac:dyDescent="0.35">
      <c r="H9938" s="13"/>
      <c r="I9938" s="13"/>
      <c r="J9938" s="13"/>
      <c r="K9938" s="13"/>
      <c r="L9938" s="13"/>
      <c r="M9938" s="13"/>
      <c r="N9938" s="13"/>
      <c r="O9938" s="13"/>
      <c r="P9938" s="13"/>
      <c r="Q9938" s="13"/>
      <c r="R9938" s="13"/>
    </row>
    <row r="9939" spans="8:18" x14ac:dyDescent="0.35">
      <c r="H9939" s="13"/>
      <c r="I9939" s="13"/>
      <c r="J9939" s="13"/>
      <c r="K9939" s="13"/>
      <c r="L9939" s="13"/>
      <c r="M9939" s="13"/>
      <c r="N9939" s="13"/>
      <c r="O9939" s="13"/>
      <c r="P9939" s="13"/>
      <c r="Q9939" s="13"/>
      <c r="R9939" s="13"/>
    </row>
    <row r="9940" spans="8:18" x14ac:dyDescent="0.35">
      <c r="H9940" s="13"/>
      <c r="I9940" s="13"/>
      <c r="J9940" s="13"/>
      <c r="K9940" s="13"/>
      <c r="L9940" s="13"/>
      <c r="M9940" s="13"/>
      <c r="N9940" s="13"/>
      <c r="O9940" s="13"/>
      <c r="P9940" s="13"/>
      <c r="Q9940" s="13"/>
      <c r="R9940" s="13"/>
    </row>
    <row r="9941" spans="8:18" x14ac:dyDescent="0.35">
      <c r="H9941" s="13"/>
      <c r="I9941" s="13"/>
      <c r="J9941" s="13"/>
      <c r="K9941" s="13"/>
      <c r="L9941" s="13"/>
      <c r="M9941" s="13"/>
      <c r="N9941" s="13"/>
      <c r="O9941" s="13"/>
      <c r="P9941" s="13"/>
      <c r="Q9941" s="13"/>
      <c r="R9941" s="13"/>
    </row>
    <row r="9942" spans="8:18" x14ac:dyDescent="0.35">
      <c r="H9942" s="13"/>
      <c r="I9942" s="13"/>
      <c r="J9942" s="13"/>
      <c r="K9942" s="13"/>
      <c r="L9942" s="13"/>
      <c r="M9942" s="13"/>
      <c r="N9942" s="13"/>
      <c r="O9942" s="13"/>
      <c r="P9942" s="13"/>
      <c r="Q9942" s="13"/>
      <c r="R9942" s="13"/>
    </row>
    <row r="9943" spans="8:18" x14ac:dyDescent="0.35">
      <c r="H9943" s="13"/>
      <c r="I9943" s="13"/>
      <c r="J9943" s="13"/>
      <c r="K9943" s="13"/>
      <c r="L9943" s="13"/>
      <c r="M9943" s="13"/>
      <c r="N9943" s="13"/>
      <c r="O9943" s="13"/>
      <c r="P9943" s="13"/>
      <c r="Q9943" s="13"/>
      <c r="R9943" s="13"/>
    </row>
    <row r="9944" spans="8:18" x14ac:dyDescent="0.35">
      <c r="H9944" s="13"/>
      <c r="I9944" s="13"/>
      <c r="J9944" s="13"/>
      <c r="K9944" s="13"/>
      <c r="L9944" s="13"/>
      <c r="M9944" s="13"/>
      <c r="N9944" s="13"/>
      <c r="O9944" s="13"/>
      <c r="P9944" s="13"/>
      <c r="Q9944" s="13"/>
      <c r="R9944" s="13"/>
    </row>
    <row r="9945" spans="8:18" x14ac:dyDescent="0.35">
      <c r="H9945" s="13"/>
      <c r="I9945" s="13"/>
      <c r="J9945" s="13"/>
      <c r="K9945" s="13"/>
      <c r="L9945" s="13"/>
      <c r="M9945" s="13"/>
      <c r="N9945" s="13"/>
      <c r="O9945" s="13"/>
      <c r="P9945" s="13"/>
      <c r="Q9945" s="13"/>
      <c r="R9945" s="13"/>
    </row>
    <row r="9946" spans="8:18" x14ac:dyDescent="0.35">
      <c r="H9946" s="13"/>
      <c r="I9946" s="13"/>
      <c r="J9946" s="13"/>
      <c r="K9946" s="13"/>
      <c r="L9946" s="13"/>
      <c r="M9946" s="13"/>
      <c r="N9946" s="13"/>
      <c r="O9946" s="13"/>
      <c r="P9946" s="13"/>
      <c r="Q9946" s="13"/>
      <c r="R9946" s="13"/>
    </row>
    <row r="9947" spans="8:18" x14ac:dyDescent="0.35">
      <c r="H9947" s="13"/>
      <c r="I9947" s="13"/>
      <c r="J9947" s="13"/>
      <c r="K9947" s="13"/>
      <c r="L9947" s="13"/>
      <c r="M9947" s="13"/>
      <c r="N9947" s="13"/>
      <c r="O9947" s="13"/>
      <c r="P9947" s="13"/>
      <c r="Q9947" s="13"/>
      <c r="R9947" s="13"/>
    </row>
    <row r="9948" spans="8:18" x14ac:dyDescent="0.35">
      <c r="H9948" s="13"/>
      <c r="I9948" s="13"/>
      <c r="J9948" s="13"/>
      <c r="K9948" s="13"/>
      <c r="L9948" s="13"/>
      <c r="M9948" s="13"/>
      <c r="N9948" s="13"/>
      <c r="O9948" s="13"/>
      <c r="P9948" s="13"/>
      <c r="Q9948" s="13"/>
      <c r="R9948" s="13"/>
    </row>
    <row r="9949" spans="8:18" x14ac:dyDescent="0.35">
      <c r="H9949" s="13"/>
      <c r="I9949" s="13"/>
      <c r="J9949" s="13"/>
      <c r="K9949" s="13"/>
      <c r="L9949" s="13"/>
      <c r="M9949" s="13"/>
      <c r="N9949" s="13"/>
      <c r="O9949" s="13"/>
      <c r="P9949" s="13"/>
      <c r="Q9949" s="13"/>
      <c r="R9949" s="13"/>
    </row>
    <row r="9950" spans="8:18" x14ac:dyDescent="0.35">
      <c r="H9950" s="13"/>
      <c r="I9950" s="13"/>
      <c r="J9950" s="13"/>
      <c r="K9950" s="13"/>
      <c r="L9950" s="13"/>
      <c r="M9950" s="13"/>
      <c r="N9950" s="13"/>
      <c r="O9950" s="13"/>
      <c r="P9950" s="13"/>
      <c r="Q9950" s="13"/>
      <c r="R9950" s="13"/>
    </row>
    <row r="9951" spans="8:18" x14ac:dyDescent="0.35">
      <c r="H9951" s="13"/>
      <c r="I9951" s="13"/>
      <c r="J9951" s="13"/>
      <c r="K9951" s="13"/>
      <c r="L9951" s="13"/>
      <c r="M9951" s="13"/>
      <c r="N9951" s="13"/>
      <c r="O9951" s="13"/>
      <c r="P9951" s="13"/>
      <c r="Q9951" s="13"/>
      <c r="R9951" s="13"/>
    </row>
    <row r="9952" spans="8:18" x14ac:dyDescent="0.35">
      <c r="H9952" s="13"/>
      <c r="I9952" s="13"/>
      <c r="J9952" s="13"/>
      <c r="K9952" s="13"/>
      <c r="L9952" s="13"/>
      <c r="M9952" s="13"/>
      <c r="N9952" s="13"/>
      <c r="O9952" s="13"/>
      <c r="P9952" s="13"/>
      <c r="Q9952" s="13"/>
      <c r="R9952" s="13"/>
    </row>
    <row r="9953" spans="8:18" x14ac:dyDescent="0.35">
      <c r="H9953" s="13"/>
      <c r="I9953" s="13"/>
      <c r="J9953" s="13"/>
      <c r="K9953" s="13"/>
      <c r="L9953" s="13"/>
      <c r="M9953" s="13"/>
      <c r="N9953" s="13"/>
      <c r="O9953" s="13"/>
      <c r="P9953" s="13"/>
      <c r="Q9953" s="13"/>
      <c r="R9953" s="13"/>
    </row>
    <row r="9954" spans="8:18" x14ac:dyDescent="0.35">
      <c r="H9954" s="13"/>
      <c r="I9954" s="13"/>
      <c r="J9954" s="13"/>
      <c r="K9954" s="13"/>
      <c r="L9954" s="13"/>
      <c r="M9954" s="13"/>
      <c r="N9954" s="13"/>
      <c r="O9954" s="13"/>
      <c r="P9954" s="13"/>
      <c r="Q9954" s="13"/>
      <c r="R9954" s="13"/>
    </row>
    <row r="9955" spans="8:18" x14ac:dyDescent="0.35">
      <c r="H9955" s="13"/>
      <c r="I9955" s="13"/>
      <c r="J9955" s="13"/>
      <c r="K9955" s="13"/>
      <c r="L9955" s="13"/>
      <c r="M9955" s="13"/>
      <c r="N9955" s="13"/>
      <c r="O9955" s="13"/>
      <c r="P9955" s="13"/>
      <c r="Q9955" s="13"/>
      <c r="R9955" s="13"/>
    </row>
    <row r="9956" spans="8:18" x14ac:dyDescent="0.35">
      <c r="H9956" s="13"/>
      <c r="I9956" s="13"/>
      <c r="J9956" s="13"/>
      <c r="K9956" s="13"/>
      <c r="L9956" s="13"/>
      <c r="M9956" s="13"/>
      <c r="N9956" s="13"/>
      <c r="O9956" s="13"/>
      <c r="P9956" s="13"/>
      <c r="Q9956" s="13"/>
      <c r="R9956" s="13"/>
    </row>
    <row r="9957" spans="8:18" x14ac:dyDescent="0.35">
      <c r="H9957" s="13"/>
      <c r="I9957" s="13"/>
      <c r="J9957" s="13"/>
      <c r="K9957" s="13"/>
      <c r="L9957" s="13"/>
      <c r="M9957" s="13"/>
      <c r="N9957" s="13"/>
      <c r="O9957" s="13"/>
      <c r="P9957" s="13"/>
      <c r="Q9957" s="13"/>
      <c r="R9957" s="13"/>
    </row>
    <row r="9958" spans="8:18" x14ac:dyDescent="0.35">
      <c r="H9958" s="13"/>
      <c r="I9958" s="13"/>
      <c r="J9958" s="13"/>
      <c r="K9958" s="13"/>
      <c r="L9958" s="13"/>
      <c r="M9958" s="13"/>
      <c r="N9958" s="13"/>
      <c r="O9958" s="13"/>
      <c r="P9958" s="13"/>
      <c r="Q9958" s="13"/>
      <c r="R9958" s="13"/>
    </row>
    <row r="9959" spans="8:18" x14ac:dyDescent="0.35">
      <c r="H9959" s="13"/>
      <c r="I9959" s="13"/>
      <c r="J9959" s="13"/>
      <c r="K9959" s="13"/>
      <c r="L9959" s="13"/>
      <c r="M9959" s="13"/>
      <c r="N9959" s="13"/>
      <c r="O9959" s="13"/>
      <c r="P9959" s="13"/>
      <c r="Q9959" s="13"/>
      <c r="R9959" s="13"/>
    </row>
    <row r="9960" spans="8:18" x14ac:dyDescent="0.35">
      <c r="H9960" s="13"/>
      <c r="I9960" s="13"/>
      <c r="J9960" s="13"/>
      <c r="K9960" s="13"/>
      <c r="L9960" s="13"/>
      <c r="M9960" s="13"/>
      <c r="N9960" s="13"/>
      <c r="O9960" s="13"/>
      <c r="P9960" s="13"/>
      <c r="Q9960" s="13"/>
      <c r="R9960" s="13"/>
    </row>
    <row r="9961" spans="8:18" x14ac:dyDescent="0.35">
      <c r="H9961" s="13"/>
      <c r="I9961" s="13"/>
      <c r="J9961" s="13"/>
      <c r="K9961" s="13"/>
      <c r="L9961" s="13"/>
      <c r="M9961" s="13"/>
      <c r="N9961" s="13"/>
      <c r="O9961" s="13"/>
      <c r="P9961" s="13"/>
      <c r="Q9961" s="13"/>
      <c r="R9961" s="13"/>
    </row>
    <row r="9962" spans="8:18" x14ac:dyDescent="0.35">
      <c r="H9962" s="13"/>
      <c r="I9962" s="13"/>
      <c r="J9962" s="13"/>
      <c r="K9962" s="13"/>
      <c r="L9962" s="13"/>
      <c r="M9962" s="13"/>
      <c r="N9962" s="13"/>
      <c r="O9962" s="13"/>
      <c r="P9962" s="13"/>
      <c r="Q9962" s="13"/>
      <c r="R9962" s="13"/>
    </row>
    <row r="9963" spans="8:18" x14ac:dyDescent="0.35">
      <c r="H9963" s="13"/>
      <c r="I9963" s="13"/>
      <c r="J9963" s="13"/>
      <c r="K9963" s="13"/>
      <c r="L9963" s="13"/>
      <c r="M9963" s="13"/>
      <c r="N9963" s="13"/>
      <c r="O9963" s="13"/>
      <c r="P9963" s="13"/>
      <c r="Q9963" s="13"/>
      <c r="R9963" s="13"/>
    </row>
    <row r="9964" spans="8:18" x14ac:dyDescent="0.35">
      <c r="H9964" s="13"/>
      <c r="I9964" s="13"/>
      <c r="J9964" s="13"/>
      <c r="K9964" s="13"/>
      <c r="L9964" s="13"/>
      <c r="M9964" s="13"/>
      <c r="N9964" s="13"/>
      <c r="O9964" s="13"/>
      <c r="P9964" s="13"/>
      <c r="Q9964" s="13"/>
      <c r="R9964" s="13"/>
    </row>
    <row r="9965" spans="8:18" x14ac:dyDescent="0.35">
      <c r="H9965" s="13"/>
      <c r="I9965" s="13"/>
      <c r="J9965" s="13"/>
      <c r="K9965" s="13"/>
      <c r="L9965" s="13"/>
      <c r="M9965" s="13"/>
      <c r="N9965" s="13"/>
      <c r="O9965" s="13"/>
      <c r="P9965" s="13"/>
      <c r="Q9965" s="13"/>
      <c r="R9965" s="13"/>
    </row>
    <row r="9966" spans="8:18" x14ac:dyDescent="0.35">
      <c r="H9966" s="13"/>
      <c r="I9966" s="13"/>
      <c r="J9966" s="13"/>
      <c r="K9966" s="13"/>
      <c r="L9966" s="13"/>
      <c r="M9966" s="13"/>
      <c r="N9966" s="13"/>
      <c r="O9966" s="13"/>
      <c r="P9966" s="13"/>
      <c r="Q9966" s="13"/>
      <c r="R9966" s="13"/>
    </row>
    <row r="9967" spans="8:18" x14ac:dyDescent="0.35">
      <c r="H9967" s="13"/>
      <c r="I9967" s="13"/>
      <c r="J9967" s="13"/>
      <c r="K9967" s="13"/>
      <c r="L9967" s="13"/>
      <c r="M9967" s="13"/>
      <c r="N9967" s="13"/>
      <c r="O9967" s="13"/>
      <c r="P9967" s="13"/>
      <c r="Q9967" s="13"/>
      <c r="R9967" s="13"/>
    </row>
    <row r="9968" spans="8:18" x14ac:dyDescent="0.35">
      <c r="H9968" s="13"/>
      <c r="I9968" s="13"/>
      <c r="J9968" s="13"/>
      <c r="K9968" s="13"/>
      <c r="L9968" s="13"/>
      <c r="M9968" s="13"/>
      <c r="N9968" s="13"/>
      <c r="O9968" s="13"/>
      <c r="P9968" s="13"/>
      <c r="Q9968" s="13"/>
      <c r="R9968" s="13"/>
    </row>
    <row r="9969" spans="8:18" x14ac:dyDescent="0.35">
      <c r="H9969" s="13"/>
      <c r="I9969" s="13"/>
      <c r="J9969" s="13"/>
      <c r="K9969" s="13"/>
      <c r="L9969" s="13"/>
      <c r="M9969" s="13"/>
      <c r="N9969" s="13"/>
      <c r="O9969" s="13"/>
      <c r="P9969" s="13"/>
      <c r="Q9969" s="13"/>
      <c r="R9969" s="13"/>
    </row>
    <row r="9970" spans="8:18" x14ac:dyDescent="0.35">
      <c r="H9970" s="13"/>
      <c r="I9970" s="13"/>
      <c r="J9970" s="13"/>
      <c r="K9970" s="13"/>
      <c r="L9970" s="13"/>
      <c r="M9970" s="13"/>
      <c r="N9970" s="13"/>
      <c r="O9970" s="13"/>
      <c r="P9970" s="13"/>
      <c r="Q9970" s="13"/>
      <c r="R9970" s="13"/>
    </row>
    <row r="9971" spans="8:18" x14ac:dyDescent="0.35">
      <c r="H9971" s="13"/>
      <c r="I9971" s="13"/>
      <c r="J9971" s="13"/>
      <c r="K9971" s="13"/>
      <c r="L9971" s="13"/>
      <c r="M9971" s="13"/>
      <c r="N9971" s="13"/>
      <c r="O9971" s="13"/>
      <c r="P9971" s="13"/>
      <c r="Q9971" s="13"/>
      <c r="R9971" s="13"/>
    </row>
    <row r="9972" spans="8:18" x14ac:dyDescent="0.35">
      <c r="H9972" s="13"/>
      <c r="I9972" s="13"/>
      <c r="J9972" s="13"/>
      <c r="K9972" s="13"/>
      <c r="L9972" s="13"/>
      <c r="M9972" s="13"/>
      <c r="N9972" s="13"/>
      <c r="O9972" s="13"/>
      <c r="P9972" s="13"/>
      <c r="Q9972" s="13"/>
      <c r="R9972" s="13"/>
    </row>
    <row r="9973" spans="8:18" x14ac:dyDescent="0.35">
      <c r="H9973" s="13"/>
      <c r="I9973" s="13"/>
      <c r="J9973" s="13"/>
      <c r="K9973" s="13"/>
      <c r="L9973" s="13"/>
      <c r="M9973" s="13"/>
      <c r="N9973" s="13"/>
      <c r="O9973" s="13"/>
      <c r="P9973" s="13"/>
      <c r="Q9973" s="13"/>
      <c r="R9973" s="13"/>
    </row>
    <row r="9974" spans="8:18" x14ac:dyDescent="0.35">
      <c r="H9974" s="13"/>
      <c r="I9974" s="13"/>
      <c r="J9974" s="13"/>
      <c r="K9974" s="13"/>
      <c r="L9974" s="13"/>
      <c r="M9974" s="13"/>
      <c r="N9974" s="13"/>
      <c r="O9974" s="13"/>
      <c r="P9974" s="13"/>
      <c r="Q9974" s="13"/>
      <c r="R9974" s="13"/>
    </row>
    <row r="9975" spans="8:18" x14ac:dyDescent="0.35">
      <c r="H9975" s="13"/>
      <c r="I9975" s="13"/>
      <c r="J9975" s="13"/>
      <c r="K9975" s="13"/>
      <c r="L9975" s="13"/>
      <c r="M9975" s="13"/>
      <c r="N9975" s="13"/>
      <c r="O9975" s="13"/>
      <c r="P9975" s="13"/>
      <c r="Q9975" s="13"/>
      <c r="R9975" s="13"/>
    </row>
    <row r="9976" spans="8:18" x14ac:dyDescent="0.35">
      <c r="H9976" s="13"/>
      <c r="I9976" s="13"/>
      <c r="J9976" s="13"/>
      <c r="K9976" s="13"/>
      <c r="L9976" s="13"/>
      <c r="M9976" s="13"/>
      <c r="N9976" s="13"/>
      <c r="O9976" s="13"/>
      <c r="P9976" s="13"/>
      <c r="Q9976" s="13"/>
      <c r="R9976" s="13"/>
    </row>
    <row r="9977" spans="8:18" x14ac:dyDescent="0.35">
      <c r="H9977" s="13"/>
      <c r="I9977" s="13"/>
      <c r="J9977" s="13"/>
      <c r="K9977" s="13"/>
      <c r="L9977" s="13"/>
      <c r="M9977" s="13"/>
      <c r="N9977" s="13"/>
      <c r="O9977" s="13"/>
      <c r="P9977" s="13"/>
      <c r="Q9977" s="13"/>
      <c r="R9977" s="13"/>
    </row>
    <row r="9978" spans="8:18" x14ac:dyDescent="0.35">
      <c r="H9978" s="13"/>
      <c r="I9978" s="13"/>
      <c r="J9978" s="13"/>
      <c r="K9978" s="13"/>
      <c r="L9978" s="13"/>
      <c r="M9978" s="13"/>
      <c r="N9978" s="13"/>
      <c r="O9978" s="13"/>
      <c r="P9978" s="13"/>
      <c r="Q9978" s="13"/>
      <c r="R9978" s="13"/>
    </row>
    <row r="9979" spans="8:18" x14ac:dyDescent="0.35">
      <c r="H9979" s="13"/>
      <c r="I9979" s="13"/>
      <c r="J9979" s="13"/>
      <c r="K9979" s="13"/>
      <c r="L9979" s="13"/>
      <c r="M9979" s="13"/>
      <c r="N9979" s="13"/>
      <c r="O9979" s="13"/>
      <c r="P9979" s="13"/>
      <c r="Q9979" s="13"/>
      <c r="R9979" s="13"/>
    </row>
    <row r="9980" spans="8:18" x14ac:dyDescent="0.35">
      <c r="H9980" s="13"/>
      <c r="I9980" s="13"/>
      <c r="J9980" s="13"/>
      <c r="K9980" s="13"/>
      <c r="L9980" s="13"/>
      <c r="M9980" s="13"/>
      <c r="N9980" s="13"/>
      <c r="O9980" s="13"/>
      <c r="P9980" s="13"/>
      <c r="Q9980" s="13"/>
      <c r="R9980" s="13"/>
    </row>
    <row r="9981" spans="8:18" x14ac:dyDescent="0.35">
      <c r="H9981" s="13"/>
      <c r="I9981" s="13"/>
      <c r="J9981" s="13"/>
      <c r="K9981" s="13"/>
      <c r="L9981" s="13"/>
      <c r="M9981" s="13"/>
      <c r="N9981" s="13"/>
      <c r="O9981" s="13"/>
      <c r="P9981" s="13"/>
      <c r="Q9981" s="13"/>
      <c r="R9981" s="13"/>
    </row>
    <row r="9982" spans="8:18" x14ac:dyDescent="0.35">
      <c r="H9982" s="13"/>
      <c r="I9982" s="13"/>
      <c r="J9982" s="13"/>
      <c r="K9982" s="13"/>
      <c r="L9982" s="13"/>
      <c r="M9982" s="13"/>
      <c r="N9982" s="13"/>
      <c r="O9982" s="13"/>
      <c r="P9982" s="13"/>
      <c r="Q9982" s="13"/>
      <c r="R9982" s="13"/>
    </row>
    <row r="9983" spans="8:18" x14ac:dyDescent="0.35">
      <c r="H9983" s="13"/>
      <c r="I9983" s="13"/>
      <c r="J9983" s="13"/>
      <c r="K9983" s="13"/>
      <c r="L9983" s="13"/>
      <c r="M9983" s="13"/>
      <c r="N9983" s="13"/>
      <c r="O9983" s="13"/>
      <c r="P9983" s="13"/>
      <c r="Q9983" s="13"/>
      <c r="R9983" s="13"/>
    </row>
    <row r="9984" spans="8:18" x14ac:dyDescent="0.35">
      <c r="H9984" s="13"/>
      <c r="I9984" s="13"/>
      <c r="J9984" s="13"/>
      <c r="K9984" s="13"/>
      <c r="L9984" s="13"/>
      <c r="M9984" s="13"/>
      <c r="N9984" s="13"/>
      <c r="O9984" s="13"/>
      <c r="P9984" s="13"/>
      <c r="Q9984" s="13"/>
      <c r="R9984" s="13"/>
    </row>
    <row r="9985" spans="8:18" x14ac:dyDescent="0.35">
      <c r="H9985" s="13"/>
      <c r="I9985" s="13"/>
      <c r="J9985" s="13"/>
      <c r="K9985" s="13"/>
      <c r="L9985" s="13"/>
      <c r="M9985" s="13"/>
      <c r="N9985" s="13"/>
      <c r="O9985" s="13"/>
      <c r="P9985" s="13"/>
      <c r="Q9985" s="13"/>
      <c r="R9985" s="13"/>
    </row>
    <row r="9986" spans="8:18" x14ac:dyDescent="0.35">
      <c r="H9986" s="13"/>
      <c r="I9986" s="13"/>
      <c r="J9986" s="13"/>
      <c r="K9986" s="13"/>
      <c r="L9986" s="13"/>
      <c r="M9986" s="13"/>
      <c r="N9986" s="13"/>
      <c r="O9986" s="13"/>
      <c r="P9986" s="13"/>
      <c r="Q9986" s="13"/>
      <c r="R9986" s="13"/>
    </row>
    <row r="9987" spans="8:18" x14ac:dyDescent="0.35">
      <c r="H9987" s="13"/>
      <c r="I9987" s="13"/>
      <c r="J9987" s="13"/>
      <c r="K9987" s="13"/>
      <c r="L9987" s="13"/>
      <c r="M9987" s="13"/>
      <c r="N9987" s="13"/>
      <c r="O9987" s="13"/>
      <c r="P9987" s="13"/>
      <c r="Q9987" s="13"/>
      <c r="R9987" s="13"/>
    </row>
    <row r="9988" spans="8:18" x14ac:dyDescent="0.35">
      <c r="H9988" s="13"/>
      <c r="I9988" s="13"/>
      <c r="J9988" s="13"/>
      <c r="K9988" s="13"/>
      <c r="L9988" s="13"/>
      <c r="M9988" s="13"/>
      <c r="N9988" s="13"/>
      <c r="O9988" s="13"/>
      <c r="P9988" s="13"/>
      <c r="Q9988" s="13"/>
      <c r="R9988" s="13"/>
    </row>
    <row r="9989" spans="8:18" x14ac:dyDescent="0.35">
      <c r="H9989" s="13"/>
      <c r="I9989" s="13"/>
      <c r="J9989" s="13"/>
      <c r="K9989" s="13"/>
      <c r="L9989" s="13"/>
      <c r="M9989" s="13"/>
      <c r="N9989" s="13"/>
      <c r="O9989" s="13"/>
      <c r="P9989" s="13"/>
      <c r="Q9989" s="13"/>
      <c r="R9989" s="13"/>
    </row>
    <row r="9990" spans="8:18" x14ac:dyDescent="0.35">
      <c r="H9990" s="13"/>
      <c r="I9990" s="13"/>
      <c r="J9990" s="13"/>
      <c r="K9990" s="13"/>
      <c r="L9990" s="13"/>
      <c r="M9990" s="13"/>
      <c r="N9990" s="13"/>
      <c r="O9990" s="13"/>
      <c r="P9990" s="13"/>
      <c r="Q9990" s="13"/>
      <c r="R9990" s="13"/>
    </row>
    <row r="9991" spans="8:18" x14ac:dyDescent="0.35">
      <c r="H9991" s="13"/>
      <c r="I9991" s="13"/>
      <c r="J9991" s="13"/>
      <c r="K9991" s="13"/>
      <c r="L9991" s="13"/>
      <c r="M9991" s="13"/>
      <c r="N9991" s="13"/>
      <c r="O9991" s="13"/>
      <c r="P9991" s="13"/>
      <c r="Q9991" s="13"/>
      <c r="R9991" s="13"/>
    </row>
    <row r="9992" spans="8:18" x14ac:dyDescent="0.35">
      <c r="H9992" s="13"/>
      <c r="I9992" s="13"/>
      <c r="J9992" s="13"/>
      <c r="K9992" s="13"/>
      <c r="L9992" s="13"/>
      <c r="M9992" s="13"/>
      <c r="N9992" s="13"/>
      <c r="O9992" s="13"/>
      <c r="P9992" s="13"/>
      <c r="Q9992" s="13"/>
      <c r="R9992" s="13"/>
    </row>
    <row r="9993" spans="8:18" x14ac:dyDescent="0.35">
      <c r="H9993" s="13"/>
      <c r="I9993" s="13"/>
      <c r="J9993" s="13"/>
      <c r="K9993" s="13"/>
      <c r="L9993" s="13"/>
      <c r="M9993" s="13"/>
      <c r="N9993" s="13"/>
      <c r="O9993" s="13"/>
      <c r="P9993" s="13"/>
      <c r="Q9993" s="13"/>
      <c r="R9993" s="13"/>
    </row>
    <row r="9994" spans="8:18" x14ac:dyDescent="0.35">
      <c r="H9994" s="13"/>
      <c r="I9994" s="13"/>
      <c r="J9994" s="13"/>
      <c r="K9994" s="13"/>
      <c r="L9994" s="13"/>
      <c r="M9994" s="13"/>
      <c r="N9994" s="13"/>
      <c r="O9994" s="13"/>
      <c r="P9994" s="13"/>
      <c r="Q9994" s="13"/>
      <c r="R9994" s="13"/>
    </row>
    <row r="9995" spans="8:18" x14ac:dyDescent="0.35">
      <c r="H9995" s="13"/>
      <c r="I9995" s="13"/>
      <c r="J9995" s="13"/>
      <c r="K9995" s="13"/>
      <c r="L9995" s="13"/>
      <c r="M9995" s="13"/>
      <c r="N9995" s="13"/>
      <c r="O9995" s="13"/>
      <c r="P9995" s="13"/>
      <c r="Q9995" s="13"/>
      <c r="R9995" s="13"/>
    </row>
    <row r="9996" spans="8:18" x14ac:dyDescent="0.35">
      <c r="H9996" s="13"/>
      <c r="I9996" s="13"/>
      <c r="J9996" s="13"/>
      <c r="K9996" s="13"/>
      <c r="L9996" s="13"/>
      <c r="M9996" s="13"/>
      <c r="N9996" s="13"/>
      <c r="O9996" s="13"/>
      <c r="P9996" s="13"/>
      <c r="Q9996" s="13"/>
      <c r="R9996" s="13"/>
    </row>
    <row r="9997" spans="8:18" x14ac:dyDescent="0.35">
      <c r="H9997" s="13"/>
      <c r="I9997" s="13"/>
      <c r="J9997" s="13"/>
      <c r="K9997" s="13"/>
      <c r="L9997" s="13"/>
      <c r="M9997" s="13"/>
      <c r="N9997" s="13"/>
      <c r="O9997" s="13"/>
      <c r="P9997" s="13"/>
      <c r="Q9997" s="13"/>
      <c r="R9997" s="13"/>
    </row>
    <row r="9998" spans="8:18" x14ac:dyDescent="0.35">
      <c r="H9998" s="13"/>
      <c r="I9998" s="13"/>
      <c r="J9998" s="13"/>
      <c r="K9998" s="13"/>
      <c r="L9998" s="13"/>
      <c r="M9998" s="13"/>
      <c r="N9998" s="13"/>
      <c r="O9998" s="13"/>
      <c r="P9998" s="13"/>
      <c r="Q9998" s="13"/>
      <c r="R9998" s="13"/>
    </row>
    <row r="9999" spans="8:18" x14ac:dyDescent="0.35">
      <c r="H9999" s="13"/>
      <c r="I9999" s="13"/>
      <c r="J9999" s="13"/>
      <c r="K9999" s="13"/>
      <c r="L9999" s="13"/>
      <c r="M9999" s="13"/>
      <c r="N9999" s="13"/>
      <c r="O9999" s="13"/>
      <c r="P9999" s="13"/>
      <c r="Q9999" s="13"/>
      <c r="R9999" s="13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C3DFA-D61C-4C19-8525-20448773553C}">
  <sheetPr codeName="Arkusz4"/>
  <dimension ref="A1:K1873"/>
  <sheetViews>
    <sheetView showGridLines="0" workbookViewId="0">
      <selection activeCell="N10" sqref="N10"/>
    </sheetView>
  </sheetViews>
  <sheetFormatPr defaultRowHeight="14.5" x14ac:dyDescent="0.35"/>
  <cols>
    <col min="1" max="1" width="9.1796875" bestFit="1" customWidth="1"/>
    <col min="2" max="2" width="13.54296875" bestFit="1" customWidth="1"/>
    <col min="3" max="3" width="7.1796875" bestFit="1" customWidth="1"/>
    <col min="4" max="4" width="8.26953125" bestFit="1" customWidth="1"/>
    <col min="5" max="5" width="18.453125" bestFit="1" customWidth="1"/>
    <col min="6" max="6" width="11.36328125" bestFit="1" customWidth="1"/>
  </cols>
  <sheetData>
    <row r="1" spans="1:11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</row>
    <row r="2" spans="1:11" x14ac:dyDescent="0.35">
      <c r="A2" s="5" t="s">
        <v>19</v>
      </c>
      <c r="B2" s="1" t="s">
        <v>44</v>
      </c>
      <c r="C2" s="1">
        <v>1</v>
      </c>
      <c r="D2" s="1">
        <v>349</v>
      </c>
      <c r="E2" s="1" t="s">
        <v>8</v>
      </c>
      <c r="F2" s="6" t="s">
        <v>9</v>
      </c>
      <c r="H2" s="5" t="s">
        <v>19</v>
      </c>
      <c r="I2" s="1" t="s">
        <v>44</v>
      </c>
      <c r="J2" s="1">
        <v>1</v>
      </c>
      <c r="K2" s="6" t="s">
        <v>9</v>
      </c>
    </row>
    <row r="3" spans="1:11" x14ac:dyDescent="0.35">
      <c r="A3" s="5" t="s">
        <v>19</v>
      </c>
      <c r="B3" s="1" t="s">
        <v>44</v>
      </c>
      <c r="C3" s="1">
        <v>2</v>
      </c>
      <c r="D3" s="1">
        <v>220</v>
      </c>
      <c r="E3" s="1" t="s">
        <v>8</v>
      </c>
      <c r="F3" s="6" t="s">
        <v>9</v>
      </c>
      <c r="H3" s="5" t="s">
        <v>13</v>
      </c>
      <c r="I3" s="1" t="s">
        <v>38</v>
      </c>
      <c r="J3" s="1">
        <v>2</v>
      </c>
      <c r="K3" s="6" t="s">
        <v>18</v>
      </c>
    </row>
    <row r="4" spans="1:11" x14ac:dyDescent="0.35">
      <c r="A4" s="5" t="s">
        <v>19</v>
      </c>
      <c r="B4" s="1" t="s">
        <v>44</v>
      </c>
      <c r="C4" s="1">
        <v>3</v>
      </c>
      <c r="D4" s="1">
        <v>403</v>
      </c>
      <c r="E4" s="1" t="s">
        <v>8</v>
      </c>
      <c r="F4" s="6" t="s">
        <v>9</v>
      </c>
      <c r="H4" s="5" t="s">
        <v>6</v>
      </c>
      <c r="I4" s="1" t="s">
        <v>7</v>
      </c>
      <c r="J4" s="1">
        <v>3</v>
      </c>
      <c r="K4" s="6" t="s">
        <v>12</v>
      </c>
    </row>
    <row r="5" spans="1:11" x14ac:dyDescent="0.35">
      <c r="A5" s="5" t="s">
        <v>19</v>
      </c>
      <c r="B5" s="1" t="s">
        <v>44</v>
      </c>
      <c r="C5" s="1">
        <v>4</v>
      </c>
      <c r="D5" s="1">
        <v>318</v>
      </c>
      <c r="E5" s="1" t="s">
        <v>8</v>
      </c>
      <c r="F5" s="6" t="s">
        <v>9</v>
      </c>
      <c r="H5" s="5" t="s">
        <v>10</v>
      </c>
      <c r="I5" s="1" t="s">
        <v>45</v>
      </c>
      <c r="J5" s="1">
        <v>4</v>
      </c>
      <c r="K5" s="6" t="s">
        <v>15</v>
      </c>
    </row>
    <row r="6" spans="1:11" x14ac:dyDescent="0.35">
      <c r="A6" s="5" t="s">
        <v>19</v>
      </c>
      <c r="B6" s="1" t="s">
        <v>44</v>
      </c>
      <c r="C6" s="1">
        <v>5</v>
      </c>
      <c r="D6" s="1">
        <v>385</v>
      </c>
      <c r="E6" s="1" t="s">
        <v>8</v>
      </c>
      <c r="F6" s="6" t="s">
        <v>9</v>
      </c>
      <c r="H6" s="5" t="s">
        <v>22</v>
      </c>
      <c r="I6" s="1" t="s">
        <v>43</v>
      </c>
      <c r="J6" s="1">
        <v>5</v>
      </c>
      <c r="K6" s="6" t="s">
        <v>21</v>
      </c>
    </row>
    <row r="7" spans="1:11" x14ac:dyDescent="0.35">
      <c r="A7" s="5" t="s">
        <v>19</v>
      </c>
      <c r="B7" s="1" t="s">
        <v>44</v>
      </c>
      <c r="C7" s="1">
        <v>6</v>
      </c>
      <c r="D7" s="1">
        <v>286</v>
      </c>
      <c r="E7" s="1" t="s">
        <v>8</v>
      </c>
      <c r="F7" s="6" t="s">
        <v>9</v>
      </c>
      <c r="H7" s="5" t="s">
        <v>16</v>
      </c>
      <c r="I7" s="1" t="s">
        <v>25</v>
      </c>
      <c r="J7" s="1">
        <v>6</v>
      </c>
      <c r="K7" s="6" t="s">
        <v>24</v>
      </c>
    </row>
    <row r="8" spans="1:11" x14ac:dyDescent="0.35">
      <c r="A8" s="5" t="s">
        <v>19</v>
      </c>
      <c r="B8" s="1" t="s">
        <v>44</v>
      </c>
      <c r="C8" s="1">
        <v>7</v>
      </c>
      <c r="D8" s="1">
        <v>229</v>
      </c>
      <c r="E8" s="1" t="s">
        <v>8</v>
      </c>
      <c r="F8" s="6" t="s">
        <v>9</v>
      </c>
      <c r="J8" s="1">
        <v>7</v>
      </c>
      <c r="K8" s="6" t="s">
        <v>27</v>
      </c>
    </row>
    <row r="9" spans="1:11" x14ac:dyDescent="0.35">
      <c r="A9" s="5" t="s">
        <v>19</v>
      </c>
      <c r="B9" s="1" t="s">
        <v>44</v>
      </c>
      <c r="C9" s="1">
        <v>8</v>
      </c>
      <c r="D9" s="1">
        <v>188</v>
      </c>
      <c r="E9" s="1" t="s">
        <v>8</v>
      </c>
      <c r="F9" s="6" t="s">
        <v>9</v>
      </c>
      <c r="J9" s="1">
        <v>8</v>
      </c>
      <c r="K9" s="6" t="s">
        <v>29</v>
      </c>
    </row>
    <row r="10" spans="1:11" x14ac:dyDescent="0.35">
      <c r="A10" s="5" t="s">
        <v>19</v>
      </c>
      <c r="B10" s="1" t="s">
        <v>44</v>
      </c>
      <c r="C10" s="1">
        <v>9</v>
      </c>
      <c r="D10" s="1">
        <v>191</v>
      </c>
      <c r="E10" s="1" t="s">
        <v>8</v>
      </c>
      <c r="F10" s="6" t="s">
        <v>9</v>
      </c>
      <c r="J10" s="1">
        <v>9</v>
      </c>
      <c r="K10" s="6" t="s">
        <v>31</v>
      </c>
    </row>
    <row r="11" spans="1:11" x14ac:dyDescent="0.35">
      <c r="A11" s="5" t="s">
        <v>19</v>
      </c>
      <c r="B11" s="1" t="s">
        <v>44</v>
      </c>
      <c r="C11" s="1">
        <v>10</v>
      </c>
      <c r="D11" s="1">
        <v>102</v>
      </c>
      <c r="E11" s="1" t="s">
        <v>8</v>
      </c>
      <c r="F11" s="6" t="s">
        <v>9</v>
      </c>
      <c r="J11" s="1">
        <v>10</v>
      </c>
      <c r="K11" s="6" t="s">
        <v>33</v>
      </c>
    </row>
    <row r="12" spans="1:11" x14ac:dyDescent="0.35">
      <c r="A12" s="5" t="s">
        <v>19</v>
      </c>
      <c r="B12" s="1" t="s">
        <v>44</v>
      </c>
      <c r="C12" s="1">
        <v>11</v>
      </c>
      <c r="D12" s="1">
        <v>467</v>
      </c>
      <c r="E12" s="1" t="s">
        <v>8</v>
      </c>
      <c r="F12" s="6" t="s">
        <v>9</v>
      </c>
      <c r="J12" s="1">
        <v>11</v>
      </c>
      <c r="K12" s="6" t="s">
        <v>35</v>
      </c>
    </row>
    <row r="13" spans="1:11" x14ac:dyDescent="0.35">
      <c r="A13" s="5" t="s">
        <v>19</v>
      </c>
      <c r="B13" s="1" t="s">
        <v>44</v>
      </c>
      <c r="C13" s="1">
        <v>12</v>
      </c>
      <c r="D13" s="1">
        <v>119</v>
      </c>
      <c r="E13" s="1" t="s">
        <v>8</v>
      </c>
      <c r="F13" s="6" t="s">
        <v>9</v>
      </c>
      <c r="J13" s="1">
        <v>12</v>
      </c>
      <c r="K13" s="6" t="s">
        <v>37</v>
      </c>
    </row>
    <row r="14" spans="1:11" x14ac:dyDescent="0.35">
      <c r="A14" s="5" t="s">
        <v>19</v>
      </c>
      <c r="B14" s="1" t="s">
        <v>44</v>
      </c>
      <c r="C14" s="1">
        <v>13</v>
      </c>
      <c r="D14" s="1">
        <v>192</v>
      </c>
      <c r="E14" s="1" t="s">
        <v>8</v>
      </c>
      <c r="F14" s="6" t="s">
        <v>9</v>
      </c>
      <c r="J14" s="1">
        <v>13</v>
      </c>
      <c r="K14" s="6" t="s">
        <v>40</v>
      </c>
    </row>
    <row r="15" spans="1:11" x14ac:dyDescent="0.35">
      <c r="A15" s="5" t="s">
        <v>19</v>
      </c>
      <c r="B15" s="1" t="s">
        <v>44</v>
      </c>
      <c r="C15" s="1">
        <v>14</v>
      </c>
      <c r="D15" s="1">
        <v>541</v>
      </c>
      <c r="E15" s="1" t="s">
        <v>8</v>
      </c>
      <c r="F15" s="6" t="s">
        <v>9</v>
      </c>
      <c r="J15" s="1">
        <v>14</v>
      </c>
      <c r="K15" s="6" t="s">
        <v>42</v>
      </c>
    </row>
    <row r="16" spans="1:11" x14ac:dyDescent="0.35">
      <c r="A16" s="5" t="s">
        <v>19</v>
      </c>
      <c r="B16" s="1" t="s">
        <v>44</v>
      </c>
      <c r="C16" s="1">
        <v>15</v>
      </c>
      <c r="D16" s="1">
        <v>540</v>
      </c>
      <c r="E16" s="1" t="s">
        <v>8</v>
      </c>
      <c r="F16" s="6" t="s">
        <v>9</v>
      </c>
      <c r="J16" s="1">
        <v>15</v>
      </c>
    </row>
    <row r="17" spans="1:10" x14ac:dyDescent="0.35">
      <c r="A17" s="5" t="s">
        <v>19</v>
      </c>
      <c r="B17" s="1" t="s">
        <v>44</v>
      </c>
      <c r="C17" s="1">
        <v>16</v>
      </c>
      <c r="D17" s="1">
        <v>452</v>
      </c>
      <c r="E17" s="1" t="s">
        <v>8</v>
      </c>
      <c r="F17" s="6" t="s">
        <v>9</v>
      </c>
      <c r="J17" s="1">
        <v>16</v>
      </c>
    </row>
    <row r="18" spans="1:10" x14ac:dyDescent="0.35">
      <c r="A18" s="5" t="s">
        <v>19</v>
      </c>
      <c r="B18" s="1" t="s">
        <v>44</v>
      </c>
      <c r="C18" s="1">
        <v>17</v>
      </c>
      <c r="D18" s="1">
        <v>565</v>
      </c>
      <c r="E18" s="1" t="s">
        <v>8</v>
      </c>
      <c r="F18" s="6" t="s">
        <v>9</v>
      </c>
      <c r="J18" s="1">
        <v>17</v>
      </c>
    </row>
    <row r="19" spans="1:10" x14ac:dyDescent="0.35">
      <c r="A19" s="5" t="s">
        <v>19</v>
      </c>
      <c r="B19" s="1" t="s">
        <v>44</v>
      </c>
      <c r="C19" s="1">
        <v>18</v>
      </c>
      <c r="D19" s="1">
        <v>265</v>
      </c>
      <c r="E19" s="1" t="s">
        <v>8</v>
      </c>
      <c r="F19" s="6" t="s">
        <v>9</v>
      </c>
      <c r="J19" s="1">
        <v>18</v>
      </c>
    </row>
    <row r="20" spans="1:10" x14ac:dyDescent="0.35">
      <c r="A20" s="5" t="s">
        <v>19</v>
      </c>
      <c r="B20" s="1" t="s">
        <v>44</v>
      </c>
      <c r="C20" s="1">
        <v>19</v>
      </c>
      <c r="D20" s="1">
        <v>571</v>
      </c>
      <c r="E20" s="1" t="s">
        <v>8</v>
      </c>
      <c r="F20" s="6" t="s">
        <v>9</v>
      </c>
      <c r="J20" s="1">
        <v>19</v>
      </c>
    </row>
    <row r="21" spans="1:10" x14ac:dyDescent="0.35">
      <c r="A21" s="5" t="s">
        <v>19</v>
      </c>
      <c r="B21" s="1" t="s">
        <v>44</v>
      </c>
      <c r="C21" s="1">
        <v>20</v>
      </c>
      <c r="D21" s="1">
        <v>388</v>
      </c>
      <c r="E21" s="1" t="s">
        <v>8</v>
      </c>
      <c r="F21" s="6" t="s">
        <v>9</v>
      </c>
      <c r="J21" s="1">
        <v>20</v>
      </c>
    </row>
    <row r="22" spans="1:10" x14ac:dyDescent="0.35">
      <c r="A22" s="5" t="s">
        <v>19</v>
      </c>
      <c r="B22" s="1" t="s">
        <v>44</v>
      </c>
      <c r="C22" s="1">
        <v>21</v>
      </c>
      <c r="D22" s="1">
        <v>168</v>
      </c>
      <c r="E22" s="1" t="s">
        <v>8</v>
      </c>
      <c r="F22" s="6" t="s">
        <v>9</v>
      </c>
      <c r="J22" s="1">
        <v>21</v>
      </c>
    </row>
    <row r="23" spans="1:10" x14ac:dyDescent="0.35">
      <c r="A23" s="5" t="s">
        <v>19</v>
      </c>
      <c r="B23" s="1" t="s">
        <v>44</v>
      </c>
      <c r="C23" s="1">
        <v>22</v>
      </c>
      <c r="D23" s="1">
        <v>531</v>
      </c>
      <c r="E23" s="1" t="s">
        <v>8</v>
      </c>
      <c r="F23" s="6" t="s">
        <v>9</v>
      </c>
      <c r="J23" s="1">
        <v>22</v>
      </c>
    </row>
    <row r="24" spans="1:10" x14ac:dyDescent="0.35">
      <c r="A24" s="5" t="s">
        <v>19</v>
      </c>
      <c r="B24" s="1" t="s">
        <v>44</v>
      </c>
      <c r="C24" s="1">
        <v>23</v>
      </c>
      <c r="D24" s="1">
        <v>444</v>
      </c>
      <c r="E24" s="1" t="s">
        <v>8</v>
      </c>
      <c r="F24" s="6" t="s">
        <v>9</v>
      </c>
      <c r="J24" s="1">
        <v>23</v>
      </c>
    </row>
    <row r="25" spans="1:10" x14ac:dyDescent="0.35">
      <c r="A25" s="5" t="s">
        <v>19</v>
      </c>
      <c r="B25" s="1" t="s">
        <v>44</v>
      </c>
      <c r="C25" s="1">
        <v>24</v>
      </c>
      <c r="D25" s="1">
        <v>325</v>
      </c>
      <c r="E25" s="1" t="s">
        <v>8</v>
      </c>
      <c r="F25" s="6" t="s">
        <v>9</v>
      </c>
      <c r="J25" s="1">
        <v>24</v>
      </c>
    </row>
    <row r="26" spans="1:10" x14ac:dyDescent="0.35">
      <c r="A26" s="5" t="s">
        <v>19</v>
      </c>
      <c r="B26" s="1" t="s">
        <v>44</v>
      </c>
      <c r="C26" s="1">
        <v>25</v>
      </c>
      <c r="D26" s="1">
        <v>380</v>
      </c>
      <c r="E26" s="1" t="s">
        <v>8</v>
      </c>
      <c r="F26" s="6" t="s">
        <v>9</v>
      </c>
      <c r="J26" s="1">
        <v>25</v>
      </c>
    </row>
    <row r="27" spans="1:10" x14ac:dyDescent="0.35">
      <c r="A27" s="5" t="s">
        <v>19</v>
      </c>
      <c r="B27" s="1" t="s">
        <v>44</v>
      </c>
      <c r="C27" s="1">
        <v>26</v>
      </c>
      <c r="D27" s="1">
        <v>166</v>
      </c>
      <c r="E27" s="1" t="s">
        <v>8</v>
      </c>
      <c r="F27" s="6" t="s">
        <v>9</v>
      </c>
      <c r="J27" s="1">
        <v>26</v>
      </c>
    </row>
    <row r="28" spans="1:10" x14ac:dyDescent="0.35">
      <c r="A28" s="5" t="s">
        <v>19</v>
      </c>
      <c r="B28" s="1" t="s">
        <v>44</v>
      </c>
      <c r="C28" s="1">
        <v>27</v>
      </c>
      <c r="D28" s="1">
        <v>499</v>
      </c>
      <c r="E28" s="1" t="s">
        <v>8</v>
      </c>
      <c r="F28" s="6" t="s">
        <v>9</v>
      </c>
      <c r="J28" s="1">
        <v>27</v>
      </c>
    </row>
    <row r="29" spans="1:10" x14ac:dyDescent="0.35">
      <c r="A29" s="5" t="s">
        <v>19</v>
      </c>
      <c r="B29" s="1" t="s">
        <v>44</v>
      </c>
      <c r="C29" s="1">
        <v>28</v>
      </c>
      <c r="D29" s="1">
        <v>348</v>
      </c>
      <c r="E29" s="1" t="s">
        <v>8</v>
      </c>
      <c r="F29" s="6" t="s">
        <v>9</v>
      </c>
      <c r="J29" s="1">
        <v>28</v>
      </c>
    </row>
    <row r="30" spans="1:10" x14ac:dyDescent="0.35">
      <c r="A30" s="5" t="s">
        <v>19</v>
      </c>
      <c r="B30" s="1" t="s">
        <v>44</v>
      </c>
      <c r="C30" s="1">
        <v>29</v>
      </c>
      <c r="D30" s="1">
        <v>227</v>
      </c>
      <c r="E30" s="1" t="s">
        <v>8</v>
      </c>
      <c r="F30" s="6" t="s">
        <v>9</v>
      </c>
      <c r="J30" s="1">
        <v>29</v>
      </c>
    </row>
    <row r="31" spans="1:10" x14ac:dyDescent="0.35">
      <c r="A31" s="5" t="s">
        <v>19</v>
      </c>
      <c r="B31" s="1" t="s">
        <v>44</v>
      </c>
      <c r="C31" s="1">
        <v>30</v>
      </c>
      <c r="D31" s="1">
        <v>228</v>
      </c>
      <c r="E31" s="1" t="s">
        <v>8</v>
      </c>
      <c r="F31" s="6" t="s">
        <v>9</v>
      </c>
      <c r="J31" s="1">
        <v>30</v>
      </c>
    </row>
    <row r="32" spans="1:10" x14ac:dyDescent="0.35">
      <c r="A32" s="5" t="s">
        <v>19</v>
      </c>
      <c r="B32" s="1" t="s">
        <v>44</v>
      </c>
      <c r="C32" s="1">
        <v>31</v>
      </c>
      <c r="D32" s="1">
        <v>687</v>
      </c>
      <c r="E32" s="1" t="s">
        <v>8</v>
      </c>
      <c r="F32" s="6" t="s">
        <v>9</v>
      </c>
      <c r="J32" s="1">
        <v>31</v>
      </c>
    </row>
    <row r="33" spans="1:10" x14ac:dyDescent="0.35">
      <c r="A33" s="5" t="s">
        <v>19</v>
      </c>
      <c r="B33" s="1" t="s">
        <v>44</v>
      </c>
      <c r="C33" s="1">
        <v>32</v>
      </c>
      <c r="D33" s="1">
        <v>325</v>
      </c>
      <c r="E33" s="1" t="s">
        <v>8</v>
      </c>
      <c r="F33" s="6" t="s">
        <v>9</v>
      </c>
      <c r="J33" s="1">
        <v>32</v>
      </c>
    </row>
    <row r="34" spans="1:10" x14ac:dyDescent="0.35">
      <c r="A34" s="5" t="s">
        <v>19</v>
      </c>
      <c r="B34" s="1" t="s">
        <v>44</v>
      </c>
      <c r="C34" s="1">
        <v>33</v>
      </c>
      <c r="D34" s="1">
        <v>190</v>
      </c>
      <c r="E34" s="1" t="s">
        <v>8</v>
      </c>
      <c r="F34" s="6" t="s">
        <v>9</v>
      </c>
      <c r="J34" s="1">
        <v>33</v>
      </c>
    </row>
    <row r="35" spans="1:10" x14ac:dyDescent="0.35">
      <c r="A35" s="5" t="s">
        <v>19</v>
      </c>
      <c r="B35" s="1" t="s">
        <v>44</v>
      </c>
      <c r="C35" s="1">
        <v>34</v>
      </c>
      <c r="D35" s="1">
        <v>353</v>
      </c>
      <c r="E35" s="1" t="s">
        <v>8</v>
      </c>
      <c r="F35" s="6" t="s">
        <v>9</v>
      </c>
      <c r="J35" s="1">
        <v>34</v>
      </c>
    </row>
    <row r="36" spans="1:10" x14ac:dyDescent="0.35">
      <c r="A36" s="5" t="s">
        <v>19</v>
      </c>
      <c r="B36" s="1" t="s">
        <v>44</v>
      </c>
      <c r="C36" s="1">
        <v>35</v>
      </c>
      <c r="D36" s="1">
        <v>434</v>
      </c>
      <c r="E36" s="1" t="s">
        <v>8</v>
      </c>
      <c r="F36" s="6" t="s">
        <v>9</v>
      </c>
      <c r="J36" s="1">
        <v>35</v>
      </c>
    </row>
    <row r="37" spans="1:10" x14ac:dyDescent="0.35">
      <c r="A37" s="5" t="s">
        <v>19</v>
      </c>
      <c r="B37" s="1" t="s">
        <v>44</v>
      </c>
      <c r="C37" s="1">
        <v>36</v>
      </c>
      <c r="D37" s="1">
        <v>163</v>
      </c>
      <c r="E37" s="1" t="s">
        <v>8</v>
      </c>
      <c r="F37" s="6" t="s">
        <v>9</v>
      </c>
      <c r="J37" s="1">
        <v>36</v>
      </c>
    </row>
    <row r="38" spans="1:10" x14ac:dyDescent="0.35">
      <c r="A38" s="5" t="s">
        <v>19</v>
      </c>
      <c r="B38" s="1" t="s">
        <v>44</v>
      </c>
      <c r="C38" s="1">
        <v>37</v>
      </c>
      <c r="D38" s="1">
        <v>395</v>
      </c>
      <c r="E38" s="1" t="s">
        <v>8</v>
      </c>
      <c r="F38" s="6" t="s">
        <v>9</v>
      </c>
      <c r="J38" s="1">
        <v>37</v>
      </c>
    </row>
    <row r="39" spans="1:10" x14ac:dyDescent="0.35">
      <c r="A39" s="5" t="s">
        <v>19</v>
      </c>
      <c r="B39" s="1" t="s">
        <v>44</v>
      </c>
      <c r="C39" s="1">
        <v>38</v>
      </c>
      <c r="D39" s="1">
        <v>532</v>
      </c>
      <c r="E39" s="1" t="s">
        <v>8</v>
      </c>
      <c r="F39" s="6" t="s">
        <v>9</v>
      </c>
      <c r="J39" s="1">
        <v>38</v>
      </c>
    </row>
    <row r="40" spans="1:10" x14ac:dyDescent="0.35">
      <c r="A40" s="5" t="s">
        <v>19</v>
      </c>
      <c r="B40" s="1" t="s">
        <v>44</v>
      </c>
      <c r="C40" s="1">
        <v>39</v>
      </c>
      <c r="D40" s="1">
        <v>367</v>
      </c>
      <c r="E40" s="1" t="s">
        <v>8</v>
      </c>
      <c r="F40" s="6" t="s">
        <v>9</v>
      </c>
      <c r="J40" s="1">
        <v>39</v>
      </c>
    </row>
    <row r="41" spans="1:10" x14ac:dyDescent="0.35">
      <c r="A41" s="5" t="s">
        <v>19</v>
      </c>
      <c r="B41" s="1" t="s">
        <v>44</v>
      </c>
      <c r="C41" s="1">
        <v>40</v>
      </c>
      <c r="D41" s="1">
        <v>532</v>
      </c>
      <c r="E41" s="1" t="s">
        <v>8</v>
      </c>
      <c r="F41" s="6" t="s">
        <v>9</v>
      </c>
      <c r="J41" s="1">
        <v>40</v>
      </c>
    </row>
    <row r="42" spans="1:10" x14ac:dyDescent="0.35">
      <c r="A42" s="5" t="s">
        <v>19</v>
      </c>
      <c r="B42" s="1" t="s">
        <v>44</v>
      </c>
      <c r="C42" s="1">
        <v>41</v>
      </c>
      <c r="D42" s="1">
        <v>562</v>
      </c>
      <c r="E42" s="1" t="s">
        <v>8</v>
      </c>
      <c r="F42" s="6" t="s">
        <v>9</v>
      </c>
      <c r="J42" s="1">
        <v>41</v>
      </c>
    </row>
    <row r="43" spans="1:10" x14ac:dyDescent="0.35">
      <c r="A43" s="5" t="s">
        <v>19</v>
      </c>
      <c r="B43" s="1" t="s">
        <v>44</v>
      </c>
      <c r="C43" s="1">
        <v>42</v>
      </c>
      <c r="D43" s="1">
        <v>485</v>
      </c>
      <c r="E43" s="1" t="s">
        <v>8</v>
      </c>
      <c r="F43" s="6" t="s">
        <v>9</v>
      </c>
      <c r="J43" s="1">
        <v>42</v>
      </c>
    </row>
    <row r="44" spans="1:10" x14ac:dyDescent="0.35">
      <c r="A44" s="5" t="s">
        <v>19</v>
      </c>
      <c r="B44" s="1" t="s">
        <v>44</v>
      </c>
      <c r="C44" s="1">
        <v>43</v>
      </c>
      <c r="D44" s="1">
        <v>462</v>
      </c>
      <c r="E44" s="1" t="s">
        <v>8</v>
      </c>
      <c r="F44" s="6" t="s">
        <v>9</v>
      </c>
      <c r="J44" s="1">
        <v>43</v>
      </c>
    </row>
    <row r="45" spans="1:10" x14ac:dyDescent="0.35">
      <c r="A45" s="5" t="s">
        <v>19</v>
      </c>
      <c r="B45" s="1" t="s">
        <v>44</v>
      </c>
      <c r="C45" s="1">
        <v>44</v>
      </c>
      <c r="D45" s="1">
        <v>235</v>
      </c>
      <c r="E45" s="1" t="s">
        <v>8</v>
      </c>
      <c r="F45" s="6" t="s">
        <v>9</v>
      </c>
      <c r="J45" s="1">
        <v>44</v>
      </c>
    </row>
    <row r="46" spans="1:10" x14ac:dyDescent="0.35">
      <c r="A46" s="5" t="s">
        <v>19</v>
      </c>
      <c r="B46" s="1" t="s">
        <v>44</v>
      </c>
      <c r="C46" s="1">
        <v>45</v>
      </c>
      <c r="D46" s="1">
        <v>460</v>
      </c>
      <c r="E46" s="1" t="s">
        <v>8</v>
      </c>
      <c r="F46" s="6" t="s">
        <v>9</v>
      </c>
      <c r="J46" s="1">
        <v>45</v>
      </c>
    </row>
    <row r="47" spans="1:10" x14ac:dyDescent="0.35">
      <c r="A47" s="5" t="s">
        <v>19</v>
      </c>
      <c r="B47" s="1" t="s">
        <v>44</v>
      </c>
      <c r="C47" s="1">
        <v>46</v>
      </c>
      <c r="D47" s="1">
        <v>325</v>
      </c>
      <c r="E47" s="1" t="s">
        <v>8</v>
      </c>
      <c r="F47" s="6" t="s">
        <v>9</v>
      </c>
      <c r="J47" s="1">
        <v>46</v>
      </c>
    </row>
    <row r="48" spans="1:10" x14ac:dyDescent="0.35">
      <c r="A48" s="5" t="s">
        <v>19</v>
      </c>
      <c r="B48" s="1" t="s">
        <v>44</v>
      </c>
      <c r="C48" s="1">
        <v>47</v>
      </c>
      <c r="D48" s="1">
        <v>211</v>
      </c>
      <c r="E48" s="1" t="s">
        <v>8</v>
      </c>
      <c r="F48" s="6" t="s">
        <v>9</v>
      </c>
      <c r="J48" s="1">
        <v>47</v>
      </c>
    </row>
    <row r="49" spans="1:10" x14ac:dyDescent="0.35">
      <c r="A49" s="5" t="s">
        <v>19</v>
      </c>
      <c r="B49" s="1" t="s">
        <v>44</v>
      </c>
      <c r="C49" s="1">
        <v>48</v>
      </c>
      <c r="D49" s="1">
        <v>166</v>
      </c>
      <c r="E49" s="1" t="s">
        <v>8</v>
      </c>
      <c r="F49" s="6" t="s">
        <v>9</v>
      </c>
      <c r="J49" s="1">
        <v>48</v>
      </c>
    </row>
    <row r="50" spans="1:10" x14ac:dyDescent="0.35">
      <c r="A50" s="5" t="s">
        <v>19</v>
      </c>
      <c r="B50" s="1" t="s">
        <v>44</v>
      </c>
      <c r="C50" s="1">
        <v>49</v>
      </c>
      <c r="D50" s="1">
        <v>938</v>
      </c>
      <c r="E50" s="1" t="s">
        <v>8</v>
      </c>
      <c r="F50" s="6" t="s">
        <v>9</v>
      </c>
      <c r="J50" s="1">
        <v>49</v>
      </c>
    </row>
    <row r="51" spans="1:10" x14ac:dyDescent="0.35">
      <c r="A51" s="5" t="s">
        <v>19</v>
      </c>
      <c r="B51" s="1" t="s">
        <v>44</v>
      </c>
      <c r="C51" s="1">
        <v>50</v>
      </c>
      <c r="D51" s="1">
        <v>442</v>
      </c>
      <c r="E51" s="1" t="s">
        <v>8</v>
      </c>
      <c r="F51" s="6" t="s">
        <v>9</v>
      </c>
      <c r="J51" s="1">
        <v>50</v>
      </c>
    </row>
    <row r="52" spans="1:10" x14ac:dyDescent="0.35">
      <c r="A52" s="5" t="s">
        <v>19</v>
      </c>
      <c r="B52" s="1" t="s">
        <v>44</v>
      </c>
      <c r="C52" s="1">
        <v>51</v>
      </c>
      <c r="D52" s="1">
        <v>300</v>
      </c>
      <c r="E52" s="1" t="s">
        <v>8</v>
      </c>
      <c r="F52" s="6" t="s">
        <v>9</v>
      </c>
      <c r="J52" s="1">
        <v>51</v>
      </c>
    </row>
    <row r="53" spans="1:10" x14ac:dyDescent="0.35">
      <c r="A53" s="5" t="s">
        <v>19</v>
      </c>
      <c r="B53" s="1" t="s">
        <v>44</v>
      </c>
      <c r="C53" s="1">
        <v>52</v>
      </c>
      <c r="D53" s="1">
        <v>642</v>
      </c>
      <c r="E53" s="1" t="s">
        <v>8</v>
      </c>
      <c r="F53" s="6" t="s">
        <v>9</v>
      </c>
      <c r="J53" s="1">
        <v>52</v>
      </c>
    </row>
    <row r="54" spans="1:10" x14ac:dyDescent="0.35">
      <c r="A54" s="5" t="s">
        <v>13</v>
      </c>
      <c r="B54" s="1" t="s">
        <v>38</v>
      </c>
      <c r="C54" s="1">
        <v>1</v>
      </c>
      <c r="D54" s="1">
        <v>597</v>
      </c>
      <c r="E54" s="1" t="s">
        <v>8</v>
      </c>
      <c r="F54" s="6" t="s">
        <v>9</v>
      </c>
    </row>
    <row r="55" spans="1:10" x14ac:dyDescent="0.35">
      <c r="A55" s="5" t="s">
        <v>13</v>
      </c>
      <c r="B55" s="1" t="s">
        <v>38</v>
      </c>
      <c r="C55" s="1">
        <v>2</v>
      </c>
      <c r="D55" s="1">
        <v>265</v>
      </c>
      <c r="E55" s="1" t="s">
        <v>8</v>
      </c>
      <c r="F55" s="6" t="s">
        <v>9</v>
      </c>
    </row>
    <row r="56" spans="1:10" x14ac:dyDescent="0.35">
      <c r="A56" s="5" t="s">
        <v>13</v>
      </c>
      <c r="B56" s="1" t="s">
        <v>38</v>
      </c>
      <c r="C56" s="1">
        <v>3</v>
      </c>
      <c r="D56" s="1">
        <v>170</v>
      </c>
      <c r="E56" s="1" t="s">
        <v>8</v>
      </c>
      <c r="F56" s="6" t="s">
        <v>9</v>
      </c>
    </row>
    <row r="57" spans="1:10" x14ac:dyDescent="0.35">
      <c r="A57" s="5" t="s">
        <v>13</v>
      </c>
      <c r="B57" s="1" t="s">
        <v>38</v>
      </c>
      <c r="C57" s="1">
        <v>4</v>
      </c>
      <c r="D57" s="1">
        <v>345</v>
      </c>
      <c r="E57" s="1" t="s">
        <v>8</v>
      </c>
      <c r="F57" s="6" t="s">
        <v>9</v>
      </c>
    </row>
    <row r="58" spans="1:10" x14ac:dyDescent="0.35">
      <c r="A58" s="5" t="s">
        <v>13</v>
      </c>
      <c r="B58" s="1" t="s">
        <v>38</v>
      </c>
      <c r="C58" s="1">
        <v>5</v>
      </c>
      <c r="D58" s="1">
        <v>580</v>
      </c>
      <c r="E58" s="1" t="s">
        <v>8</v>
      </c>
      <c r="F58" s="6" t="s">
        <v>9</v>
      </c>
    </row>
    <row r="59" spans="1:10" x14ac:dyDescent="0.35">
      <c r="A59" s="5" t="s">
        <v>13</v>
      </c>
      <c r="B59" s="1" t="s">
        <v>38</v>
      </c>
      <c r="C59" s="1">
        <v>6</v>
      </c>
      <c r="D59" s="1">
        <v>292</v>
      </c>
      <c r="E59" s="1" t="s">
        <v>8</v>
      </c>
      <c r="F59" s="6" t="s">
        <v>9</v>
      </c>
    </row>
    <row r="60" spans="1:10" x14ac:dyDescent="0.35">
      <c r="A60" s="5" t="s">
        <v>13</v>
      </c>
      <c r="B60" s="1" t="s">
        <v>38</v>
      </c>
      <c r="C60" s="1">
        <v>7</v>
      </c>
      <c r="D60" s="1">
        <v>451</v>
      </c>
      <c r="E60" s="1" t="s">
        <v>8</v>
      </c>
      <c r="F60" s="6" t="s">
        <v>9</v>
      </c>
    </row>
    <row r="61" spans="1:10" x14ac:dyDescent="0.35">
      <c r="A61" s="5" t="s">
        <v>13</v>
      </c>
      <c r="B61" s="1" t="s">
        <v>38</v>
      </c>
      <c r="C61" s="1">
        <v>8</v>
      </c>
      <c r="D61" s="1">
        <v>309</v>
      </c>
      <c r="E61" s="1" t="s">
        <v>8</v>
      </c>
      <c r="F61" s="6" t="s">
        <v>9</v>
      </c>
    </row>
    <row r="62" spans="1:10" x14ac:dyDescent="0.35">
      <c r="A62" s="5" t="s">
        <v>13</v>
      </c>
      <c r="B62" s="1" t="s">
        <v>38</v>
      </c>
      <c r="C62" s="1">
        <v>9</v>
      </c>
      <c r="D62" s="1">
        <v>569</v>
      </c>
      <c r="E62" s="1" t="s">
        <v>8</v>
      </c>
      <c r="F62" s="6" t="s">
        <v>9</v>
      </c>
    </row>
    <row r="63" spans="1:10" x14ac:dyDescent="0.35">
      <c r="A63" s="5" t="s">
        <v>13</v>
      </c>
      <c r="B63" s="1" t="s">
        <v>38</v>
      </c>
      <c r="C63" s="1">
        <v>10</v>
      </c>
      <c r="D63" s="1">
        <v>424</v>
      </c>
      <c r="E63" s="1" t="s">
        <v>8</v>
      </c>
      <c r="F63" s="6" t="s">
        <v>9</v>
      </c>
    </row>
    <row r="64" spans="1:10" x14ac:dyDescent="0.35">
      <c r="A64" s="5" t="s">
        <v>13</v>
      </c>
      <c r="B64" s="1" t="s">
        <v>38</v>
      </c>
      <c r="C64" s="1">
        <v>11</v>
      </c>
      <c r="D64" s="1">
        <v>575</v>
      </c>
      <c r="E64" s="1" t="s">
        <v>8</v>
      </c>
      <c r="F64" s="6" t="s">
        <v>9</v>
      </c>
    </row>
    <row r="65" spans="1:6" x14ac:dyDescent="0.35">
      <c r="A65" s="5" t="s">
        <v>13</v>
      </c>
      <c r="B65" s="1" t="s">
        <v>38</v>
      </c>
      <c r="C65" s="1">
        <v>12</v>
      </c>
      <c r="D65" s="1">
        <v>167</v>
      </c>
      <c r="E65" s="1" t="s">
        <v>8</v>
      </c>
      <c r="F65" s="6" t="s">
        <v>9</v>
      </c>
    </row>
    <row r="66" spans="1:6" x14ac:dyDescent="0.35">
      <c r="A66" s="5" t="s">
        <v>13</v>
      </c>
      <c r="B66" s="1" t="s">
        <v>38</v>
      </c>
      <c r="C66" s="1">
        <v>13</v>
      </c>
      <c r="D66" s="1">
        <v>536</v>
      </c>
      <c r="E66" s="1" t="s">
        <v>8</v>
      </c>
      <c r="F66" s="6" t="s">
        <v>9</v>
      </c>
    </row>
    <row r="67" spans="1:6" x14ac:dyDescent="0.35">
      <c r="A67" s="5" t="s">
        <v>13</v>
      </c>
      <c r="B67" s="1" t="s">
        <v>38</v>
      </c>
      <c r="C67" s="1">
        <v>14</v>
      </c>
      <c r="D67" s="1">
        <v>180</v>
      </c>
      <c r="E67" s="1" t="s">
        <v>8</v>
      </c>
      <c r="F67" s="6" t="s">
        <v>9</v>
      </c>
    </row>
    <row r="68" spans="1:6" x14ac:dyDescent="0.35">
      <c r="A68" s="5" t="s">
        <v>13</v>
      </c>
      <c r="B68" s="1" t="s">
        <v>38</v>
      </c>
      <c r="C68" s="1">
        <v>15</v>
      </c>
      <c r="D68" s="1">
        <v>809</v>
      </c>
      <c r="E68" s="1" t="s">
        <v>8</v>
      </c>
      <c r="F68" s="6" t="s">
        <v>9</v>
      </c>
    </row>
    <row r="69" spans="1:6" x14ac:dyDescent="0.35">
      <c r="A69" s="5" t="s">
        <v>13</v>
      </c>
      <c r="B69" s="1" t="s">
        <v>38</v>
      </c>
      <c r="C69" s="1">
        <v>16</v>
      </c>
      <c r="D69" s="1">
        <v>188</v>
      </c>
      <c r="E69" s="1" t="s">
        <v>8</v>
      </c>
      <c r="F69" s="6" t="s">
        <v>9</v>
      </c>
    </row>
    <row r="70" spans="1:6" x14ac:dyDescent="0.35">
      <c r="A70" s="5" t="s">
        <v>13</v>
      </c>
      <c r="B70" s="1" t="s">
        <v>38</v>
      </c>
      <c r="C70" s="1">
        <v>17</v>
      </c>
      <c r="D70" s="1">
        <v>181</v>
      </c>
      <c r="E70" s="1" t="s">
        <v>8</v>
      </c>
      <c r="F70" s="6" t="s">
        <v>9</v>
      </c>
    </row>
    <row r="71" spans="1:6" x14ac:dyDescent="0.35">
      <c r="A71" s="5" t="s">
        <v>13</v>
      </c>
      <c r="B71" s="1" t="s">
        <v>38</v>
      </c>
      <c r="C71" s="1">
        <v>18</v>
      </c>
      <c r="D71" s="1">
        <v>453</v>
      </c>
      <c r="E71" s="1" t="s">
        <v>8</v>
      </c>
      <c r="F71" s="6" t="s">
        <v>9</v>
      </c>
    </row>
    <row r="72" spans="1:6" x14ac:dyDescent="0.35">
      <c r="A72" s="5" t="s">
        <v>13</v>
      </c>
      <c r="B72" s="1" t="s">
        <v>38</v>
      </c>
      <c r="C72" s="1">
        <v>19</v>
      </c>
      <c r="D72" s="1">
        <v>241</v>
      </c>
      <c r="E72" s="1" t="s">
        <v>8</v>
      </c>
      <c r="F72" s="6" t="s">
        <v>9</v>
      </c>
    </row>
    <row r="73" spans="1:6" x14ac:dyDescent="0.35">
      <c r="A73" s="5" t="s">
        <v>13</v>
      </c>
      <c r="B73" s="1" t="s">
        <v>38</v>
      </c>
      <c r="C73" s="1">
        <v>20</v>
      </c>
      <c r="D73" s="1">
        <v>448</v>
      </c>
      <c r="E73" s="1" t="s">
        <v>8</v>
      </c>
      <c r="F73" s="6" t="s">
        <v>9</v>
      </c>
    </row>
    <row r="74" spans="1:6" x14ac:dyDescent="0.35">
      <c r="A74" s="5" t="s">
        <v>13</v>
      </c>
      <c r="B74" s="1" t="s">
        <v>38</v>
      </c>
      <c r="C74" s="1">
        <v>21</v>
      </c>
      <c r="D74" s="1">
        <v>587</v>
      </c>
      <c r="E74" s="1" t="s">
        <v>8</v>
      </c>
      <c r="F74" s="6" t="s">
        <v>9</v>
      </c>
    </row>
    <row r="75" spans="1:6" x14ac:dyDescent="0.35">
      <c r="A75" s="5" t="s">
        <v>13</v>
      </c>
      <c r="B75" s="1" t="s">
        <v>38</v>
      </c>
      <c r="C75" s="1">
        <v>22</v>
      </c>
      <c r="D75" s="1">
        <v>397</v>
      </c>
      <c r="E75" s="1" t="s">
        <v>8</v>
      </c>
      <c r="F75" s="6" t="s">
        <v>9</v>
      </c>
    </row>
    <row r="76" spans="1:6" x14ac:dyDescent="0.35">
      <c r="A76" s="5" t="s">
        <v>13</v>
      </c>
      <c r="B76" s="1" t="s">
        <v>38</v>
      </c>
      <c r="C76" s="1">
        <v>23</v>
      </c>
      <c r="D76" s="1">
        <v>469</v>
      </c>
      <c r="E76" s="1" t="s">
        <v>8</v>
      </c>
      <c r="F76" s="6" t="s">
        <v>9</v>
      </c>
    </row>
    <row r="77" spans="1:6" x14ac:dyDescent="0.35">
      <c r="A77" s="5" t="s">
        <v>13</v>
      </c>
      <c r="B77" s="1" t="s">
        <v>38</v>
      </c>
      <c r="C77" s="1">
        <v>24</v>
      </c>
      <c r="D77" s="1">
        <v>668</v>
      </c>
      <c r="E77" s="1" t="s">
        <v>8</v>
      </c>
      <c r="F77" s="6" t="s">
        <v>9</v>
      </c>
    </row>
    <row r="78" spans="1:6" x14ac:dyDescent="0.35">
      <c r="A78" s="5" t="s">
        <v>13</v>
      </c>
      <c r="B78" s="1" t="s">
        <v>38</v>
      </c>
      <c r="C78" s="1">
        <v>25</v>
      </c>
      <c r="D78" s="1">
        <v>378</v>
      </c>
      <c r="E78" s="1" t="s">
        <v>8</v>
      </c>
      <c r="F78" s="6" t="s">
        <v>9</v>
      </c>
    </row>
    <row r="79" spans="1:6" x14ac:dyDescent="0.35">
      <c r="A79" s="5" t="s">
        <v>13</v>
      </c>
      <c r="B79" s="1" t="s">
        <v>38</v>
      </c>
      <c r="C79" s="1">
        <v>26</v>
      </c>
      <c r="D79" s="1">
        <v>618</v>
      </c>
      <c r="E79" s="1" t="s">
        <v>8</v>
      </c>
      <c r="F79" s="6" t="s">
        <v>9</v>
      </c>
    </row>
    <row r="80" spans="1:6" x14ac:dyDescent="0.35">
      <c r="A80" s="5" t="s">
        <v>13</v>
      </c>
      <c r="B80" s="1" t="s">
        <v>38</v>
      </c>
      <c r="C80" s="1">
        <v>27</v>
      </c>
      <c r="D80" s="1">
        <v>827</v>
      </c>
      <c r="E80" s="1" t="s">
        <v>8</v>
      </c>
      <c r="F80" s="6" t="s">
        <v>9</v>
      </c>
    </row>
    <row r="81" spans="1:6" x14ac:dyDescent="0.35">
      <c r="A81" s="5" t="s">
        <v>13</v>
      </c>
      <c r="B81" s="1" t="s">
        <v>38</v>
      </c>
      <c r="C81" s="1">
        <v>28</v>
      </c>
      <c r="D81" s="1">
        <v>934</v>
      </c>
      <c r="E81" s="1" t="s">
        <v>8</v>
      </c>
      <c r="F81" s="6" t="s">
        <v>9</v>
      </c>
    </row>
    <row r="82" spans="1:6" x14ac:dyDescent="0.35">
      <c r="A82" s="5" t="s">
        <v>13</v>
      </c>
      <c r="B82" s="1" t="s">
        <v>38</v>
      </c>
      <c r="C82" s="1">
        <v>29</v>
      </c>
      <c r="D82" s="1">
        <v>592</v>
      </c>
      <c r="E82" s="1" t="s">
        <v>8</v>
      </c>
      <c r="F82" s="6" t="s">
        <v>9</v>
      </c>
    </row>
    <row r="83" spans="1:6" x14ac:dyDescent="0.35">
      <c r="A83" s="5" t="s">
        <v>13</v>
      </c>
      <c r="B83" s="1" t="s">
        <v>38</v>
      </c>
      <c r="C83" s="1">
        <v>30</v>
      </c>
      <c r="D83" s="1">
        <v>387</v>
      </c>
      <c r="E83" s="1" t="s">
        <v>8</v>
      </c>
      <c r="F83" s="6" t="s">
        <v>9</v>
      </c>
    </row>
    <row r="84" spans="1:6" x14ac:dyDescent="0.35">
      <c r="A84" s="5" t="s">
        <v>13</v>
      </c>
      <c r="B84" s="1" t="s">
        <v>38</v>
      </c>
      <c r="C84" s="1">
        <v>31</v>
      </c>
      <c r="D84" s="1">
        <v>890</v>
      </c>
      <c r="E84" s="1" t="s">
        <v>8</v>
      </c>
      <c r="F84" s="6" t="s">
        <v>9</v>
      </c>
    </row>
    <row r="85" spans="1:6" x14ac:dyDescent="0.35">
      <c r="A85" s="5" t="s">
        <v>13</v>
      </c>
      <c r="B85" s="1" t="s">
        <v>38</v>
      </c>
      <c r="C85" s="1">
        <v>32</v>
      </c>
      <c r="D85" s="1">
        <v>509</v>
      </c>
      <c r="E85" s="1" t="s">
        <v>8</v>
      </c>
      <c r="F85" s="6" t="s">
        <v>9</v>
      </c>
    </row>
    <row r="86" spans="1:6" x14ac:dyDescent="0.35">
      <c r="A86" s="5" t="s">
        <v>13</v>
      </c>
      <c r="B86" s="1" t="s">
        <v>38</v>
      </c>
      <c r="C86" s="1">
        <v>33</v>
      </c>
      <c r="D86" s="1">
        <v>771</v>
      </c>
      <c r="E86" s="1" t="s">
        <v>8</v>
      </c>
      <c r="F86" s="6" t="s">
        <v>9</v>
      </c>
    </row>
    <row r="87" spans="1:6" x14ac:dyDescent="0.35">
      <c r="A87" s="5" t="s">
        <v>13</v>
      </c>
      <c r="B87" s="1" t="s">
        <v>38</v>
      </c>
      <c r="C87" s="1">
        <v>34</v>
      </c>
      <c r="D87" s="1">
        <v>504</v>
      </c>
      <c r="E87" s="1" t="s">
        <v>8</v>
      </c>
      <c r="F87" s="6" t="s">
        <v>9</v>
      </c>
    </row>
    <row r="88" spans="1:6" x14ac:dyDescent="0.35">
      <c r="A88" s="5" t="s">
        <v>13</v>
      </c>
      <c r="B88" s="1" t="s">
        <v>38</v>
      </c>
      <c r="C88" s="1">
        <v>35</v>
      </c>
      <c r="D88" s="1">
        <v>190</v>
      </c>
      <c r="E88" s="1" t="s">
        <v>8</v>
      </c>
      <c r="F88" s="6" t="s">
        <v>9</v>
      </c>
    </row>
    <row r="89" spans="1:6" x14ac:dyDescent="0.35">
      <c r="A89" s="5" t="s">
        <v>13</v>
      </c>
      <c r="B89" s="1" t="s">
        <v>38</v>
      </c>
      <c r="C89" s="1">
        <v>36</v>
      </c>
      <c r="D89" s="1">
        <v>626</v>
      </c>
      <c r="E89" s="1" t="s">
        <v>8</v>
      </c>
      <c r="F89" s="6" t="s">
        <v>9</v>
      </c>
    </row>
    <row r="90" spans="1:6" x14ac:dyDescent="0.35">
      <c r="A90" s="5" t="s">
        <v>13</v>
      </c>
      <c r="B90" s="1" t="s">
        <v>38</v>
      </c>
      <c r="C90" s="1">
        <v>37</v>
      </c>
      <c r="D90" s="1">
        <v>469</v>
      </c>
      <c r="E90" s="1" t="s">
        <v>8</v>
      </c>
      <c r="F90" s="6" t="s">
        <v>9</v>
      </c>
    </row>
    <row r="91" spans="1:6" x14ac:dyDescent="0.35">
      <c r="A91" s="5" t="s">
        <v>13</v>
      </c>
      <c r="B91" s="1" t="s">
        <v>38</v>
      </c>
      <c r="C91" s="1">
        <v>38</v>
      </c>
      <c r="D91" s="1">
        <v>627</v>
      </c>
      <c r="E91" s="1" t="s">
        <v>8</v>
      </c>
      <c r="F91" s="6" t="s">
        <v>9</v>
      </c>
    </row>
    <row r="92" spans="1:6" x14ac:dyDescent="0.35">
      <c r="A92" s="5" t="s">
        <v>13</v>
      </c>
      <c r="B92" s="1" t="s">
        <v>38</v>
      </c>
      <c r="C92" s="1">
        <v>39</v>
      </c>
      <c r="D92" s="1">
        <v>848</v>
      </c>
      <c r="E92" s="1" t="s">
        <v>8</v>
      </c>
      <c r="F92" s="6" t="s">
        <v>9</v>
      </c>
    </row>
    <row r="93" spans="1:6" x14ac:dyDescent="0.35">
      <c r="A93" s="5" t="s">
        <v>13</v>
      </c>
      <c r="B93" s="1" t="s">
        <v>38</v>
      </c>
      <c r="C93" s="1">
        <v>40</v>
      </c>
      <c r="D93" s="1">
        <v>396</v>
      </c>
      <c r="E93" s="1" t="s">
        <v>8</v>
      </c>
      <c r="F93" s="6" t="s">
        <v>9</v>
      </c>
    </row>
    <row r="94" spans="1:6" x14ac:dyDescent="0.35">
      <c r="A94" s="5" t="s">
        <v>13</v>
      </c>
      <c r="B94" s="1" t="s">
        <v>38</v>
      </c>
      <c r="C94" s="1">
        <v>41</v>
      </c>
      <c r="D94" s="1">
        <v>355</v>
      </c>
      <c r="E94" s="1" t="s">
        <v>8</v>
      </c>
      <c r="F94" s="6" t="s">
        <v>9</v>
      </c>
    </row>
    <row r="95" spans="1:6" x14ac:dyDescent="0.35">
      <c r="A95" s="5" t="s">
        <v>13</v>
      </c>
      <c r="B95" s="1" t="s">
        <v>38</v>
      </c>
      <c r="C95" s="1">
        <v>42</v>
      </c>
      <c r="D95" s="1">
        <v>244</v>
      </c>
      <c r="E95" s="1" t="s">
        <v>8</v>
      </c>
      <c r="F95" s="6" t="s">
        <v>9</v>
      </c>
    </row>
    <row r="96" spans="1:6" x14ac:dyDescent="0.35">
      <c r="A96" s="5" t="s">
        <v>13</v>
      </c>
      <c r="B96" s="1" t="s">
        <v>38</v>
      </c>
      <c r="C96" s="1">
        <v>43</v>
      </c>
      <c r="D96" s="1">
        <v>669</v>
      </c>
      <c r="E96" s="1" t="s">
        <v>8</v>
      </c>
      <c r="F96" s="6" t="s">
        <v>9</v>
      </c>
    </row>
    <row r="97" spans="1:6" x14ac:dyDescent="0.35">
      <c r="A97" s="5" t="s">
        <v>13</v>
      </c>
      <c r="B97" s="1" t="s">
        <v>38</v>
      </c>
      <c r="C97" s="1">
        <v>44</v>
      </c>
      <c r="D97" s="1">
        <v>699</v>
      </c>
      <c r="E97" s="1" t="s">
        <v>8</v>
      </c>
      <c r="F97" s="6" t="s">
        <v>9</v>
      </c>
    </row>
    <row r="98" spans="1:6" x14ac:dyDescent="0.35">
      <c r="A98" s="5" t="s">
        <v>13</v>
      </c>
      <c r="B98" s="1" t="s">
        <v>38</v>
      </c>
      <c r="C98" s="1">
        <v>45</v>
      </c>
      <c r="D98" s="1">
        <v>746</v>
      </c>
      <c r="E98" s="1" t="s">
        <v>8</v>
      </c>
      <c r="F98" s="6" t="s">
        <v>9</v>
      </c>
    </row>
    <row r="99" spans="1:6" x14ac:dyDescent="0.35">
      <c r="A99" s="5" t="s">
        <v>13</v>
      </c>
      <c r="B99" s="1" t="s">
        <v>38</v>
      </c>
      <c r="C99" s="1">
        <v>46</v>
      </c>
      <c r="D99" s="1">
        <v>321</v>
      </c>
      <c r="E99" s="1" t="s">
        <v>8</v>
      </c>
      <c r="F99" s="6" t="s">
        <v>9</v>
      </c>
    </row>
    <row r="100" spans="1:6" x14ac:dyDescent="0.35">
      <c r="A100" s="5" t="s">
        <v>13</v>
      </c>
      <c r="B100" s="1" t="s">
        <v>38</v>
      </c>
      <c r="C100" s="1">
        <v>47</v>
      </c>
      <c r="D100" s="1">
        <v>1576</v>
      </c>
      <c r="E100" s="1" t="s">
        <v>8</v>
      </c>
      <c r="F100" s="6" t="s">
        <v>9</v>
      </c>
    </row>
    <row r="101" spans="1:6" x14ac:dyDescent="0.35">
      <c r="A101" s="5" t="s">
        <v>13</v>
      </c>
      <c r="B101" s="1" t="s">
        <v>38</v>
      </c>
      <c r="C101" s="1">
        <v>48</v>
      </c>
      <c r="D101" s="1">
        <v>404</v>
      </c>
      <c r="E101" s="1" t="s">
        <v>8</v>
      </c>
      <c r="F101" s="6" t="s">
        <v>9</v>
      </c>
    </row>
    <row r="102" spans="1:6" x14ac:dyDescent="0.35">
      <c r="A102" s="5" t="s">
        <v>13</v>
      </c>
      <c r="B102" s="1" t="s">
        <v>38</v>
      </c>
      <c r="C102" s="1">
        <v>49</v>
      </c>
      <c r="D102" s="1">
        <v>1138</v>
      </c>
      <c r="E102" s="1" t="s">
        <v>8</v>
      </c>
      <c r="F102" s="6" t="s">
        <v>9</v>
      </c>
    </row>
    <row r="103" spans="1:6" x14ac:dyDescent="0.35">
      <c r="A103" s="5" t="s">
        <v>13</v>
      </c>
      <c r="B103" s="1" t="s">
        <v>38</v>
      </c>
      <c r="C103" s="1">
        <v>50</v>
      </c>
      <c r="D103" s="1">
        <v>992</v>
      </c>
      <c r="E103" s="1" t="s">
        <v>8</v>
      </c>
      <c r="F103" s="6" t="s">
        <v>9</v>
      </c>
    </row>
    <row r="104" spans="1:6" x14ac:dyDescent="0.35">
      <c r="A104" s="5" t="s">
        <v>13</v>
      </c>
      <c r="B104" s="1" t="s">
        <v>38</v>
      </c>
      <c r="C104" s="1">
        <v>51</v>
      </c>
      <c r="D104" s="1">
        <v>617</v>
      </c>
      <c r="E104" s="1" t="s">
        <v>8</v>
      </c>
      <c r="F104" s="6" t="s">
        <v>9</v>
      </c>
    </row>
    <row r="105" spans="1:6" x14ac:dyDescent="0.35">
      <c r="A105" s="5" t="s">
        <v>13</v>
      </c>
      <c r="B105" s="1" t="s">
        <v>38</v>
      </c>
      <c r="C105" s="1">
        <v>52</v>
      </c>
      <c r="D105" s="1">
        <v>659</v>
      </c>
      <c r="E105" s="1" t="s">
        <v>8</v>
      </c>
      <c r="F105" s="6" t="s">
        <v>9</v>
      </c>
    </row>
    <row r="106" spans="1:6" x14ac:dyDescent="0.35">
      <c r="A106" s="5" t="s">
        <v>6</v>
      </c>
      <c r="B106" s="1" t="s">
        <v>7</v>
      </c>
      <c r="C106" s="1">
        <v>1</v>
      </c>
      <c r="D106" s="1">
        <v>370</v>
      </c>
      <c r="E106" s="1" t="s">
        <v>8</v>
      </c>
      <c r="F106" s="6" t="s">
        <v>9</v>
      </c>
    </row>
    <row r="107" spans="1:6" x14ac:dyDescent="0.35">
      <c r="A107" s="5" t="s">
        <v>6</v>
      </c>
      <c r="B107" s="1" t="s">
        <v>7</v>
      </c>
      <c r="C107" s="1">
        <v>2</v>
      </c>
      <c r="D107" s="1">
        <v>43</v>
      </c>
      <c r="E107" s="1" t="s">
        <v>8</v>
      </c>
      <c r="F107" s="6" t="s">
        <v>9</v>
      </c>
    </row>
    <row r="108" spans="1:6" x14ac:dyDescent="0.35">
      <c r="A108" s="5" t="s">
        <v>6</v>
      </c>
      <c r="B108" s="1" t="s">
        <v>7</v>
      </c>
      <c r="C108" s="1">
        <v>3</v>
      </c>
      <c r="D108" s="1">
        <v>104</v>
      </c>
      <c r="E108" s="1" t="s">
        <v>8</v>
      </c>
      <c r="F108" s="6" t="s">
        <v>9</v>
      </c>
    </row>
    <row r="109" spans="1:6" x14ac:dyDescent="0.35">
      <c r="A109" s="5" t="s">
        <v>6</v>
      </c>
      <c r="B109" s="1" t="s">
        <v>7</v>
      </c>
      <c r="C109" s="1">
        <v>4</v>
      </c>
      <c r="D109" s="1">
        <v>415</v>
      </c>
      <c r="E109" s="1" t="s">
        <v>8</v>
      </c>
      <c r="F109" s="6" t="s">
        <v>9</v>
      </c>
    </row>
    <row r="110" spans="1:6" x14ac:dyDescent="0.35">
      <c r="A110" s="5" t="s">
        <v>6</v>
      </c>
      <c r="B110" s="1" t="s">
        <v>7</v>
      </c>
      <c r="C110" s="1">
        <v>5</v>
      </c>
      <c r="D110" s="1">
        <v>362</v>
      </c>
      <c r="E110" s="1" t="s">
        <v>8</v>
      </c>
      <c r="F110" s="6" t="s">
        <v>9</v>
      </c>
    </row>
    <row r="111" spans="1:6" x14ac:dyDescent="0.35">
      <c r="A111" s="5" t="s">
        <v>6</v>
      </c>
      <c r="B111" s="1" t="s">
        <v>7</v>
      </c>
      <c r="C111" s="1">
        <v>6</v>
      </c>
      <c r="D111" s="1">
        <v>77</v>
      </c>
      <c r="E111" s="1" t="s">
        <v>8</v>
      </c>
      <c r="F111" s="6" t="s">
        <v>9</v>
      </c>
    </row>
    <row r="112" spans="1:6" x14ac:dyDescent="0.35">
      <c r="A112" s="5" t="s">
        <v>6</v>
      </c>
      <c r="B112" s="1" t="s">
        <v>7</v>
      </c>
      <c r="C112" s="1">
        <v>7</v>
      </c>
      <c r="D112" s="1">
        <v>47</v>
      </c>
      <c r="E112" s="1" t="s">
        <v>8</v>
      </c>
      <c r="F112" s="6" t="s">
        <v>9</v>
      </c>
    </row>
    <row r="113" spans="1:6" x14ac:dyDescent="0.35">
      <c r="A113" s="5" t="s">
        <v>6</v>
      </c>
      <c r="B113" s="1" t="s">
        <v>7</v>
      </c>
      <c r="C113" s="1">
        <v>8</v>
      </c>
      <c r="D113" s="1">
        <v>383</v>
      </c>
      <c r="E113" s="1" t="s">
        <v>8</v>
      </c>
      <c r="F113" s="6" t="s">
        <v>9</v>
      </c>
    </row>
    <row r="114" spans="1:6" x14ac:dyDescent="0.35">
      <c r="A114" s="5" t="s">
        <v>6</v>
      </c>
      <c r="B114" s="1" t="s">
        <v>7</v>
      </c>
      <c r="C114" s="1">
        <v>9</v>
      </c>
      <c r="D114" s="1">
        <v>12</v>
      </c>
      <c r="E114" s="1" t="s">
        <v>8</v>
      </c>
      <c r="F114" s="6" t="s">
        <v>9</v>
      </c>
    </row>
    <row r="115" spans="1:6" x14ac:dyDescent="0.35">
      <c r="A115" s="5" t="s">
        <v>6</v>
      </c>
      <c r="B115" s="1" t="s">
        <v>7</v>
      </c>
      <c r="C115" s="1">
        <v>10</v>
      </c>
      <c r="D115" s="1">
        <v>118</v>
      </c>
      <c r="E115" s="1" t="s">
        <v>8</v>
      </c>
      <c r="F115" s="6" t="s">
        <v>9</v>
      </c>
    </row>
    <row r="116" spans="1:6" x14ac:dyDescent="0.35">
      <c r="A116" s="5" t="s">
        <v>6</v>
      </c>
      <c r="B116" s="1" t="s">
        <v>7</v>
      </c>
      <c r="C116" s="1">
        <v>11</v>
      </c>
      <c r="D116" s="1">
        <v>339</v>
      </c>
      <c r="E116" s="1" t="s">
        <v>8</v>
      </c>
      <c r="F116" s="6" t="s">
        <v>9</v>
      </c>
    </row>
    <row r="117" spans="1:6" x14ac:dyDescent="0.35">
      <c r="A117" s="5" t="s">
        <v>6</v>
      </c>
      <c r="B117" s="1" t="s">
        <v>7</v>
      </c>
      <c r="C117" s="1">
        <v>12</v>
      </c>
      <c r="D117" s="1">
        <v>369</v>
      </c>
      <c r="E117" s="1" t="s">
        <v>8</v>
      </c>
      <c r="F117" s="6" t="s">
        <v>9</v>
      </c>
    </row>
    <row r="118" spans="1:6" x14ac:dyDescent="0.35">
      <c r="A118" s="5" t="s">
        <v>6</v>
      </c>
      <c r="B118" s="1" t="s">
        <v>7</v>
      </c>
      <c r="C118" s="1">
        <v>13</v>
      </c>
      <c r="D118" s="1">
        <v>53</v>
      </c>
      <c r="E118" s="1" t="s">
        <v>8</v>
      </c>
      <c r="F118" s="6" t="s">
        <v>9</v>
      </c>
    </row>
    <row r="119" spans="1:6" x14ac:dyDescent="0.35">
      <c r="A119" s="5" t="s">
        <v>6</v>
      </c>
      <c r="B119" s="1" t="s">
        <v>7</v>
      </c>
      <c r="C119" s="1">
        <v>14</v>
      </c>
      <c r="D119" s="1">
        <v>88</v>
      </c>
      <c r="E119" s="1" t="s">
        <v>8</v>
      </c>
      <c r="F119" s="6" t="s">
        <v>9</v>
      </c>
    </row>
    <row r="120" spans="1:6" x14ac:dyDescent="0.35">
      <c r="A120" s="5" t="s">
        <v>6</v>
      </c>
      <c r="B120" s="1" t="s">
        <v>7</v>
      </c>
      <c r="C120" s="1">
        <v>15</v>
      </c>
      <c r="D120" s="1">
        <v>190</v>
      </c>
      <c r="E120" s="1" t="s">
        <v>8</v>
      </c>
      <c r="F120" s="6" t="s">
        <v>9</v>
      </c>
    </row>
    <row r="121" spans="1:6" x14ac:dyDescent="0.35">
      <c r="A121" s="5" t="s">
        <v>6</v>
      </c>
      <c r="B121" s="1" t="s">
        <v>7</v>
      </c>
      <c r="C121" s="1">
        <v>16</v>
      </c>
      <c r="D121" s="1">
        <v>311</v>
      </c>
      <c r="E121" s="1" t="s">
        <v>8</v>
      </c>
      <c r="F121" s="6" t="s">
        <v>9</v>
      </c>
    </row>
    <row r="122" spans="1:6" x14ac:dyDescent="0.35">
      <c r="A122" s="5" t="s">
        <v>6</v>
      </c>
      <c r="B122" s="1" t="s">
        <v>7</v>
      </c>
      <c r="C122" s="1">
        <v>17</v>
      </c>
      <c r="D122" s="1">
        <v>284</v>
      </c>
      <c r="E122" s="1" t="s">
        <v>8</v>
      </c>
      <c r="F122" s="6" t="s">
        <v>9</v>
      </c>
    </row>
    <row r="123" spans="1:6" x14ac:dyDescent="0.35">
      <c r="A123" s="5" t="s">
        <v>6</v>
      </c>
      <c r="B123" s="1" t="s">
        <v>7</v>
      </c>
      <c r="C123" s="1">
        <v>18</v>
      </c>
      <c r="D123" s="1">
        <v>194</v>
      </c>
      <c r="E123" s="1" t="s">
        <v>8</v>
      </c>
      <c r="F123" s="6" t="s">
        <v>9</v>
      </c>
    </row>
    <row r="124" spans="1:6" x14ac:dyDescent="0.35">
      <c r="A124" s="5" t="s">
        <v>6</v>
      </c>
      <c r="B124" s="1" t="s">
        <v>7</v>
      </c>
      <c r="C124" s="1">
        <v>19</v>
      </c>
      <c r="D124" s="1">
        <v>587</v>
      </c>
      <c r="E124" s="1" t="s">
        <v>8</v>
      </c>
      <c r="F124" s="6" t="s">
        <v>9</v>
      </c>
    </row>
    <row r="125" spans="1:6" x14ac:dyDescent="0.35">
      <c r="A125" s="5" t="s">
        <v>6</v>
      </c>
      <c r="B125" s="1" t="s">
        <v>7</v>
      </c>
      <c r="C125" s="1">
        <v>20</v>
      </c>
      <c r="D125" s="1">
        <v>290</v>
      </c>
      <c r="E125" s="1" t="s">
        <v>8</v>
      </c>
      <c r="F125" s="6" t="s">
        <v>9</v>
      </c>
    </row>
    <row r="126" spans="1:6" x14ac:dyDescent="0.35">
      <c r="A126" s="5" t="s">
        <v>6</v>
      </c>
      <c r="B126" s="1" t="s">
        <v>7</v>
      </c>
      <c r="C126" s="1">
        <v>21</v>
      </c>
      <c r="D126" s="1">
        <v>219</v>
      </c>
      <c r="E126" s="1" t="s">
        <v>8</v>
      </c>
      <c r="F126" s="6" t="s">
        <v>9</v>
      </c>
    </row>
    <row r="127" spans="1:6" x14ac:dyDescent="0.35">
      <c r="A127" s="5" t="s">
        <v>6</v>
      </c>
      <c r="B127" s="1" t="s">
        <v>7</v>
      </c>
      <c r="C127" s="1">
        <v>22</v>
      </c>
      <c r="D127" s="1">
        <v>384</v>
      </c>
      <c r="E127" s="1" t="s">
        <v>8</v>
      </c>
      <c r="F127" s="6" t="s">
        <v>9</v>
      </c>
    </row>
    <row r="128" spans="1:6" x14ac:dyDescent="0.35">
      <c r="A128" s="5" t="s">
        <v>6</v>
      </c>
      <c r="B128" s="1" t="s">
        <v>7</v>
      </c>
      <c r="C128" s="1">
        <v>23</v>
      </c>
      <c r="D128" s="1">
        <v>680</v>
      </c>
      <c r="E128" s="1" t="s">
        <v>8</v>
      </c>
      <c r="F128" s="6" t="s">
        <v>9</v>
      </c>
    </row>
    <row r="129" spans="1:6" x14ac:dyDescent="0.35">
      <c r="A129" s="5" t="s">
        <v>6</v>
      </c>
      <c r="B129" s="1" t="s">
        <v>7</v>
      </c>
      <c r="C129" s="1">
        <v>24</v>
      </c>
      <c r="D129" s="1">
        <v>389</v>
      </c>
      <c r="E129" s="1" t="s">
        <v>8</v>
      </c>
      <c r="F129" s="6" t="s">
        <v>9</v>
      </c>
    </row>
    <row r="130" spans="1:6" x14ac:dyDescent="0.35">
      <c r="A130" s="5" t="s">
        <v>6</v>
      </c>
      <c r="B130" s="1" t="s">
        <v>7</v>
      </c>
      <c r="C130" s="1">
        <v>25</v>
      </c>
      <c r="D130" s="1">
        <v>141</v>
      </c>
      <c r="E130" s="1" t="s">
        <v>8</v>
      </c>
      <c r="F130" s="6" t="s">
        <v>9</v>
      </c>
    </row>
    <row r="131" spans="1:6" x14ac:dyDescent="0.35">
      <c r="A131" s="5" t="s">
        <v>6</v>
      </c>
      <c r="B131" s="1" t="s">
        <v>7</v>
      </c>
      <c r="C131" s="1">
        <v>26</v>
      </c>
      <c r="D131" s="1">
        <v>394</v>
      </c>
      <c r="E131" s="1" t="s">
        <v>8</v>
      </c>
      <c r="F131" s="6" t="s">
        <v>9</v>
      </c>
    </row>
    <row r="132" spans="1:6" x14ac:dyDescent="0.35">
      <c r="A132" s="5" t="s">
        <v>6</v>
      </c>
      <c r="B132" s="1" t="s">
        <v>7</v>
      </c>
      <c r="C132" s="1">
        <v>27</v>
      </c>
      <c r="D132" s="1">
        <v>343</v>
      </c>
      <c r="E132" s="1" t="s">
        <v>8</v>
      </c>
      <c r="F132" s="6" t="s">
        <v>9</v>
      </c>
    </row>
    <row r="133" spans="1:6" x14ac:dyDescent="0.35">
      <c r="A133" s="5" t="s">
        <v>6</v>
      </c>
      <c r="B133" s="1" t="s">
        <v>7</v>
      </c>
      <c r="C133" s="1">
        <v>28</v>
      </c>
      <c r="D133" s="1">
        <v>451</v>
      </c>
      <c r="E133" s="1" t="s">
        <v>8</v>
      </c>
      <c r="F133" s="6" t="s">
        <v>9</v>
      </c>
    </row>
    <row r="134" spans="1:6" x14ac:dyDescent="0.35">
      <c r="A134" s="5" t="s">
        <v>6</v>
      </c>
      <c r="B134" s="1" t="s">
        <v>7</v>
      </c>
      <c r="C134" s="1">
        <v>29</v>
      </c>
      <c r="D134" s="1">
        <v>205</v>
      </c>
      <c r="E134" s="1" t="s">
        <v>8</v>
      </c>
      <c r="F134" s="6" t="s">
        <v>9</v>
      </c>
    </row>
    <row r="135" spans="1:6" x14ac:dyDescent="0.35">
      <c r="A135" s="5" t="s">
        <v>6</v>
      </c>
      <c r="B135" s="1" t="s">
        <v>7</v>
      </c>
      <c r="C135" s="1">
        <v>30</v>
      </c>
      <c r="D135" s="1">
        <v>162</v>
      </c>
      <c r="E135" s="1" t="s">
        <v>8</v>
      </c>
      <c r="F135" s="6" t="s">
        <v>9</v>
      </c>
    </row>
    <row r="136" spans="1:6" x14ac:dyDescent="0.35">
      <c r="A136" s="5" t="s">
        <v>6</v>
      </c>
      <c r="B136" s="1" t="s">
        <v>7</v>
      </c>
      <c r="C136" s="1">
        <v>31</v>
      </c>
      <c r="D136" s="1">
        <v>28</v>
      </c>
      <c r="E136" s="1" t="s">
        <v>8</v>
      </c>
      <c r="F136" s="6" t="s">
        <v>9</v>
      </c>
    </row>
    <row r="137" spans="1:6" x14ac:dyDescent="0.35">
      <c r="A137" s="5" t="s">
        <v>6</v>
      </c>
      <c r="B137" s="1" t="s">
        <v>7</v>
      </c>
      <c r="C137" s="1">
        <v>32</v>
      </c>
      <c r="D137" s="1">
        <v>9</v>
      </c>
      <c r="E137" s="1" t="s">
        <v>8</v>
      </c>
      <c r="F137" s="6" t="s">
        <v>9</v>
      </c>
    </row>
    <row r="138" spans="1:6" x14ac:dyDescent="0.35">
      <c r="A138" s="5" t="s">
        <v>6</v>
      </c>
      <c r="B138" s="1" t="s">
        <v>7</v>
      </c>
      <c r="C138" s="1">
        <v>33</v>
      </c>
      <c r="D138" s="1">
        <v>217</v>
      </c>
      <c r="E138" s="1" t="s">
        <v>8</v>
      </c>
      <c r="F138" s="6" t="s">
        <v>9</v>
      </c>
    </row>
    <row r="139" spans="1:6" x14ac:dyDescent="0.35">
      <c r="A139" s="5" t="s">
        <v>6</v>
      </c>
      <c r="B139" s="1" t="s">
        <v>7</v>
      </c>
      <c r="C139" s="1">
        <v>34</v>
      </c>
      <c r="D139" s="1">
        <v>58</v>
      </c>
      <c r="E139" s="1" t="s">
        <v>8</v>
      </c>
      <c r="F139" s="6" t="s">
        <v>9</v>
      </c>
    </row>
    <row r="140" spans="1:6" x14ac:dyDescent="0.35">
      <c r="A140" s="5" t="s">
        <v>6</v>
      </c>
      <c r="B140" s="1" t="s">
        <v>7</v>
      </c>
      <c r="C140" s="1">
        <v>35</v>
      </c>
      <c r="D140" s="1">
        <v>1052</v>
      </c>
      <c r="E140" s="1" t="s">
        <v>8</v>
      </c>
      <c r="F140" s="6" t="s">
        <v>9</v>
      </c>
    </row>
    <row r="141" spans="1:6" x14ac:dyDescent="0.35">
      <c r="A141" s="5" t="s">
        <v>6</v>
      </c>
      <c r="B141" s="1" t="s">
        <v>7</v>
      </c>
      <c r="C141" s="1">
        <v>36</v>
      </c>
      <c r="D141" s="1">
        <v>383</v>
      </c>
      <c r="E141" s="1" t="s">
        <v>8</v>
      </c>
      <c r="F141" s="6" t="s">
        <v>9</v>
      </c>
    </row>
    <row r="142" spans="1:6" x14ac:dyDescent="0.35">
      <c r="A142" s="5" t="s">
        <v>6</v>
      </c>
      <c r="B142" s="1" t="s">
        <v>7</v>
      </c>
      <c r="C142" s="1">
        <v>37</v>
      </c>
      <c r="D142" s="1">
        <v>1050</v>
      </c>
      <c r="E142" s="1" t="s">
        <v>8</v>
      </c>
      <c r="F142" s="6" t="s">
        <v>9</v>
      </c>
    </row>
    <row r="143" spans="1:6" x14ac:dyDescent="0.35">
      <c r="A143" s="5" t="s">
        <v>6</v>
      </c>
      <c r="B143" s="1" t="s">
        <v>7</v>
      </c>
      <c r="C143" s="1">
        <v>38</v>
      </c>
      <c r="D143" s="1">
        <v>289</v>
      </c>
      <c r="E143" s="1" t="s">
        <v>8</v>
      </c>
      <c r="F143" s="6" t="s">
        <v>9</v>
      </c>
    </row>
    <row r="144" spans="1:6" x14ac:dyDescent="0.35">
      <c r="A144" s="5" t="s">
        <v>6</v>
      </c>
      <c r="B144" s="1" t="s">
        <v>7</v>
      </c>
      <c r="C144" s="1">
        <v>39</v>
      </c>
      <c r="D144" s="1">
        <v>179</v>
      </c>
      <c r="E144" s="1" t="s">
        <v>8</v>
      </c>
      <c r="F144" s="6" t="s">
        <v>9</v>
      </c>
    </row>
    <row r="145" spans="1:6" x14ac:dyDescent="0.35">
      <c r="A145" s="5" t="s">
        <v>6</v>
      </c>
      <c r="B145" s="1" t="s">
        <v>7</v>
      </c>
      <c r="C145" s="1">
        <v>40</v>
      </c>
      <c r="D145" s="1">
        <v>483</v>
      </c>
      <c r="E145" s="1" t="s">
        <v>8</v>
      </c>
      <c r="F145" s="6" t="s">
        <v>9</v>
      </c>
    </row>
    <row r="146" spans="1:6" x14ac:dyDescent="0.35">
      <c r="A146" s="5" t="s">
        <v>6</v>
      </c>
      <c r="B146" s="1" t="s">
        <v>7</v>
      </c>
      <c r="C146" s="1">
        <v>41</v>
      </c>
      <c r="D146" s="1">
        <v>475</v>
      </c>
      <c r="E146" s="1" t="s">
        <v>8</v>
      </c>
      <c r="F146" s="6" t="s">
        <v>9</v>
      </c>
    </row>
    <row r="147" spans="1:6" x14ac:dyDescent="0.35">
      <c r="A147" s="5" t="s">
        <v>6</v>
      </c>
      <c r="B147" s="1" t="s">
        <v>7</v>
      </c>
      <c r="C147" s="1">
        <v>42</v>
      </c>
      <c r="D147" s="1">
        <v>362</v>
      </c>
      <c r="E147" s="1" t="s">
        <v>8</v>
      </c>
      <c r="F147" s="6" t="s">
        <v>9</v>
      </c>
    </row>
    <row r="148" spans="1:6" x14ac:dyDescent="0.35">
      <c r="A148" s="5" t="s">
        <v>6</v>
      </c>
      <c r="B148" s="1" t="s">
        <v>7</v>
      </c>
      <c r="C148" s="1">
        <v>43</v>
      </c>
      <c r="D148" s="1">
        <v>1024</v>
      </c>
      <c r="E148" s="1" t="s">
        <v>8</v>
      </c>
      <c r="F148" s="6" t="s">
        <v>9</v>
      </c>
    </row>
    <row r="149" spans="1:6" x14ac:dyDescent="0.35">
      <c r="A149" s="5" t="s">
        <v>6</v>
      </c>
      <c r="B149" s="1" t="s">
        <v>7</v>
      </c>
      <c r="C149" s="1">
        <v>44</v>
      </c>
      <c r="D149" s="1">
        <v>12</v>
      </c>
      <c r="E149" s="1" t="s">
        <v>8</v>
      </c>
      <c r="F149" s="6" t="s">
        <v>9</v>
      </c>
    </row>
    <row r="150" spans="1:6" x14ac:dyDescent="0.35">
      <c r="A150" s="5" t="s">
        <v>6</v>
      </c>
      <c r="B150" s="1" t="s">
        <v>7</v>
      </c>
      <c r="C150" s="1">
        <v>45</v>
      </c>
      <c r="D150" s="1">
        <v>1343</v>
      </c>
      <c r="E150" s="1" t="s">
        <v>8</v>
      </c>
      <c r="F150" s="6" t="s">
        <v>9</v>
      </c>
    </row>
    <row r="151" spans="1:6" x14ac:dyDescent="0.35">
      <c r="A151" s="5" t="s">
        <v>6</v>
      </c>
      <c r="B151" s="1" t="s">
        <v>7</v>
      </c>
      <c r="C151" s="1">
        <v>46</v>
      </c>
      <c r="D151" s="1">
        <v>438</v>
      </c>
      <c r="E151" s="1" t="s">
        <v>8</v>
      </c>
      <c r="F151" s="6" t="s">
        <v>9</v>
      </c>
    </row>
    <row r="152" spans="1:6" x14ac:dyDescent="0.35">
      <c r="A152" s="5" t="s">
        <v>6</v>
      </c>
      <c r="B152" s="1" t="s">
        <v>7</v>
      </c>
      <c r="C152" s="1">
        <v>47</v>
      </c>
      <c r="D152" s="1">
        <v>101</v>
      </c>
      <c r="E152" s="1" t="s">
        <v>8</v>
      </c>
      <c r="F152" s="6" t="s">
        <v>9</v>
      </c>
    </row>
    <row r="153" spans="1:6" x14ac:dyDescent="0.35">
      <c r="A153" s="5" t="s">
        <v>6</v>
      </c>
      <c r="B153" s="1" t="s">
        <v>7</v>
      </c>
      <c r="C153" s="1">
        <v>48</v>
      </c>
      <c r="D153" s="1">
        <v>723</v>
      </c>
      <c r="E153" s="1" t="s">
        <v>8</v>
      </c>
      <c r="F153" s="6" t="s">
        <v>9</v>
      </c>
    </row>
    <row r="154" spans="1:6" x14ac:dyDescent="0.35">
      <c r="A154" s="5" t="s">
        <v>6</v>
      </c>
      <c r="B154" s="1" t="s">
        <v>7</v>
      </c>
      <c r="C154" s="1">
        <v>49</v>
      </c>
      <c r="D154" s="1">
        <v>166</v>
      </c>
      <c r="E154" s="1" t="s">
        <v>8</v>
      </c>
      <c r="F154" s="6" t="s">
        <v>9</v>
      </c>
    </row>
    <row r="155" spans="1:6" x14ac:dyDescent="0.35">
      <c r="A155" s="5" t="s">
        <v>6</v>
      </c>
      <c r="B155" s="1" t="s">
        <v>7</v>
      </c>
      <c r="C155" s="1">
        <v>50</v>
      </c>
      <c r="D155" s="1">
        <v>452</v>
      </c>
      <c r="E155" s="1" t="s">
        <v>8</v>
      </c>
      <c r="F155" s="6" t="s">
        <v>9</v>
      </c>
    </row>
    <row r="156" spans="1:6" x14ac:dyDescent="0.35">
      <c r="A156" s="5" t="s">
        <v>6</v>
      </c>
      <c r="B156" s="1" t="s">
        <v>7</v>
      </c>
      <c r="C156" s="1">
        <v>51</v>
      </c>
      <c r="D156" s="1">
        <v>715</v>
      </c>
      <c r="E156" s="1" t="s">
        <v>8</v>
      </c>
      <c r="F156" s="6" t="s">
        <v>9</v>
      </c>
    </row>
    <row r="157" spans="1:6" x14ac:dyDescent="0.35">
      <c r="A157" s="5" t="s">
        <v>6</v>
      </c>
      <c r="B157" s="1" t="s">
        <v>7</v>
      </c>
      <c r="C157" s="1">
        <v>52</v>
      </c>
      <c r="D157" s="1">
        <v>960</v>
      </c>
      <c r="E157" s="1" t="s">
        <v>8</v>
      </c>
      <c r="F157" s="6" t="s">
        <v>9</v>
      </c>
    </row>
    <row r="158" spans="1:6" x14ac:dyDescent="0.35">
      <c r="A158" s="5" t="s">
        <v>10</v>
      </c>
      <c r="B158" s="1" t="s">
        <v>45</v>
      </c>
      <c r="C158" s="1">
        <v>1</v>
      </c>
      <c r="D158" s="1">
        <v>164</v>
      </c>
      <c r="E158" s="1" t="s">
        <v>17</v>
      </c>
      <c r="F158" s="6" t="s">
        <v>18</v>
      </c>
    </row>
    <row r="159" spans="1:6" x14ac:dyDescent="0.35">
      <c r="A159" s="5" t="s">
        <v>10</v>
      </c>
      <c r="B159" s="1" t="s">
        <v>45</v>
      </c>
      <c r="C159" s="1">
        <v>2</v>
      </c>
      <c r="D159" s="1">
        <v>277</v>
      </c>
      <c r="E159" s="1" t="s">
        <v>17</v>
      </c>
      <c r="F159" s="6" t="s">
        <v>18</v>
      </c>
    </row>
    <row r="160" spans="1:6" x14ac:dyDescent="0.35">
      <c r="A160" s="5" t="s">
        <v>10</v>
      </c>
      <c r="B160" s="1" t="s">
        <v>45</v>
      </c>
      <c r="C160" s="1">
        <v>3</v>
      </c>
      <c r="D160" s="1">
        <v>239</v>
      </c>
      <c r="E160" s="1" t="s">
        <v>17</v>
      </c>
      <c r="F160" s="6" t="s">
        <v>18</v>
      </c>
    </row>
    <row r="161" spans="1:6" x14ac:dyDescent="0.35">
      <c r="A161" s="5" t="s">
        <v>10</v>
      </c>
      <c r="B161" s="1" t="s">
        <v>45</v>
      </c>
      <c r="C161" s="1">
        <v>4</v>
      </c>
      <c r="D161" s="1">
        <v>91</v>
      </c>
      <c r="E161" s="1" t="s">
        <v>17</v>
      </c>
      <c r="F161" s="6" t="s">
        <v>18</v>
      </c>
    </row>
    <row r="162" spans="1:6" x14ac:dyDescent="0.35">
      <c r="A162" s="5" t="s">
        <v>10</v>
      </c>
      <c r="B162" s="1" t="s">
        <v>45</v>
      </c>
      <c r="C162" s="1">
        <v>5</v>
      </c>
      <c r="D162" s="1">
        <v>459</v>
      </c>
      <c r="E162" s="1" t="s">
        <v>17</v>
      </c>
      <c r="F162" s="6" t="s">
        <v>18</v>
      </c>
    </row>
    <row r="163" spans="1:6" x14ac:dyDescent="0.35">
      <c r="A163" s="5" t="s">
        <v>10</v>
      </c>
      <c r="B163" s="1" t="s">
        <v>45</v>
      </c>
      <c r="C163" s="1">
        <v>6</v>
      </c>
      <c r="D163" s="1">
        <v>292</v>
      </c>
      <c r="E163" s="1" t="s">
        <v>17</v>
      </c>
      <c r="F163" s="6" t="s">
        <v>18</v>
      </c>
    </row>
    <row r="164" spans="1:6" x14ac:dyDescent="0.35">
      <c r="A164" s="5" t="s">
        <v>10</v>
      </c>
      <c r="B164" s="1" t="s">
        <v>45</v>
      </c>
      <c r="C164" s="1">
        <v>7</v>
      </c>
      <c r="D164" s="1">
        <v>290</v>
      </c>
      <c r="E164" s="1" t="s">
        <v>17</v>
      </c>
      <c r="F164" s="6" t="s">
        <v>18</v>
      </c>
    </row>
    <row r="165" spans="1:6" x14ac:dyDescent="0.35">
      <c r="A165" s="5" t="s">
        <v>10</v>
      </c>
      <c r="B165" s="1" t="s">
        <v>45</v>
      </c>
      <c r="C165" s="1">
        <v>8</v>
      </c>
      <c r="D165" s="1">
        <v>312</v>
      </c>
      <c r="E165" s="1" t="s">
        <v>17</v>
      </c>
      <c r="F165" s="6" t="s">
        <v>18</v>
      </c>
    </row>
    <row r="166" spans="1:6" x14ac:dyDescent="0.35">
      <c r="A166" s="5" t="s">
        <v>10</v>
      </c>
      <c r="B166" s="1" t="s">
        <v>45</v>
      </c>
      <c r="C166" s="1">
        <v>9</v>
      </c>
      <c r="D166" s="1">
        <v>296</v>
      </c>
      <c r="E166" s="1" t="s">
        <v>17</v>
      </c>
      <c r="F166" s="6" t="s">
        <v>18</v>
      </c>
    </row>
    <row r="167" spans="1:6" x14ac:dyDescent="0.35">
      <c r="A167" s="5" t="s">
        <v>10</v>
      </c>
      <c r="B167" s="1" t="s">
        <v>45</v>
      </c>
      <c r="C167" s="1">
        <v>10</v>
      </c>
      <c r="D167" s="1">
        <v>410</v>
      </c>
      <c r="E167" s="1" t="s">
        <v>17</v>
      </c>
      <c r="F167" s="6" t="s">
        <v>18</v>
      </c>
    </row>
    <row r="168" spans="1:6" x14ac:dyDescent="0.35">
      <c r="A168" s="5" t="s">
        <v>10</v>
      </c>
      <c r="B168" s="1" t="s">
        <v>45</v>
      </c>
      <c r="C168" s="1">
        <v>11</v>
      </c>
      <c r="D168" s="1">
        <v>120</v>
      </c>
      <c r="E168" s="1" t="s">
        <v>17</v>
      </c>
      <c r="F168" s="6" t="s">
        <v>18</v>
      </c>
    </row>
    <row r="169" spans="1:6" x14ac:dyDescent="0.35">
      <c r="A169" s="5" t="s">
        <v>10</v>
      </c>
      <c r="B169" s="1" t="s">
        <v>45</v>
      </c>
      <c r="C169" s="1">
        <v>12</v>
      </c>
      <c r="D169" s="1">
        <v>302</v>
      </c>
      <c r="E169" s="1" t="s">
        <v>17</v>
      </c>
      <c r="F169" s="6" t="s">
        <v>18</v>
      </c>
    </row>
    <row r="170" spans="1:6" x14ac:dyDescent="0.35">
      <c r="A170" s="5" t="s">
        <v>10</v>
      </c>
      <c r="B170" s="1" t="s">
        <v>45</v>
      </c>
      <c r="C170" s="1">
        <v>13</v>
      </c>
      <c r="D170" s="1">
        <v>372</v>
      </c>
      <c r="E170" s="1" t="s">
        <v>17</v>
      </c>
      <c r="F170" s="6" t="s">
        <v>18</v>
      </c>
    </row>
    <row r="171" spans="1:6" x14ac:dyDescent="0.35">
      <c r="A171" s="5" t="s">
        <v>10</v>
      </c>
      <c r="B171" s="1" t="s">
        <v>45</v>
      </c>
      <c r="C171" s="1">
        <v>14</v>
      </c>
      <c r="D171" s="1">
        <v>559</v>
      </c>
      <c r="E171" s="1" t="s">
        <v>17</v>
      </c>
      <c r="F171" s="6" t="s">
        <v>18</v>
      </c>
    </row>
    <row r="172" spans="1:6" x14ac:dyDescent="0.35">
      <c r="A172" s="5" t="s">
        <v>10</v>
      </c>
      <c r="B172" s="1" t="s">
        <v>45</v>
      </c>
      <c r="C172" s="1">
        <v>15</v>
      </c>
      <c r="D172" s="1">
        <v>623</v>
      </c>
      <c r="E172" s="1" t="s">
        <v>17</v>
      </c>
      <c r="F172" s="6" t="s">
        <v>18</v>
      </c>
    </row>
    <row r="173" spans="1:6" x14ac:dyDescent="0.35">
      <c r="A173" s="5" t="s">
        <v>10</v>
      </c>
      <c r="B173" s="1" t="s">
        <v>45</v>
      </c>
      <c r="C173" s="1">
        <v>16</v>
      </c>
      <c r="D173" s="1">
        <v>394</v>
      </c>
      <c r="E173" s="1" t="s">
        <v>17</v>
      </c>
      <c r="F173" s="6" t="s">
        <v>18</v>
      </c>
    </row>
    <row r="174" spans="1:6" x14ac:dyDescent="0.35">
      <c r="A174" s="5" t="s">
        <v>10</v>
      </c>
      <c r="B174" s="1" t="s">
        <v>45</v>
      </c>
      <c r="C174" s="1">
        <v>17</v>
      </c>
      <c r="D174" s="1">
        <v>277</v>
      </c>
      <c r="E174" s="1" t="s">
        <v>17</v>
      </c>
      <c r="F174" s="6" t="s">
        <v>18</v>
      </c>
    </row>
    <row r="175" spans="1:6" x14ac:dyDescent="0.35">
      <c r="A175" s="5" t="s">
        <v>10</v>
      </c>
      <c r="B175" s="1" t="s">
        <v>45</v>
      </c>
      <c r="C175" s="1">
        <v>18</v>
      </c>
      <c r="D175" s="1">
        <v>191</v>
      </c>
      <c r="E175" s="1" t="s">
        <v>17</v>
      </c>
      <c r="F175" s="6" t="s">
        <v>18</v>
      </c>
    </row>
    <row r="176" spans="1:6" x14ac:dyDescent="0.35">
      <c r="A176" s="5" t="s">
        <v>10</v>
      </c>
      <c r="B176" s="1" t="s">
        <v>45</v>
      </c>
      <c r="C176" s="1">
        <v>19</v>
      </c>
      <c r="D176" s="1">
        <v>862</v>
      </c>
      <c r="E176" s="1" t="s">
        <v>17</v>
      </c>
      <c r="F176" s="6" t="s">
        <v>18</v>
      </c>
    </row>
    <row r="177" spans="1:6" x14ac:dyDescent="0.35">
      <c r="A177" s="5" t="s">
        <v>10</v>
      </c>
      <c r="B177" s="1" t="s">
        <v>45</v>
      </c>
      <c r="C177" s="1">
        <v>20</v>
      </c>
      <c r="D177" s="1">
        <v>437</v>
      </c>
      <c r="E177" s="1" t="s">
        <v>17</v>
      </c>
      <c r="F177" s="6" t="s">
        <v>18</v>
      </c>
    </row>
    <row r="178" spans="1:6" x14ac:dyDescent="0.35">
      <c r="A178" s="5" t="s">
        <v>10</v>
      </c>
      <c r="B178" s="1" t="s">
        <v>45</v>
      </c>
      <c r="C178" s="1">
        <v>21</v>
      </c>
      <c r="D178" s="1">
        <v>358</v>
      </c>
      <c r="E178" s="1" t="s">
        <v>17</v>
      </c>
      <c r="F178" s="6" t="s">
        <v>18</v>
      </c>
    </row>
    <row r="179" spans="1:6" x14ac:dyDescent="0.35">
      <c r="A179" s="5" t="s">
        <v>10</v>
      </c>
      <c r="B179" s="1" t="s">
        <v>45</v>
      </c>
      <c r="C179" s="1">
        <v>22</v>
      </c>
      <c r="D179" s="1">
        <v>344</v>
      </c>
      <c r="E179" s="1" t="s">
        <v>17</v>
      </c>
      <c r="F179" s="6" t="s">
        <v>18</v>
      </c>
    </row>
    <row r="180" spans="1:6" x14ac:dyDescent="0.35">
      <c r="A180" s="5" t="s">
        <v>10</v>
      </c>
      <c r="B180" s="1" t="s">
        <v>45</v>
      </c>
      <c r="C180" s="1">
        <v>23</v>
      </c>
      <c r="D180" s="1">
        <v>547</v>
      </c>
      <c r="E180" s="1" t="s">
        <v>17</v>
      </c>
      <c r="F180" s="6" t="s">
        <v>18</v>
      </c>
    </row>
    <row r="181" spans="1:6" x14ac:dyDescent="0.35">
      <c r="A181" s="5" t="s">
        <v>10</v>
      </c>
      <c r="B181" s="1" t="s">
        <v>45</v>
      </c>
      <c r="C181" s="1">
        <v>24</v>
      </c>
      <c r="D181" s="1">
        <v>551</v>
      </c>
      <c r="E181" s="1" t="s">
        <v>17</v>
      </c>
      <c r="F181" s="6" t="s">
        <v>18</v>
      </c>
    </row>
    <row r="182" spans="1:6" x14ac:dyDescent="0.35">
      <c r="A182" s="5" t="s">
        <v>10</v>
      </c>
      <c r="B182" s="1" t="s">
        <v>45</v>
      </c>
      <c r="C182" s="1">
        <v>25</v>
      </c>
      <c r="D182" s="1">
        <v>421</v>
      </c>
      <c r="E182" s="1" t="s">
        <v>17</v>
      </c>
      <c r="F182" s="6" t="s">
        <v>18</v>
      </c>
    </row>
    <row r="183" spans="1:6" x14ac:dyDescent="0.35">
      <c r="A183" s="5" t="s">
        <v>10</v>
      </c>
      <c r="B183" s="1" t="s">
        <v>45</v>
      </c>
      <c r="C183" s="1">
        <v>26</v>
      </c>
      <c r="D183" s="1">
        <v>483</v>
      </c>
      <c r="E183" s="1" t="s">
        <v>17</v>
      </c>
      <c r="F183" s="6" t="s">
        <v>18</v>
      </c>
    </row>
    <row r="184" spans="1:6" x14ac:dyDescent="0.35">
      <c r="A184" s="5" t="s">
        <v>10</v>
      </c>
      <c r="B184" s="1" t="s">
        <v>45</v>
      </c>
      <c r="C184" s="1">
        <v>27</v>
      </c>
      <c r="D184" s="1">
        <v>450</v>
      </c>
      <c r="E184" s="1" t="s">
        <v>17</v>
      </c>
      <c r="F184" s="6" t="s">
        <v>18</v>
      </c>
    </row>
    <row r="185" spans="1:6" x14ac:dyDescent="0.35">
      <c r="A185" s="5" t="s">
        <v>10</v>
      </c>
      <c r="B185" s="1" t="s">
        <v>45</v>
      </c>
      <c r="C185" s="1">
        <v>28</v>
      </c>
      <c r="D185" s="1">
        <v>148</v>
      </c>
      <c r="E185" s="1" t="s">
        <v>17</v>
      </c>
      <c r="F185" s="6" t="s">
        <v>18</v>
      </c>
    </row>
    <row r="186" spans="1:6" x14ac:dyDescent="0.35">
      <c r="A186" s="5" t="s">
        <v>10</v>
      </c>
      <c r="B186" s="1" t="s">
        <v>45</v>
      </c>
      <c r="C186" s="1">
        <v>29</v>
      </c>
      <c r="D186" s="1">
        <v>426</v>
      </c>
      <c r="E186" s="1" t="s">
        <v>17</v>
      </c>
      <c r="F186" s="6" t="s">
        <v>18</v>
      </c>
    </row>
    <row r="187" spans="1:6" x14ac:dyDescent="0.35">
      <c r="A187" s="5" t="s">
        <v>10</v>
      </c>
      <c r="B187" s="1" t="s">
        <v>45</v>
      </c>
      <c r="C187" s="1">
        <v>30</v>
      </c>
      <c r="D187" s="1">
        <v>580</v>
      </c>
      <c r="E187" s="1" t="s">
        <v>17</v>
      </c>
      <c r="F187" s="6" t="s">
        <v>18</v>
      </c>
    </row>
    <row r="188" spans="1:6" x14ac:dyDescent="0.35">
      <c r="A188" s="5" t="s">
        <v>10</v>
      </c>
      <c r="B188" s="1" t="s">
        <v>45</v>
      </c>
      <c r="C188" s="1">
        <v>31</v>
      </c>
      <c r="D188" s="1">
        <v>365</v>
      </c>
      <c r="E188" s="1" t="s">
        <v>17</v>
      </c>
      <c r="F188" s="6" t="s">
        <v>18</v>
      </c>
    </row>
    <row r="189" spans="1:6" x14ac:dyDescent="0.35">
      <c r="A189" s="5" t="s">
        <v>10</v>
      </c>
      <c r="B189" s="1" t="s">
        <v>45</v>
      </c>
      <c r="C189" s="1">
        <v>32</v>
      </c>
      <c r="D189" s="1">
        <v>1019</v>
      </c>
      <c r="E189" s="1" t="s">
        <v>17</v>
      </c>
      <c r="F189" s="6" t="s">
        <v>18</v>
      </c>
    </row>
    <row r="190" spans="1:6" x14ac:dyDescent="0.35">
      <c r="A190" s="5" t="s">
        <v>10</v>
      </c>
      <c r="B190" s="1" t="s">
        <v>45</v>
      </c>
      <c r="C190" s="1">
        <v>33</v>
      </c>
      <c r="D190" s="1">
        <v>407</v>
      </c>
      <c r="E190" s="1" t="s">
        <v>17</v>
      </c>
      <c r="F190" s="6" t="s">
        <v>18</v>
      </c>
    </row>
    <row r="191" spans="1:6" x14ac:dyDescent="0.35">
      <c r="A191" s="5" t="s">
        <v>10</v>
      </c>
      <c r="B191" s="1" t="s">
        <v>45</v>
      </c>
      <c r="C191" s="1">
        <v>34</v>
      </c>
      <c r="D191" s="1">
        <v>535</v>
      </c>
      <c r="E191" s="1" t="s">
        <v>17</v>
      </c>
      <c r="F191" s="6" t="s">
        <v>18</v>
      </c>
    </row>
    <row r="192" spans="1:6" x14ac:dyDescent="0.35">
      <c r="A192" s="5" t="s">
        <v>10</v>
      </c>
      <c r="B192" s="1" t="s">
        <v>45</v>
      </c>
      <c r="C192" s="1">
        <v>35</v>
      </c>
      <c r="D192" s="1">
        <v>279</v>
      </c>
      <c r="E192" s="1" t="s">
        <v>17</v>
      </c>
      <c r="F192" s="6" t="s">
        <v>18</v>
      </c>
    </row>
    <row r="193" spans="1:6" x14ac:dyDescent="0.35">
      <c r="A193" s="5" t="s">
        <v>10</v>
      </c>
      <c r="B193" s="1" t="s">
        <v>45</v>
      </c>
      <c r="C193" s="1">
        <v>36</v>
      </c>
      <c r="D193" s="1">
        <v>442</v>
      </c>
      <c r="E193" s="1" t="s">
        <v>17</v>
      </c>
      <c r="F193" s="6" t="s">
        <v>18</v>
      </c>
    </row>
    <row r="194" spans="1:6" x14ac:dyDescent="0.35">
      <c r="A194" s="5" t="s">
        <v>10</v>
      </c>
      <c r="B194" s="1" t="s">
        <v>45</v>
      </c>
      <c r="C194" s="1">
        <v>37</v>
      </c>
      <c r="D194" s="1">
        <v>237</v>
      </c>
      <c r="E194" s="1" t="s">
        <v>17</v>
      </c>
      <c r="F194" s="6" t="s">
        <v>18</v>
      </c>
    </row>
    <row r="195" spans="1:6" x14ac:dyDescent="0.35">
      <c r="A195" s="5" t="s">
        <v>10</v>
      </c>
      <c r="B195" s="1" t="s">
        <v>45</v>
      </c>
      <c r="C195" s="1">
        <v>38</v>
      </c>
      <c r="D195" s="1">
        <v>1005</v>
      </c>
      <c r="E195" s="1" t="s">
        <v>17</v>
      </c>
      <c r="F195" s="6" t="s">
        <v>18</v>
      </c>
    </row>
    <row r="196" spans="1:6" x14ac:dyDescent="0.35">
      <c r="A196" s="5" t="s">
        <v>10</v>
      </c>
      <c r="B196" s="1" t="s">
        <v>45</v>
      </c>
      <c r="C196" s="1">
        <v>39</v>
      </c>
      <c r="D196" s="1">
        <v>547</v>
      </c>
      <c r="E196" s="1" t="s">
        <v>17</v>
      </c>
      <c r="F196" s="6" t="s">
        <v>18</v>
      </c>
    </row>
    <row r="197" spans="1:6" x14ac:dyDescent="0.35">
      <c r="A197" s="5" t="s">
        <v>10</v>
      </c>
      <c r="B197" s="1" t="s">
        <v>45</v>
      </c>
      <c r="C197" s="1">
        <v>40</v>
      </c>
      <c r="D197" s="1">
        <v>513</v>
      </c>
      <c r="E197" s="1" t="s">
        <v>17</v>
      </c>
      <c r="F197" s="6" t="s">
        <v>18</v>
      </c>
    </row>
    <row r="198" spans="1:6" x14ac:dyDescent="0.35">
      <c r="A198" s="5" t="s">
        <v>10</v>
      </c>
      <c r="B198" s="1" t="s">
        <v>45</v>
      </c>
      <c r="C198" s="1">
        <v>41</v>
      </c>
      <c r="D198" s="1">
        <v>845</v>
      </c>
      <c r="E198" s="1" t="s">
        <v>17</v>
      </c>
      <c r="F198" s="6" t="s">
        <v>18</v>
      </c>
    </row>
    <row r="199" spans="1:6" x14ac:dyDescent="0.35">
      <c r="A199" s="5" t="s">
        <v>10</v>
      </c>
      <c r="B199" s="1" t="s">
        <v>45</v>
      </c>
      <c r="C199" s="1">
        <v>42</v>
      </c>
      <c r="D199" s="1">
        <v>565</v>
      </c>
      <c r="E199" s="1" t="s">
        <v>17</v>
      </c>
      <c r="F199" s="6" t="s">
        <v>18</v>
      </c>
    </row>
    <row r="200" spans="1:6" x14ac:dyDescent="0.35">
      <c r="A200" s="5" t="s">
        <v>10</v>
      </c>
      <c r="B200" s="1" t="s">
        <v>45</v>
      </c>
      <c r="C200" s="1">
        <v>43</v>
      </c>
      <c r="D200" s="1">
        <v>608</v>
      </c>
      <c r="E200" s="1" t="s">
        <v>17</v>
      </c>
      <c r="F200" s="6" t="s">
        <v>18</v>
      </c>
    </row>
    <row r="201" spans="1:6" x14ac:dyDescent="0.35">
      <c r="A201" s="5" t="s">
        <v>10</v>
      </c>
      <c r="B201" s="1" t="s">
        <v>45</v>
      </c>
      <c r="C201" s="1">
        <v>44</v>
      </c>
      <c r="D201" s="1">
        <v>622</v>
      </c>
      <c r="E201" s="1" t="s">
        <v>17</v>
      </c>
      <c r="F201" s="6" t="s">
        <v>18</v>
      </c>
    </row>
    <row r="202" spans="1:6" x14ac:dyDescent="0.35">
      <c r="A202" s="5" t="s">
        <v>10</v>
      </c>
      <c r="B202" s="1" t="s">
        <v>45</v>
      </c>
      <c r="C202" s="1">
        <v>45</v>
      </c>
      <c r="D202" s="1">
        <v>756</v>
      </c>
      <c r="E202" s="1" t="s">
        <v>17</v>
      </c>
      <c r="F202" s="6" t="s">
        <v>18</v>
      </c>
    </row>
    <row r="203" spans="1:6" x14ac:dyDescent="0.35">
      <c r="A203" s="5" t="s">
        <v>10</v>
      </c>
      <c r="B203" s="1" t="s">
        <v>45</v>
      </c>
      <c r="C203" s="1">
        <v>46</v>
      </c>
      <c r="D203" s="1">
        <v>85</v>
      </c>
      <c r="E203" s="1" t="s">
        <v>17</v>
      </c>
      <c r="F203" s="6" t="s">
        <v>18</v>
      </c>
    </row>
    <row r="204" spans="1:6" x14ac:dyDescent="0.35">
      <c r="A204" s="5" t="s">
        <v>10</v>
      </c>
      <c r="B204" s="1" t="s">
        <v>45</v>
      </c>
      <c r="C204" s="1">
        <v>47</v>
      </c>
      <c r="D204" s="1">
        <v>285</v>
      </c>
      <c r="E204" s="1" t="s">
        <v>17</v>
      </c>
      <c r="F204" s="6" t="s">
        <v>18</v>
      </c>
    </row>
    <row r="205" spans="1:6" x14ac:dyDescent="0.35">
      <c r="A205" s="5" t="s">
        <v>10</v>
      </c>
      <c r="B205" s="1" t="s">
        <v>45</v>
      </c>
      <c r="C205" s="1">
        <v>48</v>
      </c>
      <c r="D205" s="1">
        <v>393</v>
      </c>
      <c r="E205" s="1" t="s">
        <v>17</v>
      </c>
      <c r="F205" s="6" t="s">
        <v>18</v>
      </c>
    </row>
    <row r="206" spans="1:6" x14ac:dyDescent="0.35">
      <c r="A206" s="5" t="s">
        <v>10</v>
      </c>
      <c r="B206" s="1" t="s">
        <v>45</v>
      </c>
      <c r="C206" s="1">
        <v>49</v>
      </c>
      <c r="D206" s="1">
        <v>312</v>
      </c>
      <c r="E206" s="1" t="s">
        <v>17</v>
      </c>
      <c r="F206" s="6" t="s">
        <v>18</v>
      </c>
    </row>
    <row r="207" spans="1:6" x14ac:dyDescent="0.35">
      <c r="A207" s="5" t="s">
        <v>10</v>
      </c>
      <c r="B207" s="1" t="s">
        <v>45</v>
      </c>
      <c r="C207" s="1">
        <v>50</v>
      </c>
      <c r="D207" s="1">
        <v>430</v>
      </c>
      <c r="E207" s="1" t="s">
        <v>17</v>
      </c>
      <c r="F207" s="6" t="s">
        <v>18</v>
      </c>
    </row>
    <row r="208" spans="1:6" x14ac:dyDescent="0.35">
      <c r="A208" s="5" t="s">
        <v>10</v>
      </c>
      <c r="B208" s="1" t="s">
        <v>45</v>
      </c>
      <c r="C208" s="1">
        <v>51</v>
      </c>
      <c r="D208" s="1">
        <v>244</v>
      </c>
      <c r="E208" s="1" t="s">
        <v>17</v>
      </c>
      <c r="F208" s="6" t="s">
        <v>18</v>
      </c>
    </row>
    <row r="209" spans="1:6" x14ac:dyDescent="0.35">
      <c r="A209" s="5" t="s">
        <v>10</v>
      </c>
      <c r="B209" s="1" t="s">
        <v>45</v>
      </c>
      <c r="C209" s="1">
        <v>52</v>
      </c>
      <c r="D209" s="1">
        <v>1351</v>
      </c>
      <c r="E209" s="1" t="s">
        <v>17</v>
      </c>
      <c r="F209" s="6" t="s">
        <v>18</v>
      </c>
    </row>
    <row r="210" spans="1:6" x14ac:dyDescent="0.35">
      <c r="A210" s="5" t="s">
        <v>22</v>
      </c>
      <c r="B210" s="1" t="s">
        <v>38</v>
      </c>
      <c r="C210" s="1">
        <v>1</v>
      </c>
      <c r="D210" s="1">
        <v>141</v>
      </c>
      <c r="E210" s="1" t="s">
        <v>17</v>
      </c>
      <c r="F210" s="6" t="s">
        <v>18</v>
      </c>
    </row>
    <row r="211" spans="1:6" x14ac:dyDescent="0.35">
      <c r="A211" s="5" t="s">
        <v>22</v>
      </c>
      <c r="B211" s="1" t="s">
        <v>38</v>
      </c>
      <c r="C211" s="1">
        <v>2</v>
      </c>
      <c r="D211" s="1">
        <v>181</v>
      </c>
      <c r="E211" s="1" t="s">
        <v>17</v>
      </c>
      <c r="F211" s="6" t="s">
        <v>18</v>
      </c>
    </row>
    <row r="212" spans="1:6" x14ac:dyDescent="0.35">
      <c r="A212" s="5" t="s">
        <v>22</v>
      </c>
      <c r="B212" s="1" t="s">
        <v>38</v>
      </c>
      <c r="C212" s="1">
        <v>3</v>
      </c>
      <c r="D212" s="1">
        <v>124</v>
      </c>
      <c r="E212" s="1" t="s">
        <v>17</v>
      </c>
      <c r="F212" s="6" t="s">
        <v>18</v>
      </c>
    </row>
    <row r="213" spans="1:6" x14ac:dyDescent="0.35">
      <c r="A213" s="5" t="s">
        <v>22</v>
      </c>
      <c r="B213" s="1" t="s">
        <v>38</v>
      </c>
      <c r="C213" s="1">
        <v>4</v>
      </c>
      <c r="D213" s="1">
        <v>191</v>
      </c>
      <c r="E213" s="1" t="s">
        <v>17</v>
      </c>
      <c r="F213" s="6" t="s">
        <v>18</v>
      </c>
    </row>
    <row r="214" spans="1:6" x14ac:dyDescent="0.35">
      <c r="A214" s="5" t="s">
        <v>22</v>
      </c>
      <c r="B214" s="1" t="s">
        <v>38</v>
      </c>
      <c r="C214" s="1">
        <v>5</v>
      </c>
      <c r="D214" s="1">
        <v>145</v>
      </c>
      <c r="E214" s="1" t="s">
        <v>17</v>
      </c>
      <c r="F214" s="6" t="s">
        <v>18</v>
      </c>
    </row>
    <row r="215" spans="1:6" x14ac:dyDescent="0.35">
      <c r="A215" s="5" t="s">
        <v>22</v>
      </c>
      <c r="B215" s="1" t="s">
        <v>38</v>
      </c>
      <c r="C215" s="1">
        <v>6</v>
      </c>
      <c r="D215" s="1">
        <v>223</v>
      </c>
      <c r="E215" s="1" t="s">
        <v>17</v>
      </c>
      <c r="F215" s="6" t="s">
        <v>18</v>
      </c>
    </row>
    <row r="216" spans="1:6" x14ac:dyDescent="0.35">
      <c r="A216" s="5" t="s">
        <v>22</v>
      </c>
      <c r="B216" s="1" t="s">
        <v>38</v>
      </c>
      <c r="C216" s="1">
        <v>7</v>
      </c>
      <c r="D216" s="1">
        <v>151</v>
      </c>
      <c r="E216" s="1" t="s">
        <v>17</v>
      </c>
      <c r="F216" s="6" t="s">
        <v>18</v>
      </c>
    </row>
    <row r="217" spans="1:6" x14ac:dyDescent="0.35">
      <c r="A217" s="5" t="s">
        <v>22</v>
      </c>
      <c r="B217" s="1" t="s">
        <v>38</v>
      </c>
      <c r="C217" s="1">
        <v>8</v>
      </c>
      <c r="D217" s="1">
        <v>167</v>
      </c>
      <c r="E217" s="1" t="s">
        <v>17</v>
      </c>
      <c r="F217" s="6" t="s">
        <v>18</v>
      </c>
    </row>
    <row r="218" spans="1:6" x14ac:dyDescent="0.35">
      <c r="A218" s="5" t="s">
        <v>22</v>
      </c>
      <c r="B218" s="1" t="s">
        <v>38</v>
      </c>
      <c r="C218" s="1">
        <v>9</v>
      </c>
      <c r="D218" s="1">
        <v>198</v>
      </c>
      <c r="E218" s="1" t="s">
        <v>17</v>
      </c>
      <c r="F218" s="6" t="s">
        <v>18</v>
      </c>
    </row>
    <row r="219" spans="1:6" x14ac:dyDescent="0.35">
      <c r="A219" s="5" t="s">
        <v>22</v>
      </c>
      <c r="B219" s="1" t="s">
        <v>38</v>
      </c>
      <c r="C219" s="1">
        <v>10</v>
      </c>
      <c r="D219" s="1">
        <v>86</v>
      </c>
      <c r="E219" s="1" t="s">
        <v>17</v>
      </c>
      <c r="F219" s="6" t="s">
        <v>18</v>
      </c>
    </row>
    <row r="220" spans="1:6" x14ac:dyDescent="0.35">
      <c r="A220" s="5" t="s">
        <v>22</v>
      </c>
      <c r="B220" s="1" t="s">
        <v>38</v>
      </c>
      <c r="C220" s="1">
        <v>11</v>
      </c>
      <c r="D220" s="1">
        <v>111</v>
      </c>
      <c r="E220" s="1" t="s">
        <v>17</v>
      </c>
      <c r="F220" s="6" t="s">
        <v>18</v>
      </c>
    </row>
    <row r="221" spans="1:6" x14ac:dyDescent="0.35">
      <c r="A221" s="5" t="s">
        <v>22</v>
      </c>
      <c r="B221" s="1" t="s">
        <v>38</v>
      </c>
      <c r="C221" s="1">
        <v>12</v>
      </c>
      <c r="D221" s="1">
        <v>305</v>
      </c>
      <c r="E221" s="1" t="s">
        <v>17</v>
      </c>
      <c r="F221" s="6" t="s">
        <v>18</v>
      </c>
    </row>
    <row r="222" spans="1:6" x14ac:dyDescent="0.35">
      <c r="A222" s="5" t="s">
        <v>22</v>
      </c>
      <c r="B222" s="1" t="s">
        <v>38</v>
      </c>
      <c r="C222" s="1">
        <v>13</v>
      </c>
      <c r="D222" s="1">
        <v>67</v>
      </c>
      <c r="E222" s="1" t="s">
        <v>17</v>
      </c>
      <c r="F222" s="6" t="s">
        <v>18</v>
      </c>
    </row>
    <row r="223" spans="1:6" x14ac:dyDescent="0.35">
      <c r="A223" s="5" t="s">
        <v>22</v>
      </c>
      <c r="B223" s="1" t="s">
        <v>38</v>
      </c>
      <c r="C223" s="1">
        <v>14</v>
      </c>
      <c r="D223" s="1">
        <v>145</v>
      </c>
      <c r="E223" s="1" t="s">
        <v>17</v>
      </c>
      <c r="F223" s="6" t="s">
        <v>18</v>
      </c>
    </row>
    <row r="224" spans="1:6" x14ac:dyDescent="0.35">
      <c r="A224" s="5" t="s">
        <v>22</v>
      </c>
      <c r="B224" s="1" t="s">
        <v>38</v>
      </c>
      <c r="C224" s="1">
        <v>15</v>
      </c>
      <c r="D224" s="1">
        <v>176</v>
      </c>
      <c r="E224" s="1" t="s">
        <v>17</v>
      </c>
      <c r="F224" s="6" t="s">
        <v>18</v>
      </c>
    </row>
    <row r="225" spans="1:6" x14ac:dyDescent="0.35">
      <c r="A225" s="5" t="s">
        <v>22</v>
      </c>
      <c r="B225" s="1" t="s">
        <v>38</v>
      </c>
      <c r="C225" s="1">
        <v>16</v>
      </c>
      <c r="D225" s="1">
        <v>151</v>
      </c>
      <c r="E225" s="1" t="s">
        <v>17</v>
      </c>
      <c r="F225" s="6" t="s">
        <v>18</v>
      </c>
    </row>
    <row r="226" spans="1:6" x14ac:dyDescent="0.35">
      <c r="A226" s="5" t="s">
        <v>22</v>
      </c>
      <c r="B226" s="1" t="s">
        <v>38</v>
      </c>
      <c r="C226" s="1">
        <v>17</v>
      </c>
      <c r="D226" s="1">
        <v>122</v>
      </c>
      <c r="E226" s="1" t="s">
        <v>17</v>
      </c>
      <c r="F226" s="6" t="s">
        <v>18</v>
      </c>
    </row>
    <row r="227" spans="1:6" x14ac:dyDescent="0.35">
      <c r="A227" s="5" t="s">
        <v>22</v>
      </c>
      <c r="B227" s="1" t="s">
        <v>38</v>
      </c>
      <c r="C227" s="1">
        <v>18</v>
      </c>
      <c r="D227" s="1">
        <v>326</v>
      </c>
      <c r="E227" s="1" t="s">
        <v>17</v>
      </c>
      <c r="F227" s="6" t="s">
        <v>18</v>
      </c>
    </row>
    <row r="228" spans="1:6" x14ac:dyDescent="0.35">
      <c r="A228" s="5" t="s">
        <v>22</v>
      </c>
      <c r="B228" s="1" t="s">
        <v>38</v>
      </c>
      <c r="C228" s="1">
        <v>19</v>
      </c>
      <c r="D228" s="1">
        <v>71</v>
      </c>
      <c r="E228" s="1" t="s">
        <v>17</v>
      </c>
      <c r="F228" s="6" t="s">
        <v>18</v>
      </c>
    </row>
    <row r="229" spans="1:6" x14ac:dyDescent="0.35">
      <c r="A229" s="5" t="s">
        <v>22</v>
      </c>
      <c r="B229" s="1" t="s">
        <v>38</v>
      </c>
      <c r="C229" s="1">
        <v>20</v>
      </c>
      <c r="D229" s="1">
        <v>326</v>
      </c>
      <c r="E229" s="1" t="s">
        <v>17</v>
      </c>
      <c r="F229" s="6" t="s">
        <v>18</v>
      </c>
    </row>
    <row r="230" spans="1:6" x14ac:dyDescent="0.35">
      <c r="A230" s="5" t="s">
        <v>22</v>
      </c>
      <c r="B230" s="1" t="s">
        <v>38</v>
      </c>
      <c r="C230" s="1">
        <v>21</v>
      </c>
      <c r="D230" s="1">
        <v>147</v>
      </c>
      <c r="E230" s="1" t="s">
        <v>17</v>
      </c>
      <c r="F230" s="6" t="s">
        <v>18</v>
      </c>
    </row>
    <row r="231" spans="1:6" x14ac:dyDescent="0.35">
      <c r="A231" s="5" t="s">
        <v>22</v>
      </c>
      <c r="B231" s="1" t="s">
        <v>38</v>
      </c>
      <c r="C231" s="1">
        <v>22</v>
      </c>
      <c r="D231" s="1">
        <v>344</v>
      </c>
      <c r="E231" s="1" t="s">
        <v>17</v>
      </c>
      <c r="F231" s="6" t="s">
        <v>18</v>
      </c>
    </row>
    <row r="232" spans="1:6" x14ac:dyDescent="0.35">
      <c r="A232" s="5" t="s">
        <v>22</v>
      </c>
      <c r="B232" s="1" t="s">
        <v>38</v>
      </c>
      <c r="C232" s="1">
        <v>23</v>
      </c>
      <c r="D232" s="1">
        <v>195</v>
      </c>
      <c r="E232" s="1" t="s">
        <v>17</v>
      </c>
      <c r="F232" s="6" t="s">
        <v>18</v>
      </c>
    </row>
    <row r="233" spans="1:6" x14ac:dyDescent="0.35">
      <c r="A233" s="5" t="s">
        <v>22</v>
      </c>
      <c r="B233" s="1" t="s">
        <v>38</v>
      </c>
      <c r="C233" s="1">
        <v>24</v>
      </c>
      <c r="D233" s="1">
        <v>220</v>
      </c>
      <c r="E233" s="1" t="s">
        <v>17</v>
      </c>
      <c r="F233" s="6" t="s">
        <v>18</v>
      </c>
    </row>
    <row r="234" spans="1:6" x14ac:dyDescent="0.35">
      <c r="A234" s="5" t="s">
        <v>22</v>
      </c>
      <c r="B234" s="1" t="s">
        <v>38</v>
      </c>
      <c r="C234" s="1">
        <v>25</v>
      </c>
      <c r="D234" s="1">
        <v>271</v>
      </c>
      <c r="E234" s="1" t="s">
        <v>17</v>
      </c>
      <c r="F234" s="6" t="s">
        <v>18</v>
      </c>
    </row>
    <row r="235" spans="1:6" x14ac:dyDescent="0.35">
      <c r="A235" s="5" t="s">
        <v>22</v>
      </c>
      <c r="B235" s="1" t="s">
        <v>38</v>
      </c>
      <c r="C235" s="1">
        <v>26</v>
      </c>
      <c r="D235" s="1">
        <v>166</v>
      </c>
      <c r="E235" s="1" t="s">
        <v>17</v>
      </c>
      <c r="F235" s="6" t="s">
        <v>18</v>
      </c>
    </row>
    <row r="236" spans="1:6" x14ac:dyDescent="0.35">
      <c r="A236" s="5" t="s">
        <v>22</v>
      </c>
      <c r="B236" s="1" t="s">
        <v>38</v>
      </c>
      <c r="C236" s="1">
        <v>27</v>
      </c>
      <c r="D236" s="1">
        <v>122</v>
      </c>
      <c r="E236" s="1" t="s">
        <v>17</v>
      </c>
      <c r="F236" s="6" t="s">
        <v>18</v>
      </c>
    </row>
    <row r="237" spans="1:6" x14ac:dyDescent="0.35">
      <c r="A237" s="5" t="s">
        <v>22</v>
      </c>
      <c r="B237" s="1" t="s">
        <v>38</v>
      </c>
      <c r="C237" s="1">
        <v>28</v>
      </c>
      <c r="D237" s="1">
        <v>120</v>
      </c>
      <c r="E237" s="1" t="s">
        <v>17</v>
      </c>
      <c r="F237" s="6" t="s">
        <v>18</v>
      </c>
    </row>
    <row r="238" spans="1:6" x14ac:dyDescent="0.35">
      <c r="A238" s="5" t="s">
        <v>22</v>
      </c>
      <c r="B238" s="1" t="s">
        <v>38</v>
      </c>
      <c r="C238" s="1">
        <v>29</v>
      </c>
      <c r="D238" s="1">
        <v>417</v>
      </c>
      <c r="E238" s="1" t="s">
        <v>17</v>
      </c>
      <c r="F238" s="6" t="s">
        <v>18</v>
      </c>
    </row>
    <row r="239" spans="1:6" x14ac:dyDescent="0.35">
      <c r="A239" s="5" t="s">
        <v>22</v>
      </c>
      <c r="B239" s="1" t="s">
        <v>38</v>
      </c>
      <c r="C239" s="1">
        <v>30</v>
      </c>
      <c r="D239" s="1">
        <v>339</v>
      </c>
      <c r="E239" s="1" t="s">
        <v>17</v>
      </c>
      <c r="F239" s="6" t="s">
        <v>18</v>
      </c>
    </row>
    <row r="240" spans="1:6" x14ac:dyDescent="0.35">
      <c r="A240" s="5" t="s">
        <v>22</v>
      </c>
      <c r="B240" s="1" t="s">
        <v>38</v>
      </c>
      <c r="C240" s="1">
        <v>31</v>
      </c>
      <c r="D240" s="1">
        <v>106</v>
      </c>
      <c r="E240" s="1" t="s">
        <v>17</v>
      </c>
      <c r="F240" s="6" t="s">
        <v>18</v>
      </c>
    </row>
    <row r="241" spans="1:6" x14ac:dyDescent="0.35">
      <c r="A241" s="5" t="s">
        <v>22</v>
      </c>
      <c r="B241" s="1" t="s">
        <v>38</v>
      </c>
      <c r="C241" s="1">
        <v>32</v>
      </c>
      <c r="D241" s="1">
        <v>307</v>
      </c>
      <c r="E241" s="1" t="s">
        <v>17</v>
      </c>
      <c r="F241" s="6" t="s">
        <v>18</v>
      </c>
    </row>
    <row r="242" spans="1:6" x14ac:dyDescent="0.35">
      <c r="A242" s="5" t="s">
        <v>22</v>
      </c>
      <c r="B242" s="1" t="s">
        <v>38</v>
      </c>
      <c r="C242" s="1">
        <v>33</v>
      </c>
      <c r="D242" s="1">
        <v>273</v>
      </c>
      <c r="E242" s="1" t="s">
        <v>17</v>
      </c>
      <c r="F242" s="6" t="s">
        <v>18</v>
      </c>
    </row>
    <row r="243" spans="1:6" x14ac:dyDescent="0.35">
      <c r="A243" s="5" t="s">
        <v>22</v>
      </c>
      <c r="B243" s="1" t="s">
        <v>38</v>
      </c>
      <c r="C243" s="1">
        <v>34</v>
      </c>
      <c r="D243" s="1">
        <v>329</v>
      </c>
      <c r="E243" s="1" t="s">
        <v>17</v>
      </c>
      <c r="F243" s="6" t="s">
        <v>18</v>
      </c>
    </row>
    <row r="244" spans="1:6" x14ac:dyDescent="0.35">
      <c r="A244" s="5" t="s">
        <v>22</v>
      </c>
      <c r="B244" s="1" t="s">
        <v>38</v>
      </c>
      <c r="C244" s="1">
        <v>35</v>
      </c>
      <c r="D244" s="1">
        <v>240</v>
      </c>
      <c r="E244" s="1" t="s">
        <v>17</v>
      </c>
      <c r="F244" s="6" t="s">
        <v>18</v>
      </c>
    </row>
    <row r="245" spans="1:6" x14ac:dyDescent="0.35">
      <c r="A245" s="5" t="s">
        <v>22</v>
      </c>
      <c r="B245" s="1" t="s">
        <v>38</v>
      </c>
      <c r="C245" s="1">
        <v>36</v>
      </c>
      <c r="D245" s="1">
        <v>118</v>
      </c>
      <c r="E245" s="1" t="s">
        <v>17</v>
      </c>
      <c r="F245" s="6" t="s">
        <v>18</v>
      </c>
    </row>
    <row r="246" spans="1:6" x14ac:dyDescent="0.35">
      <c r="A246" s="5" t="s">
        <v>22</v>
      </c>
      <c r="B246" s="1" t="s">
        <v>38</v>
      </c>
      <c r="C246" s="1">
        <v>37</v>
      </c>
      <c r="D246" s="1">
        <v>240</v>
      </c>
      <c r="E246" s="1" t="s">
        <v>17</v>
      </c>
      <c r="F246" s="6" t="s">
        <v>18</v>
      </c>
    </row>
    <row r="247" spans="1:6" x14ac:dyDescent="0.35">
      <c r="A247" s="5" t="s">
        <v>22</v>
      </c>
      <c r="B247" s="1" t="s">
        <v>38</v>
      </c>
      <c r="C247" s="1">
        <v>38</v>
      </c>
      <c r="D247" s="1">
        <v>305</v>
      </c>
      <c r="E247" s="1" t="s">
        <v>17</v>
      </c>
      <c r="F247" s="6" t="s">
        <v>18</v>
      </c>
    </row>
    <row r="248" spans="1:6" x14ac:dyDescent="0.35">
      <c r="A248" s="5" t="s">
        <v>22</v>
      </c>
      <c r="B248" s="1" t="s">
        <v>38</v>
      </c>
      <c r="C248" s="1">
        <v>39</v>
      </c>
      <c r="D248" s="1">
        <v>222</v>
      </c>
      <c r="E248" s="1" t="s">
        <v>17</v>
      </c>
      <c r="F248" s="6" t="s">
        <v>18</v>
      </c>
    </row>
    <row r="249" spans="1:6" x14ac:dyDescent="0.35">
      <c r="A249" s="5" t="s">
        <v>22</v>
      </c>
      <c r="B249" s="1" t="s">
        <v>38</v>
      </c>
      <c r="C249" s="1">
        <v>40</v>
      </c>
      <c r="D249" s="1">
        <v>226</v>
      </c>
      <c r="E249" s="1" t="s">
        <v>17</v>
      </c>
      <c r="F249" s="6" t="s">
        <v>18</v>
      </c>
    </row>
    <row r="250" spans="1:6" x14ac:dyDescent="0.35">
      <c r="A250" s="5" t="s">
        <v>22</v>
      </c>
      <c r="B250" s="1" t="s">
        <v>38</v>
      </c>
      <c r="C250" s="1">
        <v>41</v>
      </c>
      <c r="D250" s="1">
        <v>131</v>
      </c>
      <c r="E250" s="1" t="s">
        <v>17</v>
      </c>
      <c r="F250" s="6" t="s">
        <v>18</v>
      </c>
    </row>
    <row r="251" spans="1:6" x14ac:dyDescent="0.35">
      <c r="A251" s="5" t="s">
        <v>22</v>
      </c>
      <c r="B251" s="1" t="s">
        <v>38</v>
      </c>
      <c r="C251" s="1">
        <v>42</v>
      </c>
      <c r="D251" s="1">
        <v>208</v>
      </c>
      <c r="E251" s="1" t="s">
        <v>17</v>
      </c>
      <c r="F251" s="6" t="s">
        <v>18</v>
      </c>
    </row>
    <row r="252" spans="1:6" x14ac:dyDescent="0.35">
      <c r="A252" s="5" t="s">
        <v>22</v>
      </c>
      <c r="B252" s="1" t="s">
        <v>38</v>
      </c>
      <c r="C252" s="1">
        <v>43</v>
      </c>
      <c r="D252" s="1">
        <v>235</v>
      </c>
      <c r="E252" s="1" t="s">
        <v>17</v>
      </c>
      <c r="F252" s="6" t="s">
        <v>18</v>
      </c>
    </row>
    <row r="253" spans="1:6" x14ac:dyDescent="0.35">
      <c r="A253" s="5" t="s">
        <v>22</v>
      </c>
      <c r="B253" s="1" t="s">
        <v>38</v>
      </c>
      <c r="C253" s="1">
        <v>44</v>
      </c>
      <c r="D253" s="1">
        <v>385</v>
      </c>
      <c r="E253" s="1" t="s">
        <v>17</v>
      </c>
      <c r="F253" s="6" t="s">
        <v>18</v>
      </c>
    </row>
    <row r="254" spans="1:6" x14ac:dyDescent="0.35">
      <c r="A254" s="5" t="s">
        <v>22</v>
      </c>
      <c r="B254" s="1" t="s">
        <v>38</v>
      </c>
      <c r="C254" s="1">
        <v>45</v>
      </c>
      <c r="D254" s="1">
        <v>180</v>
      </c>
      <c r="E254" s="1" t="s">
        <v>17</v>
      </c>
      <c r="F254" s="6" t="s">
        <v>18</v>
      </c>
    </row>
    <row r="255" spans="1:6" x14ac:dyDescent="0.35">
      <c r="A255" s="5" t="s">
        <v>22</v>
      </c>
      <c r="B255" s="1" t="s">
        <v>38</v>
      </c>
      <c r="C255" s="1">
        <v>46</v>
      </c>
      <c r="D255" s="1">
        <v>385</v>
      </c>
      <c r="E255" s="1" t="s">
        <v>17</v>
      </c>
      <c r="F255" s="6" t="s">
        <v>18</v>
      </c>
    </row>
    <row r="256" spans="1:6" x14ac:dyDescent="0.35">
      <c r="A256" s="5" t="s">
        <v>22</v>
      </c>
      <c r="B256" s="1" t="s">
        <v>38</v>
      </c>
      <c r="C256" s="1">
        <v>47</v>
      </c>
      <c r="D256" s="1">
        <v>165</v>
      </c>
      <c r="E256" s="1" t="s">
        <v>17</v>
      </c>
      <c r="F256" s="6" t="s">
        <v>18</v>
      </c>
    </row>
    <row r="257" spans="1:6" x14ac:dyDescent="0.35">
      <c r="A257" s="5" t="s">
        <v>22</v>
      </c>
      <c r="B257" s="1" t="s">
        <v>38</v>
      </c>
      <c r="C257" s="1">
        <v>48</v>
      </c>
      <c r="D257" s="1">
        <v>141</v>
      </c>
      <c r="E257" s="1" t="s">
        <v>17</v>
      </c>
      <c r="F257" s="6" t="s">
        <v>18</v>
      </c>
    </row>
    <row r="258" spans="1:6" x14ac:dyDescent="0.35">
      <c r="A258" s="5" t="s">
        <v>22</v>
      </c>
      <c r="B258" s="1" t="s">
        <v>38</v>
      </c>
      <c r="C258" s="1">
        <v>49</v>
      </c>
      <c r="D258" s="1">
        <v>170</v>
      </c>
      <c r="E258" s="1" t="s">
        <v>17</v>
      </c>
      <c r="F258" s="6" t="s">
        <v>18</v>
      </c>
    </row>
    <row r="259" spans="1:6" x14ac:dyDescent="0.35">
      <c r="A259" s="5" t="s">
        <v>22</v>
      </c>
      <c r="B259" s="1" t="s">
        <v>38</v>
      </c>
      <c r="C259" s="1">
        <v>50</v>
      </c>
      <c r="D259" s="1">
        <v>98</v>
      </c>
      <c r="E259" s="1" t="s">
        <v>17</v>
      </c>
      <c r="F259" s="6" t="s">
        <v>18</v>
      </c>
    </row>
    <row r="260" spans="1:6" x14ac:dyDescent="0.35">
      <c r="A260" s="5" t="s">
        <v>22</v>
      </c>
      <c r="B260" s="1" t="s">
        <v>38</v>
      </c>
      <c r="C260" s="1">
        <v>51</v>
      </c>
      <c r="D260" s="1">
        <v>306</v>
      </c>
      <c r="E260" s="1" t="s">
        <v>17</v>
      </c>
      <c r="F260" s="6" t="s">
        <v>18</v>
      </c>
    </row>
    <row r="261" spans="1:6" x14ac:dyDescent="0.35">
      <c r="A261" s="5" t="s">
        <v>22</v>
      </c>
      <c r="B261" s="1" t="s">
        <v>38</v>
      </c>
      <c r="C261" s="1">
        <v>52</v>
      </c>
      <c r="D261" s="1">
        <v>458</v>
      </c>
      <c r="E261" s="1" t="s">
        <v>17</v>
      </c>
      <c r="F261" s="6" t="s">
        <v>18</v>
      </c>
    </row>
    <row r="262" spans="1:6" x14ac:dyDescent="0.35">
      <c r="A262" s="5" t="s">
        <v>16</v>
      </c>
      <c r="B262" s="1" t="s">
        <v>7</v>
      </c>
      <c r="C262" s="1">
        <v>1</v>
      </c>
      <c r="D262" s="1">
        <v>28</v>
      </c>
      <c r="E262" s="1" t="s">
        <v>17</v>
      </c>
      <c r="F262" s="6" t="s">
        <v>18</v>
      </c>
    </row>
    <row r="263" spans="1:6" x14ac:dyDescent="0.35">
      <c r="A263" s="5" t="s">
        <v>16</v>
      </c>
      <c r="B263" s="1" t="s">
        <v>7</v>
      </c>
      <c r="C263" s="1">
        <v>2</v>
      </c>
      <c r="D263" s="1">
        <v>28</v>
      </c>
      <c r="E263" s="1" t="s">
        <v>17</v>
      </c>
      <c r="F263" s="6" t="s">
        <v>18</v>
      </c>
    </row>
    <row r="264" spans="1:6" x14ac:dyDescent="0.35">
      <c r="A264" s="5" t="s">
        <v>16</v>
      </c>
      <c r="B264" s="1" t="s">
        <v>7</v>
      </c>
      <c r="C264" s="1">
        <v>3</v>
      </c>
      <c r="D264" s="1">
        <v>54</v>
      </c>
      <c r="E264" s="1" t="s">
        <v>17</v>
      </c>
      <c r="F264" s="6" t="s">
        <v>18</v>
      </c>
    </row>
    <row r="265" spans="1:6" x14ac:dyDescent="0.35">
      <c r="A265" s="5" t="s">
        <v>16</v>
      </c>
      <c r="B265" s="1" t="s">
        <v>7</v>
      </c>
      <c r="C265" s="1">
        <v>4</v>
      </c>
      <c r="D265" s="1">
        <v>48</v>
      </c>
      <c r="E265" s="1" t="s">
        <v>17</v>
      </c>
      <c r="F265" s="6" t="s">
        <v>18</v>
      </c>
    </row>
    <row r="266" spans="1:6" x14ac:dyDescent="0.35">
      <c r="A266" s="5" t="s">
        <v>16</v>
      </c>
      <c r="B266" s="1" t="s">
        <v>7</v>
      </c>
      <c r="C266" s="1">
        <v>5</v>
      </c>
      <c r="D266" s="1">
        <v>63</v>
      </c>
      <c r="E266" s="1" t="s">
        <v>17</v>
      </c>
      <c r="F266" s="6" t="s">
        <v>18</v>
      </c>
    </row>
    <row r="267" spans="1:6" x14ac:dyDescent="0.35">
      <c r="A267" s="5" t="s">
        <v>16</v>
      </c>
      <c r="B267" s="1" t="s">
        <v>7</v>
      </c>
      <c r="C267" s="1">
        <v>6</v>
      </c>
      <c r="D267" s="1">
        <v>38</v>
      </c>
      <c r="E267" s="1" t="s">
        <v>17</v>
      </c>
      <c r="F267" s="6" t="s">
        <v>18</v>
      </c>
    </row>
    <row r="268" spans="1:6" x14ac:dyDescent="0.35">
      <c r="A268" s="5" t="s">
        <v>16</v>
      </c>
      <c r="B268" s="1" t="s">
        <v>7</v>
      </c>
      <c r="C268" s="1">
        <v>7</v>
      </c>
      <c r="D268" s="1">
        <v>108</v>
      </c>
      <c r="E268" s="1" t="s">
        <v>17</v>
      </c>
      <c r="F268" s="6" t="s">
        <v>18</v>
      </c>
    </row>
    <row r="269" spans="1:6" x14ac:dyDescent="0.35">
      <c r="A269" s="5" t="s">
        <v>16</v>
      </c>
      <c r="B269" s="1" t="s">
        <v>7</v>
      </c>
      <c r="C269" s="1">
        <v>8</v>
      </c>
      <c r="D269" s="1">
        <v>105</v>
      </c>
      <c r="E269" s="1" t="s">
        <v>17</v>
      </c>
      <c r="F269" s="6" t="s">
        <v>18</v>
      </c>
    </row>
    <row r="270" spans="1:6" x14ac:dyDescent="0.35">
      <c r="A270" s="5" t="s">
        <v>16</v>
      </c>
      <c r="B270" s="1" t="s">
        <v>7</v>
      </c>
      <c r="C270" s="1">
        <v>9</v>
      </c>
      <c r="D270" s="1">
        <v>39</v>
      </c>
      <c r="E270" s="1" t="s">
        <v>17</v>
      </c>
      <c r="F270" s="6" t="s">
        <v>18</v>
      </c>
    </row>
    <row r="271" spans="1:6" x14ac:dyDescent="0.35">
      <c r="A271" s="5" t="s">
        <v>16</v>
      </c>
      <c r="B271" s="1" t="s">
        <v>7</v>
      </c>
      <c r="C271" s="1">
        <v>10</v>
      </c>
      <c r="D271" s="1">
        <v>70</v>
      </c>
      <c r="E271" s="1" t="s">
        <v>17</v>
      </c>
      <c r="F271" s="6" t="s">
        <v>18</v>
      </c>
    </row>
    <row r="272" spans="1:6" x14ac:dyDescent="0.35">
      <c r="A272" s="5" t="s">
        <v>16</v>
      </c>
      <c r="B272" s="1" t="s">
        <v>7</v>
      </c>
      <c r="C272" s="1">
        <v>11</v>
      </c>
      <c r="D272" s="1">
        <v>96</v>
      </c>
      <c r="E272" s="1" t="s">
        <v>17</v>
      </c>
      <c r="F272" s="6" t="s">
        <v>18</v>
      </c>
    </row>
    <row r="273" spans="1:6" x14ac:dyDescent="0.35">
      <c r="A273" s="5" t="s">
        <v>16</v>
      </c>
      <c r="B273" s="1" t="s">
        <v>7</v>
      </c>
      <c r="C273" s="1">
        <v>12</v>
      </c>
      <c r="D273" s="1">
        <v>35</v>
      </c>
      <c r="E273" s="1" t="s">
        <v>17</v>
      </c>
      <c r="F273" s="6" t="s">
        <v>18</v>
      </c>
    </row>
    <row r="274" spans="1:6" x14ac:dyDescent="0.35">
      <c r="A274" s="5" t="s">
        <v>16</v>
      </c>
      <c r="B274" s="1" t="s">
        <v>7</v>
      </c>
      <c r="C274" s="1">
        <v>13</v>
      </c>
      <c r="D274" s="1">
        <v>72</v>
      </c>
      <c r="E274" s="1" t="s">
        <v>17</v>
      </c>
      <c r="F274" s="6" t="s">
        <v>18</v>
      </c>
    </row>
    <row r="275" spans="1:6" x14ac:dyDescent="0.35">
      <c r="A275" s="5" t="s">
        <v>16</v>
      </c>
      <c r="B275" s="1" t="s">
        <v>7</v>
      </c>
      <c r="C275" s="1">
        <v>14</v>
      </c>
      <c r="D275" s="1">
        <v>23</v>
      </c>
      <c r="E275" s="1" t="s">
        <v>17</v>
      </c>
      <c r="F275" s="6" t="s">
        <v>18</v>
      </c>
    </row>
    <row r="276" spans="1:6" x14ac:dyDescent="0.35">
      <c r="A276" s="5" t="s">
        <v>16</v>
      </c>
      <c r="B276" s="1" t="s">
        <v>7</v>
      </c>
      <c r="C276" s="1">
        <v>15</v>
      </c>
      <c r="D276" s="1">
        <v>116</v>
      </c>
      <c r="E276" s="1" t="s">
        <v>17</v>
      </c>
      <c r="F276" s="6" t="s">
        <v>18</v>
      </c>
    </row>
    <row r="277" spans="1:6" x14ac:dyDescent="0.35">
      <c r="A277" s="5" t="s">
        <v>16</v>
      </c>
      <c r="B277" s="1" t="s">
        <v>7</v>
      </c>
      <c r="C277" s="1">
        <v>16</v>
      </c>
      <c r="D277" s="1">
        <v>129</v>
      </c>
      <c r="E277" s="1" t="s">
        <v>17</v>
      </c>
      <c r="F277" s="6" t="s">
        <v>18</v>
      </c>
    </row>
    <row r="278" spans="1:6" x14ac:dyDescent="0.35">
      <c r="A278" s="5" t="s">
        <v>16</v>
      </c>
      <c r="B278" s="1" t="s">
        <v>7</v>
      </c>
      <c r="C278" s="1">
        <v>17</v>
      </c>
      <c r="D278" s="1">
        <v>104</v>
      </c>
      <c r="E278" s="1" t="s">
        <v>17</v>
      </c>
      <c r="F278" s="6" t="s">
        <v>18</v>
      </c>
    </row>
    <row r="279" spans="1:6" x14ac:dyDescent="0.35">
      <c r="A279" s="5" t="s">
        <v>16</v>
      </c>
      <c r="B279" s="1" t="s">
        <v>7</v>
      </c>
      <c r="C279" s="1">
        <v>18</v>
      </c>
      <c r="D279" s="1">
        <v>59</v>
      </c>
      <c r="E279" s="1" t="s">
        <v>17</v>
      </c>
      <c r="F279" s="6" t="s">
        <v>18</v>
      </c>
    </row>
    <row r="280" spans="1:6" x14ac:dyDescent="0.35">
      <c r="A280" s="5" t="s">
        <v>16</v>
      </c>
      <c r="B280" s="1" t="s">
        <v>7</v>
      </c>
      <c r="C280" s="1">
        <v>19</v>
      </c>
      <c r="D280" s="1">
        <v>35</v>
      </c>
      <c r="E280" s="1" t="s">
        <v>17</v>
      </c>
      <c r="F280" s="6" t="s">
        <v>18</v>
      </c>
    </row>
    <row r="281" spans="1:6" x14ac:dyDescent="0.35">
      <c r="A281" s="5" t="s">
        <v>16</v>
      </c>
      <c r="B281" s="1" t="s">
        <v>7</v>
      </c>
      <c r="C281" s="1">
        <v>20</v>
      </c>
      <c r="D281" s="1">
        <v>57</v>
      </c>
      <c r="E281" s="1" t="s">
        <v>17</v>
      </c>
      <c r="F281" s="6" t="s">
        <v>18</v>
      </c>
    </row>
    <row r="282" spans="1:6" x14ac:dyDescent="0.35">
      <c r="A282" s="5" t="s">
        <v>16</v>
      </c>
      <c r="B282" s="1" t="s">
        <v>7</v>
      </c>
      <c r="C282" s="1">
        <v>21</v>
      </c>
      <c r="D282" s="1">
        <v>86</v>
      </c>
      <c r="E282" s="1" t="s">
        <v>17</v>
      </c>
      <c r="F282" s="6" t="s">
        <v>18</v>
      </c>
    </row>
    <row r="283" spans="1:6" x14ac:dyDescent="0.35">
      <c r="A283" s="5" t="s">
        <v>16</v>
      </c>
      <c r="B283" s="1" t="s">
        <v>7</v>
      </c>
      <c r="C283" s="1">
        <v>22</v>
      </c>
      <c r="D283" s="1">
        <v>127</v>
      </c>
      <c r="E283" s="1" t="s">
        <v>17</v>
      </c>
      <c r="F283" s="6" t="s">
        <v>18</v>
      </c>
    </row>
    <row r="284" spans="1:6" x14ac:dyDescent="0.35">
      <c r="A284" s="5" t="s">
        <v>16</v>
      </c>
      <c r="B284" s="1" t="s">
        <v>7</v>
      </c>
      <c r="C284" s="1">
        <v>23</v>
      </c>
      <c r="D284" s="1">
        <v>129</v>
      </c>
      <c r="E284" s="1" t="s">
        <v>17</v>
      </c>
      <c r="F284" s="6" t="s">
        <v>18</v>
      </c>
    </row>
    <row r="285" spans="1:6" x14ac:dyDescent="0.35">
      <c r="A285" s="5" t="s">
        <v>16</v>
      </c>
      <c r="B285" s="1" t="s">
        <v>7</v>
      </c>
      <c r="C285" s="1">
        <v>24</v>
      </c>
      <c r="D285" s="1">
        <v>69</v>
      </c>
      <c r="E285" s="1" t="s">
        <v>17</v>
      </c>
      <c r="F285" s="6" t="s">
        <v>18</v>
      </c>
    </row>
    <row r="286" spans="1:6" x14ac:dyDescent="0.35">
      <c r="A286" s="5" t="s">
        <v>16</v>
      </c>
      <c r="B286" s="1" t="s">
        <v>7</v>
      </c>
      <c r="C286" s="1">
        <v>25</v>
      </c>
      <c r="D286" s="1">
        <v>115</v>
      </c>
      <c r="E286" s="1" t="s">
        <v>17</v>
      </c>
      <c r="F286" s="6" t="s">
        <v>18</v>
      </c>
    </row>
    <row r="287" spans="1:6" x14ac:dyDescent="0.35">
      <c r="A287" s="5" t="s">
        <v>16</v>
      </c>
      <c r="B287" s="1" t="s">
        <v>7</v>
      </c>
      <c r="C287" s="1">
        <v>26</v>
      </c>
      <c r="D287" s="1">
        <v>109</v>
      </c>
      <c r="E287" s="1" t="s">
        <v>17</v>
      </c>
      <c r="F287" s="6" t="s">
        <v>18</v>
      </c>
    </row>
    <row r="288" spans="1:6" x14ac:dyDescent="0.35">
      <c r="A288" s="5" t="s">
        <v>16</v>
      </c>
      <c r="B288" s="1" t="s">
        <v>7</v>
      </c>
      <c r="C288" s="1">
        <v>27</v>
      </c>
      <c r="D288" s="1">
        <v>61</v>
      </c>
      <c r="E288" s="1" t="s">
        <v>17</v>
      </c>
      <c r="F288" s="6" t="s">
        <v>18</v>
      </c>
    </row>
    <row r="289" spans="1:6" x14ac:dyDescent="0.35">
      <c r="A289" s="5" t="s">
        <v>16</v>
      </c>
      <c r="B289" s="1" t="s">
        <v>7</v>
      </c>
      <c r="C289" s="1">
        <v>28</v>
      </c>
      <c r="D289" s="1">
        <v>109</v>
      </c>
      <c r="E289" s="1" t="s">
        <v>17</v>
      </c>
      <c r="F289" s="6" t="s">
        <v>18</v>
      </c>
    </row>
    <row r="290" spans="1:6" x14ac:dyDescent="0.35">
      <c r="A290" s="5" t="s">
        <v>16</v>
      </c>
      <c r="B290" s="1" t="s">
        <v>7</v>
      </c>
      <c r="C290" s="1">
        <v>29</v>
      </c>
      <c r="D290" s="1">
        <v>94</v>
      </c>
      <c r="E290" s="1" t="s">
        <v>17</v>
      </c>
      <c r="F290" s="6" t="s">
        <v>18</v>
      </c>
    </row>
    <row r="291" spans="1:6" x14ac:dyDescent="0.35">
      <c r="A291" s="5" t="s">
        <v>16</v>
      </c>
      <c r="B291" s="1" t="s">
        <v>7</v>
      </c>
      <c r="C291" s="1">
        <v>30</v>
      </c>
      <c r="D291" s="1">
        <v>72</v>
      </c>
      <c r="E291" s="1" t="s">
        <v>17</v>
      </c>
      <c r="F291" s="6" t="s">
        <v>18</v>
      </c>
    </row>
    <row r="292" spans="1:6" x14ac:dyDescent="0.35">
      <c r="A292" s="5" t="s">
        <v>16</v>
      </c>
      <c r="B292" s="1" t="s">
        <v>7</v>
      </c>
      <c r="C292" s="1">
        <v>31</v>
      </c>
      <c r="D292" s="1">
        <v>119</v>
      </c>
      <c r="E292" s="1" t="s">
        <v>17</v>
      </c>
      <c r="F292" s="6" t="s">
        <v>18</v>
      </c>
    </row>
    <row r="293" spans="1:6" x14ac:dyDescent="0.35">
      <c r="A293" s="5" t="s">
        <v>16</v>
      </c>
      <c r="B293" s="1" t="s">
        <v>7</v>
      </c>
      <c r="C293" s="1">
        <v>32</v>
      </c>
      <c r="D293" s="1">
        <v>175</v>
      </c>
      <c r="E293" s="1" t="s">
        <v>17</v>
      </c>
      <c r="F293" s="6" t="s">
        <v>18</v>
      </c>
    </row>
    <row r="294" spans="1:6" x14ac:dyDescent="0.35">
      <c r="A294" s="5" t="s">
        <v>16</v>
      </c>
      <c r="B294" s="1" t="s">
        <v>7</v>
      </c>
      <c r="C294" s="1">
        <v>33</v>
      </c>
      <c r="D294" s="1">
        <v>61</v>
      </c>
      <c r="E294" s="1" t="s">
        <v>17</v>
      </c>
      <c r="F294" s="6" t="s">
        <v>18</v>
      </c>
    </row>
    <row r="295" spans="1:6" x14ac:dyDescent="0.35">
      <c r="A295" s="5" t="s">
        <v>16</v>
      </c>
      <c r="B295" s="1" t="s">
        <v>7</v>
      </c>
      <c r="C295" s="1">
        <v>34</v>
      </c>
      <c r="D295" s="1">
        <v>195</v>
      </c>
      <c r="E295" s="1" t="s">
        <v>17</v>
      </c>
      <c r="F295" s="6" t="s">
        <v>18</v>
      </c>
    </row>
    <row r="296" spans="1:6" x14ac:dyDescent="0.35">
      <c r="A296" s="5" t="s">
        <v>16</v>
      </c>
      <c r="B296" s="1" t="s">
        <v>7</v>
      </c>
      <c r="C296" s="1">
        <v>35</v>
      </c>
      <c r="D296" s="1">
        <v>131</v>
      </c>
      <c r="E296" s="1" t="s">
        <v>17</v>
      </c>
      <c r="F296" s="6" t="s">
        <v>18</v>
      </c>
    </row>
    <row r="297" spans="1:6" x14ac:dyDescent="0.35">
      <c r="A297" s="5" t="s">
        <v>16</v>
      </c>
      <c r="B297" s="1" t="s">
        <v>7</v>
      </c>
      <c r="C297" s="1">
        <v>36</v>
      </c>
      <c r="D297" s="1">
        <v>139</v>
      </c>
      <c r="E297" s="1" t="s">
        <v>17</v>
      </c>
      <c r="F297" s="6" t="s">
        <v>18</v>
      </c>
    </row>
    <row r="298" spans="1:6" x14ac:dyDescent="0.35">
      <c r="A298" s="5" t="s">
        <v>16</v>
      </c>
      <c r="B298" s="1" t="s">
        <v>7</v>
      </c>
      <c r="C298" s="1">
        <v>37</v>
      </c>
      <c r="D298" s="1">
        <v>87</v>
      </c>
      <c r="E298" s="1" t="s">
        <v>17</v>
      </c>
      <c r="F298" s="6" t="s">
        <v>18</v>
      </c>
    </row>
    <row r="299" spans="1:6" x14ac:dyDescent="0.35">
      <c r="A299" s="5" t="s">
        <v>16</v>
      </c>
      <c r="B299" s="1" t="s">
        <v>7</v>
      </c>
      <c r="C299" s="1">
        <v>38</v>
      </c>
      <c r="D299" s="1">
        <v>141</v>
      </c>
      <c r="E299" s="1" t="s">
        <v>17</v>
      </c>
      <c r="F299" s="6" t="s">
        <v>18</v>
      </c>
    </row>
    <row r="300" spans="1:6" x14ac:dyDescent="0.35">
      <c r="A300" s="5" t="s">
        <v>16</v>
      </c>
      <c r="B300" s="1" t="s">
        <v>7</v>
      </c>
      <c r="C300" s="1">
        <v>39</v>
      </c>
      <c r="D300" s="1">
        <v>263</v>
      </c>
      <c r="E300" s="1" t="s">
        <v>17</v>
      </c>
      <c r="F300" s="6" t="s">
        <v>18</v>
      </c>
    </row>
    <row r="301" spans="1:6" x14ac:dyDescent="0.35">
      <c r="A301" s="5" t="s">
        <v>16</v>
      </c>
      <c r="B301" s="1" t="s">
        <v>7</v>
      </c>
      <c r="C301" s="1">
        <v>40</v>
      </c>
      <c r="D301" s="1">
        <v>160</v>
      </c>
      <c r="E301" s="1" t="s">
        <v>17</v>
      </c>
      <c r="F301" s="6" t="s">
        <v>18</v>
      </c>
    </row>
    <row r="302" spans="1:6" x14ac:dyDescent="0.35">
      <c r="A302" s="5" t="s">
        <v>16</v>
      </c>
      <c r="B302" s="1" t="s">
        <v>7</v>
      </c>
      <c r="C302" s="1">
        <v>41</v>
      </c>
      <c r="D302" s="1">
        <v>221</v>
      </c>
      <c r="E302" s="1" t="s">
        <v>17</v>
      </c>
      <c r="F302" s="6" t="s">
        <v>18</v>
      </c>
    </row>
    <row r="303" spans="1:6" x14ac:dyDescent="0.35">
      <c r="A303" s="5" t="s">
        <v>16</v>
      </c>
      <c r="B303" s="1" t="s">
        <v>7</v>
      </c>
      <c r="C303" s="1">
        <v>42</v>
      </c>
      <c r="D303" s="1">
        <v>97</v>
      </c>
      <c r="E303" s="1" t="s">
        <v>17</v>
      </c>
      <c r="F303" s="6" t="s">
        <v>18</v>
      </c>
    </row>
    <row r="304" spans="1:6" x14ac:dyDescent="0.35">
      <c r="A304" s="5" t="s">
        <v>16</v>
      </c>
      <c r="B304" s="1" t="s">
        <v>7</v>
      </c>
      <c r="C304" s="1">
        <v>43</v>
      </c>
      <c r="D304" s="1">
        <v>174</v>
      </c>
      <c r="E304" s="1" t="s">
        <v>17</v>
      </c>
      <c r="F304" s="6" t="s">
        <v>18</v>
      </c>
    </row>
    <row r="305" spans="1:6" x14ac:dyDescent="0.35">
      <c r="A305" s="5" t="s">
        <v>16</v>
      </c>
      <c r="B305" s="1" t="s">
        <v>7</v>
      </c>
      <c r="C305" s="1">
        <v>44</v>
      </c>
      <c r="D305" s="1">
        <v>87</v>
      </c>
      <c r="E305" s="1" t="s">
        <v>17</v>
      </c>
      <c r="F305" s="6" t="s">
        <v>18</v>
      </c>
    </row>
    <row r="306" spans="1:6" x14ac:dyDescent="0.35">
      <c r="A306" s="5" t="s">
        <v>16</v>
      </c>
      <c r="B306" s="1" t="s">
        <v>7</v>
      </c>
      <c r="C306" s="1">
        <v>45</v>
      </c>
      <c r="D306" s="1">
        <v>127</v>
      </c>
      <c r="E306" s="1" t="s">
        <v>17</v>
      </c>
      <c r="F306" s="6" t="s">
        <v>18</v>
      </c>
    </row>
    <row r="307" spans="1:6" x14ac:dyDescent="0.35">
      <c r="A307" s="5" t="s">
        <v>16</v>
      </c>
      <c r="B307" s="1" t="s">
        <v>7</v>
      </c>
      <c r="C307" s="1">
        <v>46</v>
      </c>
      <c r="D307" s="1">
        <v>116</v>
      </c>
      <c r="E307" s="1" t="s">
        <v>17</v>
      </c>
      <c r="F307" s="6" t="s">
        <v>18</v>
      </c>
    </row>
    <row r="308" spans="1:6" x14ac:dyDescent="0.35">
      <c r="A308" s="5" t="s">
        <v>16</v>
      </c>
      <c r="B308" s="1" t="s">
        <v>7</v>
      </c>
      <c r="C308" s="1">
        <v>47</v>
      </c>
      <c r="D308" s="1">
        <v>159</v>
      </c>
      <c r="E308" s="1" t="s">
        <v>17</v>
      </c>
      <c r="F308" s="6" t="s">
        <v>18</v>
      </c>
    </row>
    <row r="309" spans="1:6" x14ac:dyDescent="0.35">
      <c r="A309" s="5" t="s">
        <v>16</v>
      </c>
      <c r="B309" s="1" t="s">
        <v>7</v>
      </c>
      <c r="C309" s="1">
        <v>48</v>
      </c>
      <c r="D309" s="1">
        <v>113</v>
      </c>
      <c r="E309" s="1" t="s">
        <v>17</v>
      </c>
      <c r="F309" s="6" t="s">
        <v>18</v>
      </c>
    </row>
    <row r="310" spans="1:6" x14ac:dyDescent="0.35">
      <c r="A310" s="5" t="s">
        <v>16</v>
      </c>
      <c r="B310" s="1" t="s">
        <v>7</v>
      </c>
      <c r="C310" s="1">
        <v>49</v>
      </c>
      <c r="D310" s="1">
        <v>77</v>
      </c>
      <c r="E310" s="1" t="s">
        <v>17</v>
      </c>
      <c r="F310" s="6" t="s">
        <v>18</v>
      </c>
    </row>
    <row r="311" spans="1:6" x14ac:dyDescent="0.35">
      <c r="A311" s="5" t="s">
        <v>16</v>
      </c>
      <c r="B311" s="1" t="s">
        <v>7</v>
      </c>
      <c r="C311" s="1">
        <v>50</v>
      </c>
      <c r="D311" s="1">
        <v>93</v>
      </c>
      <c r="E311" s="1" t="s">
        <v>17</v>
      </c>
      <c r="F311" s="6" t="s">
        <v>18</v>
      </c>
    </row>
    <row r="312" spans="1:6" x14ac:dyDescent="0.35">
      <c r="A312" s="5" t="s">
        <v>16</v>
      </c>
      <c r="B312" s="1" t="s">
        <v>7</v>
      </c>
      <c r="C312" s="1">
        <v>51</v>
      </c>
      <c r="D312" s="1">
        <v>64</v>
      </c>
      <c r="E312" s="1" t="s">
        <v>17</v>
      </c>
      <c r="F312" s="6" t="s">
        <v>18</v>
      </c>
    </row>
    <row r="313" spans="1:6" x14ac:dyDescent="0.35">
      <c r="A313" s="5" t="s">
        <v>16</v>
      </c>
      <c r="B313" s="1" t="s">
        <v>7</v>
      </c>
      <c r="C313" s="1">
        <v>52</v>
      </c>
      <c r="D313" s="1">
        <v>43</v>
      </c>
      <c r="E313" s="1" t="s">
        <v>17</v>
      </c>
      <c r="F313" s="6" t="s">
        <v>18</v>
      </c>
    </row>
    <row r="314" spans="1:6" x14ac:dyDescent="0.35">
      <c r="A314" s="5" t="s">
        <v>10</v>
      </c>
      <c r="B314" s="1" t="s">
        <v>7</v>
      </c>
      <c r="C314" s="1">
        <v>1</v>
      </c>
      <c r="D314" s="1">
        <v>186</v>
      </c>
      <c r="E314" s="1" t="s">
        <v>11</v>
      </c>
      <c r="F314" s="6" t="s">
        <v>12</v>
      </c>
    </row>
    <row r="315" spans="1:6" x14ac:dyDescent="0.35">
      <c r="A315" s="5" t="s">
        <v>10</v>
      </c>
      <c r="B315" s="1" t="s">
        <v>7</v>
      </c>
      <c r="C315" s="1">
        <v>2</v>
      </c>
      <c r="D315" s="1">
        <v>127</v>
      </c>
      <c r="E315" s="1" t="s">
        <v>11</v>
      </c>
      <c r="F315" s="6" t="s">
        <v>12</v>
      </c>
    </row>
    <row r="316" spans="1:6" x14ac:dyDescent="0.35">
      <c r="A316" s="5" t="s">
        <v>10</v>
      </c>
      <c r="B316" s="1" t="s">
        <v>7</v>
      </c>
      <c r="C316" s="1">
        <v>3</v>
      </c>
      <c r="D316" s="1">
        <v>240</v>
      </c>
      <c r="E316" s="1" t="s">
        <v>11</v>
      </c>
      <c r="F316" s="6" t="s">
        <v>12</v>
      </c>
    </row>
    <row r="317" spans="1:6" x14ac:dyDescent="0.35">
      <c r="A317" s="5" t="s">
        <v>10</v>
      </c>
      <c r="B317" s="1" t="s">
        <v>7</v>
      </c>
      <c r="C317" s="1">
        <v>4</v>
      </c>
      <c r="D317" s="1">
        <v>309</v>
      </c>
      <c r="E317" s="1" t="s">
        <v>11</v>
      </c>
      <c r="F317" s="6" t="s">
        <v>12</v>
      </c>
    </row>
    <row r="318" spans="1:6" x14ac:dyDescent="0.35">
      <c r="A318" s="5" t="s">
        <v>10</v>
      </c>
      <c r="B318" s="1" t="s">
        <v>7</v>
      </c>
      <c r="C318" s="1">
        <v>5</v>
      </c>
      <c r="D318" s="1">
        <v>538</v>
      </c>
      <c r="E318" s="1" t="s">
        <v>11</v>
      </c>
      <c r="F318" s="6" t="s">
        <v>12</v>
      </c>
    </row>
    <row r="319" spans="1:6" x14ac:dyDescent="0.35">
      <c r="A319" s="5" t="s">
        <v>10</v>
      </c>
      <c r="B319" s="1" t="s">
        <v>7</v>
      </c>
      <c r="C319" s="1">
        <v>6</v>
      </c>
      <c r="D319" s="1">
        <v>307</v>
      </c>
      <c r="E319" s="1" t="s">
        <v>11</v>
      </c>
      <c r="F319" s="6" t="s">
        <v>12</v>
      </c>
    </row>
    <row r="320" spans="1:6" x14ac:dyDescent="0.35">
      <c r="A320" s="5" t="s">
        <v>10</v>
      </c>
      <c r="B320" s="1" t="s">
        <v>7</v>
      </c>
      <c r="C320" s="1">
        <v>7</v>
      </c>
      <c r="D320" s="1">
        <v>329</v>
      </c>
      <c r="E320" s="1" t="s">
        <v>11</v>
      </c>
      <c r="F320" s="6" t="s">
        <v>12</v>
      </c>
    </row>
    <row r="321" spans="1:6" x14ac:dyDescent="0.35">
      <c r="A321" s="5" t="s">
        <v>10</v>
      </c>
      <c r="B321" s="1" t="s">
        <v>7</v>
      </c>
      <c r="C321" s="1">
        <v>8</v>
      </c>
      <c r="D321" s="1">
        <v>243</v>
      </c>
      <c r="E321" s="1" t="s">
        <v>11</v>
      </c>
      <c r="F321" s="6" t="s">
        <v>12</v>
      </c>
    </row>
    <row r="322" spans="1:6" x14ac:dyDescent="0.35">
      <c r="A322" s="5" t="s">
        <v>10</v>
      </c>
      <c r="B322" s="1" t="s">
        <v>7</v>
      </c>
      <c r="C322" s="1">
        <v>9</v>
      </c>
      <c r="D322" s="1">
        <v>530</v>
      </c>
      <c r="E322" s="1" t="s">
        <v>11</v>
      </c>
      <c r="F322" s="6" t="s">
        <v>12</v>
      </c>
    </row>
    <row r="323" spans="1:6" x14ac:dyDescent="0.35">
      <c r="A323" s="5" t="s">
        <v>10</v>
      </c>
      <c r="B323" s="1" t="s">
        <v>7</v>
      </c>
      <c r="C323" s="1">
        <v>10</v>
      </c>
      <c r="D323" s="1">
        <v>223</v>
      </c>
      <c r="E323" s="1" t="s">
        <v>11</v>
      </c>
      <c r="F323" s="6" t="s">
        <v>12</v>
      </c>
    </row>
    <row r="324" spans="1:6" x14ac:dyDescent="0.35">
      <c r="A324" s="5" t="s">
        <v>10</v>
      </c>
      <c r="B324" s="1" t="s">
        <v>7</v>
      </c>
      <c r="C324" s="1">
        <v>11</v>
      </c>
      <c r="D324" s="1">
        <v>588</v>
      </c>
      <c r="E324" s="1" t="s">
        <v>11</v>
      </c>
      <c r="F324" s="6" t="s">
        <v>12</v>
      </c>
    </row>
    <row r="325" spans="1:6" x14ac:dyDescent="0.35">
      <c r="A325" s="5" t="s">
        <v>10</v>
      </c>
      <c r="B325" s="1" t="s">
        <v>7</v>
      </c>
      <c r="C325" s="1">
        <v>12</v>
      </c>
      <c r="D325" s="1">
        <v>810</v>
      </c>
      <c r="E325" s="1" t="s">
        <v>11</v>
      </c>
      <c r="F325" s="6" t="s">
        <v>12</v>
      </c>
    </row>
    <row r="326" spans="1:6" x14ac:dyDescent="0.35">
      <c r="A326" s="5" t="s">
        <v>10</v>
      </c>
      <c r="B326" s="1" t="s">
        <v>7</v>
      </c>
      <c r="C326" s="1">
        <v>13</v>
      </c>
      <c r="D326" s="1">
        <v>421</v>
      </c>
      <c r="E326" s="1" t="s">
        <v>11</v>
      </c>
      <c r="F326" s="6" t="s">
        <v>12</v>
      </c>
    </row>
    <row r="327" spans="1:6" x14ac:dyDescent="0.35">
      <c r="A327" s="5" t="s">
        <v>10</v>
      </c>
      <c r="B327" s="1" t="s">
        <v>7</v>
      </c>
      <c r="C327" s="1">
        <v>14</v>
      </c>
      <c r="D327" s="1">
        <v>456</v>
      </c>
      <c r="E327" s="1" t="s">
        <v>11</v>
      </c>
      <c r="F327" s="6" t="s">
        <v>12</v>
      </c>
    </row>
    <row r="328" spans="1:6" x14ac:dyDescent="0.35">
      <c r="A328" s="5" t="s">
        <v>10</v>
      </c>
      <c r="B328" s="1" t="s">
        <v>7</v>
      </c>
      <c r="C328" s="1">
        <v>15</v>
      </c>
      <c r="D328" s="1">
        <v>244</v>
      </c>
      <c r="E328" s="1" t="s">
        <v>11</v>
      </c>
      <c r="F328" s="6" t="s">
        <v>12</v>
      </c>
    </row>
    <row r="329" spans="1:6" x14ac:dyDescent="0.35">
      <c r="A329" s="5" t="s">
        <v>10</v>
      </c>
      <c r="B329" s="1" t="s">
        <v>7</v>
      </c>
      <c r="C329" s="1">
        <v>16</v>
      </c>
      <c r="D329" s="1">
        <v>843</v>
      </c>
      <c r="E329" s="1" t="s">
        <v>11</v>
      </c>
      <c r="F329" s="6" t="s">
        <v>12</v>
      </c>
    </row>
    <row r="330" spans="1:6" x14ac:dyDescent="0.35">
      <c r="A330" s="5" t="s">
        <v>10</v>
      </c>
      <c r="B330" s="1" t="s">
        <v>7</v>
      </c>
      <c r="C330" s="1">
        <v>17</v>
      </c>
      <c r="D330" s="1">
        <v>1023</v>
      </c>
      <c r="E330" s="1" t="s">
        <v>11</v>
      </c>
      <c r="F330" s="6" t="s">
        <v>12</v>
      </c>
    </row>
    <row r="331" spans="1:6" x14ac:dyDescent="0.35">
      <c r="A331" s="5" t="s">
        <v>10</v>
      </c>
      <c r="B331" s="1" t="s">
        <v>7</v>
      </c>
      <c r="C331" s="1">
        <v>18</v>
      </c>
      <c r="D331" s="1">
        <v>297</v>
      </c>
      <c r="E331" s="1" t="s">
        <v>11</v>
      </c>
      <c r="F331" s="6" t="s">
        <v>12</v>
      </c>
    </row>
    <row r="332" spans="1:6" x14ac:dyDescent="0.35">
      <c r="A332" s="5" t="s">
        <v>10</v>
      </c>
      <c r="B332" s="1" t="s">
        <v>7</v>
      </c>
      <c r="C332" s="1">
        <v>19</v>
      </c>
      <c r="D332" s="1">
        <v>866</v>
      </c>
      <c r="E332" s="1" t="s">
        <v>11</v>
      </c>
      <c r="F332" s="6" t="s">
        <v>12</v>
      </c>
    </row>
    <row r="333" spans="1:6" x14ac:dyDescent="0.35">
      <c r="A333" s="5" t="s">
        <v>10</v>
      </c>
      <c r="B333" s="1" t="s">
        <v>7</v>
      </c>
      <c r="C333" s="1">
        <v>20</v>
      </c>
      <c r="D333" s="1">
        <v>271</v>
      </c>
      <c r="E333" s="1" t="s">
        <v>11</v>
      </c>
      <c r="F333" s="6" t="s">
        <v>12</v>
      </c>
    </row>
    <row r="334" spans="1:6" x14ac:dyDescent="0.35">
      <c r="A334" s="5" t="s">
        <v>10</v>
      </c>
      <c r="B334" s="1" t="s">
        <v>7</v>
      </c>
      <c r="C334" s="1">
        <v>21</v>
      </c>
      <c r="D334" s="1">
        <v>862</v>
      </c>
      <c r="E334" s="1" t="s">
        <v>11</v>
      </c>
      <c r="F334" s="6" t="s">
        <v>12</v>
      </c>
    </row>
    <row r="335" spans="1:6" x14ac:dyDescent="0.35">
      <c r="A335" s="5" t="s">
        <v>10</v>
      </c>
      <c r="B335" s="1" t="s">
        <v>7</v>
      </c>
      <c r="C335" s="1">
        <v>22</v>
      </c>
      <c r="D335" s="1">
        <v>384</v>
      </c>
      <c r="E335" s="1" t="s">
        <v>11</v>
      </c>
      <c r="F335" s="6" t="s">
        <v>12</v>
      </c>
    </row>
    <row r="336" spans="1:6" x14ac:dyDescent="0.35">
      <c r="A336" s="5" t="s">
        <v>10</v>
      </c>
      <c r="B336" s="1" t="s">
        <v>7</v>
      </c>
      <c r="C336" s="1">
        <v>23</v>
      </c>
      <c r="D336" s="1">
        <v>704</v>
      </c>
      <c r="E336" s="1" t="s">
        <v>11</v>
      </c>
      <c r="F336" s="6" t="s">
        <v>12</v>
      </c>
    </row>
    <row r="337" spans="1:6" x14ac:dyDescent="0.35">
      <c r="A337" s="5" t="s">
        <v>10</v>
      </c>
      <c r="B337" s="1" t="s">
        <v>7</v>
      </c>
      <c r="C337" s="1">
        <v>24</v>
      </c>
      <c r="D337" s="1">
        <v>300</v>
      </c>
      <c r="E337" s="1" t="s">
        <v>11</v>
      </c>
      <c r="F337" s="6" t="s">
        <v>12</v>
      </c>
    </row>
    <row r="338" spans="1:6" x14ac:dyDescent="0.35">
      <c r="A338" s="5" t="s">
        <v>10</v>
      </c>
      <c r="B338" s="1" t="s">
        <v>7</v>
      </c>
      <c r="C338" s="1">
        <v>25</v>
      </c>
      <c r="D338" s="1">
        <v>498</v>
      </c>
      <c r="E338" s="1" t="s">
        <v>11</v>
      </c>
      <c r="F338" s="6" t="s">
        <v>12</v>
      </c>
    </row>
    <row r="339" spans="1:6" x14ac:dyDescent="0.35">
      <c r="A339" s="5" t="s">
        <v>10</v>
      </c>
      <c r="B339" s="1" t="s">
        <v>7</v>
      </c>
      <c r="C339" s="1">
        <v>26</v>
      </c>
      <c r="D339" s="1">
        <v>1123</v>
      </c>
      <c r="E339" s="1" t="s">
        <v>11</v>
      </c>
      <c r="F339" s="6" t="s">
        <v>12</v>
      </c>
    </row>
    <row r="340" spans="1:6" x14ac:dyDescent="0.35">
      <c r="A340" s="5" t="s">
        <v>10</v>
      </c>
      <c r="B340" s="1" t="s">
        <v>7</v>
      </c>
      <c r="C340" s="1">
        <v>27</v>
      </c>
      <c r="D340" s="1">
        <v>416</v>
      </c>
      <c r="E340" s="1" t="s">
        <v>11</v>
      </c>
      <c r="F340" s="6" t="s">
        <v>12</v>
      </c>
    </row>
    <row r="341" spans="1:6" x14ac:dyDescent="0.35">
      <c r="A341" s="5" t="s">
        <v>10</v>
      </c>
      <c r="B341" s="1" t="s">
        <v>7</v>
      </c>
      <c r="C341" s="1">
        <v>28</v>
      </c>
      <c r="D341" s="1">
        <v>466</v>
      </c>
      <c r="E341" s="1" t="s">
        <v>11</v>
      </c>
      <c r="F341" s="6" t="s">
        <v>12</v>
      </c>
    </row>
    <row r="342" spans="1:6" x14ac:dyDescent="0.35">
      <c r="A342" s="5" t="s">
        <v>10</v>
      </c>
      <c r="B342" s="1" t="s">
        <v>7</v>
      </c>
      <c r="C342" s="1">
        <v>29</v>
      </c>
      <c r="D342" s="1">
        <v>733</v>
      </c>
      <c r="E342" s="1" t="s">
        <v>11</v>
      </c>
      <c r="F342" s="6" t="s">
        <v>12</v>
      </c>
    </row>
    <row r="343" spans="1:6" x14ac:dyDescent="0.35">
      <c r="A343" s="5" t="s">
        <v>10</v>
      </c>
      <c r="B343" s="1" t="s">
        <v>7</v>
      </c>
      <c r="C343" s="1">
        <v>30</v>
      </c>
      <c r="D343" s="1">
        <v>213</v>
      </c>
      <c r="E343" s="1" t="s">
        <v>11</v>
      </c>
      <c r="F343" s="6" t="s">
        <v>12</v>
      </c>
    </row>
    <row r="344" spans="1:6" x14ac:dyDescent="0.35">
      <c r="A344" s="5" t="s">
        <v>10</v>
      </c>
      <c r="B344" s="1" t="s">
        <v>7</v>
      </c>
      <c r="C344" s="1">
        <v>31</v>
      </c>
      <c r="D344" s="1">
        <v>1168</v>
      </c>
      <c r="E344" s="1" t="s">
        <v>11</v>
      </c>
      <c r="F344" s="6" t="s">
        <v>12</v>
      </c>
    </row>
    <row r="345" spans="1:6" x14ac:dyDescent="0.35">
      <c r="A345" s="5" t="s">
        <v>10</v>
      </c>
      <c r="B345" s="1" t="s">
        <v>7</v>
      </c>
      <c r="C345" s="1">
        <v>32</v>
      </c>
      <c r="D345" s="1">
        <v>290</v>
      </c>
      <c r="E345" s="1" t="s">
        <v>11</v>
      </c>
      <c r="F345" s="6" t="s">
        <v>12</v>
      </c>
    </row>
    <row r="346" spans="1:6" x14ac:dyDescent="0.35">
      <c r="A346" s="5" t="s">
        <v>10</v>
      </c>
      <c r="B346" s="1" t="s">
        <v>7</v>
      </c>
      <c r="C346" s="1">
        <v>33</v>
      </c>
      <c r="D346" s="1">
        <v>1175</v>
      </c>
      <c r="E346" s="1" t="s">
        <v>11</v>
      </c>
      <c r="F346" s="6" t="s">
        <v>12</v>
      </c>
    </row>
    <row r="347" spans="1:6" x14ac:dyDescent="0.35">
      <c r="A347" s="5" t="s">
        <v>10</v>
      </c>
      <c r="B347" s="1" t="s">
        <v>7</v>
      </c>
      <c r="C347" s="1">
        <v>34</v>
      </c>
      <c r="D347" s="1">
        <v>1029</v>
      </c>
      <c r="E347" s="1" t="s">
        <v>11</v>
      </c>
      <c r="F347" s="6" t="s">
        <v>12</v>
      </c>
    </row>
    <row r="348" spans="1:6" x14ac:dyDescent="0.35">
      <c r="A348" s="5" t="s">
        <v>10</v>
      </c>
      <c r="B348" s="1" t="s">
        <v>7</v>
      </c>
      <c r="C348" s="1">
        <v>35</v>
      </c>
      <c r="D348" s="1">
        <v>473</v>
      </c>
      <c r="E348" s="1" t="s">
        <v>11</v>
      </c>
      <c r="F348" s="6" t="s">
        <v>12</v>
      </c>
    </row>
    <row r="349" spans="1:6" x14ac:dyDescent="0.35">
      <c r="A349" s="5" t="s">
        <v>10</v>
      </c>
      <c r="B349" s="1" t="s">
        <v>7</v>
      </c>
      <c r="C349" s="1">
        <v>36</v>
      </c>
      <c r="D349" s="1">
        <v>1253</v>
      </c>
      <c r="E349" s="1" t="s">
        <v>11</v>
      </c>
      <c r="F349" s="6" t="s">
        <v>12</v>
      </c>
    </row>
    <row r="350" spans="1:6" x14ac:dyDescent="0.35">
      <c r="A350" s="5" t="s">
        <v>10</v>
      </c>
      <c r="B350" s="1" t="s">
        <v>7</v>
      </c>
      <c r="C350" s="1">
        <v>37</v>
      </c>
      <c r="D350" s="1">
        <v>510</v>
      </c>
      <c r="E350" s="1" t="s">
        <v>11</v>
      </c>
      <c r="F350" s="6" t="s">
        <v>12</v>
      </c>
    </row>
    <row r="351" spans="1:6" x14ac:dyDescent="0.35">
      <c r="A351" s="5" t="s">
        <v>10</v>
      </c>
      <c r="B351" s="1" t="s">
        <v>7</v>
      </c>
      <c r="C351" s="1">
        <v>38</v>
      </c>
      <c r="D351" s="1">
        <v>1041</v>
      </c>
      <c r="E351" s="1" t="s">
        <v>11</v>
      </c>
      <c r="F351" s="6" t="s">
        <v>12</v>
      </c>
    </row>
    <row r="352" spans="1:6" x14ac:dyDescent="0.35">
      <c r="A352" s="5" t="s">
        <v>10</v>
      </c>
      <c r="B352" s="1" t="s">
        <v>7</v>
      </c>
      <c r="C352" s="1">
        <v>39</v>
      </c>
      <c r="D352" s="1">
        <v>448</v>
      </c>
      <c r="E352" s="1" t="s">
        <v>11</v>
      </c>
      <c r="F352" s="6" t="s">
        <v>12</v>
      </c>
    </row>
    <row r="353" spans="1:6" x14ac:dyDescent="0.35">
      <c r="A353" s="5" t="s">
        <v>10</v>
      </c>
      <c r="B353" s="1" t="s">
        <v>7</v>
      </c>
      <c r="C353" s="1">
        <v>40</v>
      </c>
      <c r="D353" s="1">
        <v>954</v>
      </c>
      <c r="E353" s="1" t="s">
        <v>11</v>
      </c>
      <c r="F353" s="6" t="s">
        <v>12</v>
      </c>
    </row>
    <row r="354" spans="1:6" x14ac:dyDescent="0.35">
      <c r="A354" s="5" t="s">
        <v>10</v>
      </c>
      <c r="B354" s="1" t="s">
        <v>7</v>
      </c>
      <c r="C354" s="1">
        <v>41</v>
      </c>
      <c r="D354" s="1">
        <v>263</v>
      </c>
      <c r="E354" s="1" t="s">
        <v>11</v>
      </c>
      <c r="F354" s="6" t="s">
        <v>12</v>
      </c>
    </row>
    <row r="355" spans="1:6" x14ac:dyDescent="0.35">
      <c r="A355" s="5" t="s">
        <v>10</v>
      </c>
      <c r="B355" s="1" t="s">
        <v>7</v>
      </c>
      <c r="C355" s="1">
        <v>42</v>
      </c>
      <c r="D355" s="1">
        <v>581</v>
      </c>
      <c r="E355" s="1" t="s">
        <v>11</v>
      </c>
      <c r="F355" s="6" t="s">
        <v>12</v>
      </c>
    </row>
    <row r="356" spans="1:6" x14ac:dyDescent="0.35">
      <c r="A356" s="5" t="s">
        <v>10</v>
      </c>
      <c r="B356" s="1" t="s">
        <v>7</v>
      </c>
      <c r="C356" s="1">
        <v>43</v>
      </c>
      <c r="D356" s="1">
        <v>1005</v>
      </c>
      <c r="E356" s="1" t="s">
        <v>11</v>
      </c>
      <c r="F356" s="6" t="s">
        <v>12</v>
      </c>
    </row>
    <row r="357" spans="1:6" x14ac:dyDescent="0.35">
      <c r="A357" s="5" t="s">
        <v>10</v>
      </c>
      <c r="B357" s="1" t="s">
        <v>7</v>
      </c>
      <c r="C357" s="1">
        <v>44</v>
      </c>
      <c r="D357" s="1">
        <v>880</v>
      </c>
      <c r="E357" s="1" t="s">
        <v>11</v>
      </c>
      <c r="F357" s="6" t="s">
        <v>12</v>
      </c>
    </row>
    <row r="358" spans="1:6" x14ac:dyDescent="0.35">
      <c r="A358" s="5" t="s">
        <v>10</v>
      </c>
      <c r="B358" s="1" t="s">
        <v>7</v>
      </c>
      <c r="C358" s="1">
        <v>45</v>
      </c>
      <c r="D358" s="1">
        <v>777</v>
      </c>
      <c r="E358" s="1" t="s">
        <v>11</v>
      </c>
      <c r="F358" s="6" t="s">
        <v>12</v>
      </c>
    </row>
    <row r="359" spans="1:6" x14ac:dyDescent="0.35">
      <c r="A359" s="5" t="s">
        <v>10</v>
      </c>
      <c r="B359" s="1" t="s">
        <v>7</v>
      </c>
      <c r="C359" s="1">
        <v>46</v>
      </c>
      <c r="D359" s="1">
        <v>284</v>
      </c>
      <c r="E359" s="1" t="s">
        <v>11</v>
      </c>
      <c r="F359" s="6" t="s">
        <v>12</v>
      </c>
    </row>
    <row r="360" spans="1:6" x14ac:dyDescent="0.35">
      <c r="A360" s="5" t="s">
        <v>10</v>
      </c>
      <c r="B360" s="1" t="s">
        <v>7</v>
      </c>
      <c r="C360" s="1">
        <v>47</v>
      </c>
      <c r="D360" s="1">
        <v>576</v>
      </c>
      <c r="E360" s="1" t="s">
        <v>11</v>
      </c>
      <c r="F360" s="6" t="s">
        <v>12</v>
      </c>
    </row>
    <row r="361" spans="1:6" x14ac:dyDescent="0.35">
      <c r="A361" s="5" t="s">
        <v>10</v>
      </c>
      <c r="B361" s="1" t="s">
        <v>7</v>
      </c>
      <c r="C361" s="1">
        <v>48</v>
      </c>
      <c r="D361" s="1">
        <v>145</v>
      </c>
      <c r="E361" s="1" t="s">
        <v>11</v>
      </c>
      <c r="F361" s="6" t="s">
        <v>12</v>
      </c>
    </row>
    <row r="362" spans="1:6" x14ac:dyDescent="0.35">
      <c r="A362" s="5" t="s">
        <v>10</v>
      </c>
      <c r="B362" s="1" t="s">
        <v>7</v>
      </c>
      <c r="C362" s="1">
        <v>49</v>
      </c>
      <c r="D362" s="1">
        <v>401</v>
      </c>
      <c r="E362" s="1" t="s">
        <v>11</v>
      </c>
      <c r="F362" s="6" t="s">
        <v>12</v>
      </c>
    </row>
    <row r="363" spans="1:6" x14ac:dyDescent="0.35">
      <c r="A363" s="5" t="s">
        <v>10</v>
      </c>
      <c r="B363" s="1" t="s">
        <v>7</v>
      </c>
      <c r="C363" s="1">
        <v>50</v>
      </c>
      <c r="D363" s="1">
        <v>725</v>
      </c>
      <c r="E363" s="1" t="s">
        <v>11</v>
      </c>
      <c r="F363" s="6" t="s">
        <v>12</v>
      </c>
    </row>
    <row r="364" spans="1:6" x14ac:dyDescent="0.35">
      <c r="A364" s="5" t="s">
        <v>10</v>
      </c>
      <c r="B364" s="1" t="s">
        <v>7</v>
      </c>
      <c r="C364" s="1">
        <v>51</v>
      </c>
      <c r="D364" s="1">
        <v>674</v>
      </c>
      <c r="E364" s="1" t="s">
        <v>11</v>
      </c>
      <c r="F364" s="6" t="s">
        <v>12</v>
      </c>
    </row>
    <row r="365" spans="1:6" x14ac:dyDescent="0.35">
      <c r="A365" s="5" t="s">
        <v>10</v>
      </c>
      <c r="B365" s="1" t="s">
        <v>7</v>
      </c>
      <c r="C365" s="1">
        <v>52</v>
      </c>
      <c r="D365" s="1">
        <v>488</v>
      </c>
      <c r="E365" s="1" t="s">
        <v>11</v>
      </c>
      <c r="F365" s="6" t="s">
        <v>12</v>
      </c>
    </row>
    <row r="366" spans="1:6" x14ac:dyDescent="0.35">
      <c r="A366" s="5" t="s">
        <v>22</v>
      </c>
      <c r="B366" s="1" t="s">
        <v>44</v>
      </c>
      <c r="C366" s="1">
        <v>1</v>
      </c>
      <c r="D366" s="1">
        <v>80</v>
      </c>
      <c r="E366" s="1" t="s">
        <v>11</v>
      </c>
      <c r="F366" s="6" t="s">
        <v>12</v>
      </c>
    </row>
    <row r="367" spans="1:6" x14ac:dyDescent="0.35">
      <c r="A367" s="5" t="s">
        <v>22</v>
      </c>
      <c r="B367" s="1" t="s">
        <v>44</v>
      </c>
      <c r="C367" s="1">
        <v>2</v>
      </c>
      <c r="D367" s="1">
        <v>204</v>
      </c>
      <c r="E367" s="1" t="s">
        <v>11</v>
      </c>
      <c r="F367" s="6" t="s">
        <v>12</v>
      </c>
    </row>
    <row r="368" spans="1:6" x14ac:dyDescent="0.35">
      <c r="A368" s="5" t="s">
        <v>22</v>
      </c>
      <c r="B368" s="1" t="s">
        <v>44</v>
      </c>
      <c r="C368" s="1">
        <v>3</v>
      </c>
      <c r="D368" s="1">
        <v>165</v>
      </c>
      <c r="E368" s="1" t="s">
        <v>11</v>
      </c>
      <c r="F368" s="6" t="s">
        <v>12</v>
      </c>
    </row>
    <row r="369" spans="1:6" x14ac:dyDescent="0.35">
      <c r="A369" s="5" t="s">
        <v>22</v>
      </c>
      <c r="B369" s="1" t="s">
        <v>44</v>
      </c>
      <c r="C369" s="1">
        <v>4</v>
      </c>
      <c r="D369" s="1">
        <v>213</v>
      </c>
      <c r="E369" s="1" t="s">
        <v>11</v>
      </c>
      <c r="F369" s="6" t="s">
        <v>12</v>
      </c>
    </row>
    <row r="370" spans="1:6" x14ac:dyDescent="0.35">
      <c r="A370" s="5" t="s">
        <v>22</v>
      </c>
      <c r="B370" s="1" t="s">
        <v>44</v>
      </c>
      <c r="C370" s="1">
        <v>5</v>
      </c>
      <c r="D370" s="1">
        <v>100</v>
      </c>
      <c r="E370" s="1" t="s">
        <v>11</v>
      </c>
      <c r="F370" s="6" t="s">
        <v>12</v>
      </c>
    </row>
    <row r="371" spans="1:6" x14ac:dyDescent="0.35">
      <c r="A371" s="5" t="s">
        <v>22</v>
      </c>
      <c r="B371" s="1" t="s">
        <v>44</v>
      </c>
      <c r="C371" s="1">
        <v>6</v>
      </c>
      <c r="D371" s="1">
        <v>134</v>
      </c>
      <c r="E371" s="1" t="s">
        <v>11</v>
      </c>
      <c r="F371" s="6" t="s">
        <v>12</v>
      </c>
    </row>
    <row r="372" spans="1:6" x14ac:dyDescent="0.35">
      <c r="A372" s="5" t="s">
        <v>22</v>
      </c>
      <c r="B372" s="1" t="s">
        <v>44</v>
      </c>
      <c r="C372" s="1">
        <v>7</v>
      </c>
      <c r="D372" s="1">
        <v>185</v>
      </c>
      <c r="E372" s="1" t="s">
        <v>11</v>
      </c>
      <c r="F372" s="6" t="s">
        <v>12</v>
      </c>
    </row>
    <row r="373" spans="1:6" x14ac:dyDescent="0.35">
      <c r="A373" s="5" t="s">
        <v>22</v>
      </c>
      <c r="B373" s="1" t="s">
        <v>44</v>
      </c>
      <c r="C373" s="1">
        <v>8</v>
      </c>
      <c r="D373" s="1">
        <v>219</v>
      </c>
      <c r="E373" s="1" t="s">
        <v>11</v>
      </c>
      <c r="F373" s="6" t="s">
        <v>12</v>
      </c>
    </row>
    <row r="374" spans="1:6" x14ac:dyDescent="0.35">
      <c r="A374" s="5" t="s">
        <v>22</v>
      </c>
      <c r="B374" s="1" t="s">
        <v>44</v>
      </c>
      <c r="C374" s="1">
        <v>9</v>
      </c>
      <c r="D374" s="1">
        <v>266</v>
      </c>
      <c r="E374" s="1" t="s">
        <v>11</v>
      </c>
      <c r="F374" s="6" t="s">
        <v>12</v>
      </c>
    </row>
    <row r="375" spans="1:6" x14ac:dyDescent="0.35">
      <c r="A375" s="5" t="s">
        <v>22</v>
      </c>
      <c r="B375" s="1" t="s">
        <v>44</v>
      </c>
      <c r="C375" s="1">
        <v>10</v>
      </c>
      <c r="D375" s="1">
        <v>106</v>
      </c>
      <c r="E375" s="1" t="s">
        <v>11</v>
      </c>
      <c r="F375" s="6" t="s">
        <v>12</v>
      </c>
    </row>
    <row r="376" spans="1:6" x14ac:dyDescent="0.35">
      <c r="A376" s="5" t="s">
        <v>22</v>
      </c>
      <c r="B376" s="1" t="s">
        <v>44</v>
      </c>
      <c r="C376" s="1">
        <v>11</v>
      </c>
      <c r="D376" s="1">
        <v>150</v>
      </c>
      <c r="E376" s="1" t="s">
        <v>11</v>
      </c>
      <c r="F376" s="6" t="s">
        <v>12</v>
      </c>
    </row>
    <row r="377" spans="1:6" x14ac:dyDescent="0.35">
      <c r="A377" s="5" t="s">
        <v>22</v>
      </c>
      <c r="B377" s="1" t="s">
        <v>44</v>
      </c>
      <c r="C377" s="1">
        <v>12</v>
      </c>
      <c r="D377" s="1">
        <v>126</v>
      </c>
      <c r="E377" s="1" t="s">
        <v>11</v>
      </c>
      <c r="F377" s="6" t="s">
        <v>12</v>
      </c>
    </row>
    <row r="378" spans="1:6" x14ac:dyDescent="0.35">
      <c r="A378" s="5" t="s">
        <v>22</v>
      </c>
      <c r="B378" s="1" t="s">
        <v>44</v>
      </c>
      <c r="C378" s="1">
        <v>13</v>
      </c>
      <c r="D378" s="1">
        <v>175</v>
      </c>
      <c r="E378" s="1" t="s">
        <v>11</v>
      </c>
      <c r="F378" s="6" t="s">
        <v>12</v>
      </c>
    </row>
    <row r="379" spans="1:6" x14ac:dyDescent="0.35">
      <c r="A379" s="5" t="s">
        <v>22</v>
      </c>
      <c r="B379" s="1" t="s">
        <v>44</v>
      </c>
      <c r="C379" s="1">
        <v>14</v>
      </c>
      <c r="D379" s="1">
        <v>48</v>
      </c>
      <c r="E379" s="1" t="s">
        <v>11</v>
      </c>
      <c r="F379" s="6" t="s">
        <v>12</v>
      </c>
    </row>
    <row r="380" spans="1:6" x14ac:dyDescent="0.35">
      <c r="A380" s="5" t="s">
        <v>22</v>
      </c>
      <c r="B380" s="1" t="s">
        <v>44</v>
      </c>
      <c r="C380" s="1">
        <v>15</v>
      </c>
      <c r="D380" s="1">
        <v>123</v>
      </c>
      <c r="E380" s="1" t="s">
        <v>11</v>
      </c>
      <c r="F380" s="6" t="s">
        <v>12</v>
      </c>
    </row>
    <row r="381" spans="1:6" x14ac:dyDescent="0.35">
      <c r="A381" s="5" t="s">
        <v>22</v>
      </c>
      <c r="B381" s="1" t="s">
        <v>44</v>
      </c>
      <c r="C381" s="1">
        <v>16</v>
      </c>
      <c r="D381" s="1">
        <v>85</v>
      </c>
      <c r="E381" s="1" t="s">
        <v>11</v>
      </c>
      <c r="F381" s="6" t="s">
        <v>12</v>
      </c>
    </row>
    <row r="382" spans="1:6" x14ac:dyDescent="0.35">
      <c r="A382" s="5" t="s">
        <v>22</v>
      </c>
      <c r="B382" s="1" t="s">
        <v>44</v>
      </c>
      <c r="C382" s="1">
        <v>17</v>
      </c>
      <c r="D382" s="1">
        <v>214</v>
      </c>
      <c r="E382" s="1" t="s">
        <v>11</v>
      </c>
      <c r="F382" s="6" t="s">
        <v>12</v>
      </c>
    </row>
    <row r="383" spans="1:6" x14ac:dyDescent="0.35">
      <c r="A383" s="5" t="s">
        <v>22</v>
      </c>
      <c r="B383" s="1" t="s">
        <v>44</v>
      </c>
      <c r="C383" s="1">
        <v>18</v>
      </c>
      <c r="D383" s="1">
        <v>387</v>
      </c>
      <c r="E383" s="1" t="s">
        <v>11</v>
      </c>
      <c r="F383" s="6" t="s">
        <v>12</v>
      </c>
    </row>
    <row r="384" spans="1:6" x14ac:dyDescent="0.35">
      <c r="A384" s="5" t="s">
        <v>22</v>
      </c>
      <c r="B384" s="1" t="s">
        <v>44</v>
      </c>
      <c r="C384" s="1">
        <v>19</v>
      </c>
      <c r="D384" s="1">
        <v>85</v>
      </c>
      <c r="E384" s="1" t="s">
        <v>11</v>
      </c>
      <c r="F384" s="6" t="s">
        <v>12</v>
      </c>
    </row>
    <row r="385" spans="1:6" x14ac:dyDescent="0.35">
      <c r="A385" s="5" t="s">
        <v>22</v>
      </c>
      <c r="B385" s="1" t="s">
        <v>44</v>
      </c>
      <c r="C385" s="1">
        <v>20</v>
      </c>
      <c r="D385" s="1">
        <v>158</v>
      </c>
      <c r="E385" s="1" t="s">
        <v>11</v>
      </c>
      <c r="F385" s="6" t="s">
        <v>12</v>
      </c>
    </row>
    <row r="386" spans="1:6" x14ac:dyDescent="0.35">
      <c r="A386" s="5" t="s">
        <v>22</v>
      </c>
      <c r="B386" s="1" t="s">
        <v>44</v>
      </c>
      <c r="C386" s="1">
        <v>21</v>
      </c>
      <c r="D386" s="1">
        <v>333</v>
      </c>
      <c r="E386" s="1" t="s">
        <v>11</v>
      </c>
      <c r="F386" s="6" t="s">
        <v>12</v>
      </c>
    </row>
    <row r="387" spans="1:6" x14ac:dyDescent="0.35">
      <c r="A387" s="5" t="s">
        <v>22</v>
      </c>
      <c r="B387" s="1" t="s">
        <v>44</v>
      </c>
      <c r="C387" s="1">
        <v>22</v>
      </c>
      <c r="D387" s="1">
        <v>174</v>
      </c>
      <c r="E387" s="1" t="s">
        <v>11</v>
      </c>
      <c r="F387" s="6" t="s">
        <v>12</v>
      </c>
    </row>
    <row r="388" spans="1:6" x14ac:dyDescent="0.35">
      <c r="A388" s="5" t="s">
        <v>22</v>
      </c>
      <c r="B388" s="1" t="s">
        <v>44</v>
      </c>
      <c r="C388" s="1">
        <v>23</v>
      </c>
      <c r="D388" s="1">
        <v>71</v>
      </c>
      <c r="E388" s="1" t="s">
        <v>11</v>
      </c>
      <c r="F388" s="6" t="s">
        <v>12</v>
      </c>
    </row>
    <row r="389" spans="1:6" x14ac:dyDescent="0.35">
      <c r="A389" s="5" t="s">
        <v>22</v>
      </c>
      <c r="B389" s="1" t="s">
        <v>44</v>
      </c>
      <c r="C389" s="1">
        <v>24</v>
      </c>
      <c r="D389" s="1">
        <v>55</v>
      </c>
      <c r="E389" s="1" t="s">
        <v>11</v>
      </c>
      <c r="F389" s="6" t="s">
        <v>12</v>
      </c>
    </row>
    <row r="390" spans="1:6" x14ac:dyDescent="0.35">
      <c r="A390" s="5" t="s">
        <v>22</v>
      </c>
      <c r="B390" s="1" t="s">
        <v>44</v>
      </c>
      <c r="C390" s="1">
        <v>25</v>
      </c>
      <c r="D390" s="1">
        <v>261</v>
      </c>
      <c r="E390" s="1" t="s">
        <v>11</v>
      </c>
      <c r="F390" s="6" t="s">
        <v>12</v>
      </c>
    </row>
    <row r="391" spans="1:6" x14ac:dyDescent="0.35">
      <c r="A391" s="5" t="s">
        <v>22</v>
      </c>
      <c r="B391" s="1" t="s">
        <v>44</v>
      </c>
      <c r="C391" s="1">
        <v>26</v>
      </c>
      <c r="D391" s="1">
        <v>84</v>
      </c>
      <c r="E391" s="1" t="s">
        <v>11</v>
      </c>
      <c r="F391" s="6" t="s">
        <v>12</v>
      </c>
    </row>
    <row r="392" spans="1:6" x14ac:dyDescent="0.35">
      <c r="A392" s="5" t="s">
        <v>22</v>
      </c>
      <c r="B392" s="1" t="s">
        <v>44</v>
      </c>
      <c r="C392" s="1">
        <v>27</v>
      </c>
      <c r="D392" s="1">
        <v>320</v>
      </c>
      <c r="E392" s="1" t="s">
        <v>11</v>
      </c>
      <c r="F392" s="6" t="s">
        <v>12</v>
      </c>
    </row>
    <row r="393" spans="1:6" x14ac:dyDescent="0.35">
      <c r="A393" s="5" t="s">
        <v>22</v>
      </c>
      <c r="B393" s="1" t="s">
        <v>44</v>
      </c>
      <c r="C393" s="1">
        <v>28</v>
      </c>
      <c r="D393" s="1">
        <v>365</v>
      </c>
      <c r="E393" s="1" t="s">
        <v>11</v>
      </c>
      <c r="F393" s="6" t="s">
        <v>12</v>
      </c>
    </row>
    <row r="394" spans="1:6" x14ac:dyDescent="0.35">
      <c r="A394" s="5" t="s">
        <v>22</v>
      </c>
      <c r="B394" s="1" t="s">
        <v>44</v>
      </c>
      <c r="C394" s="1">
        <v>29</v>
      </c>
      <c r="D394" s="1">
        <v>51</v>
      </c>
      <c r="E394" s="1" t="s">
        <v>11</v>
      </c>
      <c r="F394" s="6" t="s">
        <v>12</v>
      </c>
    </row>
    <row r="395" spans="1:6" x14ac:dyDescent="0.35">
      <c r="A395" s="5" t="s">
        <v>22</v>
      </c>
      <c r="B395" s="1" t="s">
        <v>44</v>
      </c>
      <c r="C395" s="1">
        <v>30</v>
      </c>
      <c r="D395" s="1">
        <v>237</v>
      </c>
      <c r="E395" s="1" t="s">
        <v>11</v>
      </c>
      <c r="F395" s="6" t="s">
        <v>12</v>
      </c>
    </row>
    <row r="396" spans="1:6" x14ac:dyDescent="0.35">
      <c r="A396" s="5" t="s">
        <v>22</v>
      </c>
      <c r="B396" s="1" t="s">
        <v>44</v>
      </c>
      <c r="C396" s="1">
        <v>31</v>
      </c>
      <c r="D396" s="1">
        <v>86</v>
      </c>
      <c r="E396" s="1" t="s">
        <v>11</v>
      </c>
      <c r="F396" s="6" t="s">
        <v>12</v>
      </c>
    </row>
    <row r="397" spans="1:6" x14ac:dyDescent="0.35">
      <c r="A397" s="5" t="s">
        <v>22</v>
      </c>
      <c r="B397" s="1" t="s">
        <v>44</v>
      </c>
      <c r="C397" s="1">
        <v>32</v>
      </c>
      <c r="D397" s="1">
        <v>132</v>
      </c>
      <c r="E397" s="1" t="s">
        <v>11</v>
      </c>
      <c r="F397" s="6" t="s">
        <v>12</v>
      </c>
    </row>
    <row r="398" spans="1:6" x14ac:dyDescent="0.35">
      <c r="A398" s="5" t="s">
        <v>22</v>
      </c>
      <c r="B398" s="1" t="s">
        <v>44</v>
      </c>
      <c r="C398" s="1">
        <v>33</v>
      </c>
      <c r="D398" s="1">
        <v>144</v>
      </c>
      <c r="E398" s="1" t="s">
        <v>11</v>
      </c>
      <c r="F398" s="6" t="s">
        <v>12</v>
      </c>
    </row>
    <row r="399" spans="1:6" x14ac:dyDescent="0.35">
      <c r="A399" s="5" t="s">
        <v>22</v>
      </c>
      <c r="B399" s="1" t="s">
        <v>44</v>
      </c>
      <c r="C399" s="1">
        <v>34</v>
      </c>
      <c r="D399" s="1">
        <v>373</v>
      </c>
      <c r="E399" s="1" t="s">
        <v>11</v>
      </c>
      <c r="F399" s="6" t="s">
        <v>12</v>
      </c>
    </row>
    <row r="400" spans="1:6" x14ac:dyDescent="0.35">
      <c r="A400" s="5" t="s">
        <v>22</v>
      </c>
      <c r="B400" s="1" t="s">
        <v>44</v>
      </c>
      <c r="C400" s="1">
        <v>35</v>
      </c>
      <c r="D400" s="1">
        <v>308</v>
      </c>
      <c r="E400" s="1" t="s">
        <v>11</v>
      </c>
      <c r="F400" s="6" t="s">
        <v>12</v>
      </c>
    </row>
    <row r="401" spans="1:6" x14ac:dyDescent="0.35">
      <c r="A401" s="5" t="s">
        <v>22</v>
      </c>
      <c r="B401" s="1" t="s">
        <v>44</v>
      </c>
      <c r="C401" s="1">
        <v>36</v>
      </c>
      <c r="D401" s="1">
        <v>130</v>
      </c>
      <c r="E401" s="1" t="s">
        <v>11</v>
      </c>
      <c r="F401" s="6" t="s">
        <v>12</v>
      </c>
    </row>
    <row r="402" spans="1:6" x14ac:dyDescent="0.35">
      <c r="A402" s="5" t="s">
        <v>22</v>
      </c>
      <c r="B402" s="1" t="s">
        <v>44</v>
      </c>
      <c r="C402" s="1">
        <v>37</v>
      </c>
      <c r="D402" s="1">
        <v>200</v>
      </c>
      <c r="E402" s="1" t="s">
        <v>11</v>
      </c>
      <c r="F402" s="6" t="s">
        <v>12</v>
      </c>
    </row>
    <row r="403" spans="1:6" x14ac:dyDescent="0.35">
      <c r="A403" s="5" t="s">
        <v>22</v>
      </c>
      <c r="B403" s="1" t="s">
        <v>44</v>
      </c>
      <c r="C403" s="1">
        <v>38</v>
      </c>
      <c r="D403" s="1">
        <v>128</v>
      </c>
      <c r="E403" s="1" t="s">
        <v>11</v>
      </c>
      <c r="F403" s="6" t="s">
        <v>12</v>
      </c>
    </row>
    <row r="404" spans="1:6" x14ac:dyDescent="0.35">
      <c r="A404" s="5" t="s">
        <v>22</v>
      </c>
      <c r="B404" s="1" t="s">
        <v>44</v>
      </c>
      <c r="C404" s="1">
        <v>39</v>
      </c>
      <c r="D404" s="1">
        <v>258</v>
      </c>
      <c r="E404" s="1" t="s">
        <v>11</v>
      </c>
      <c r="F404" s="6" t="s">
        <v>12</v>
      </c>
    </row>
    <row r="405" spans="1:6" x14ac:dyDescent="0.35">
      <c r="A405" s="5" t="s">
        <v>22</v>
      </c>
      <c r="B405" s="1" t="s">
        <v>44</v>
      </c>
      <c r="C405" s="1">
        <v>40</v>
      </c>
      <c r="D405" s="1">
        <v>273</v>
      </c>
      <c r="E405" s="1" t="s">
        <v>11</v>
      </c>
      <c r="F405" s="6" t="s">
        <v>12</v>
      </c>
    </row>
    <row r="406" spans="1:6" x14ac:dyDescent="0.35">
      <c r="A406" s="5" t="s">
        <v>22</v>
      </c>
      <c r="B406" s="1" t="s">
        <v>44</v>
      </c>
      <c r="C406" s="1">
        <v>41</v>
      </c>
      <c r="D406" s="1">
        <v>432</v>
      </c>
      <c r="E406" s="1" t="s">
        <v>11</v>
      </c>
      <c r="F406" s="6" t="s">
        <v>12</v>
      </c>
    </row>
    <row r="407" spans="1:6" x14ac:dyDescent="0.35">
      <c r="A407" s="5" t="s">
        <v>22</v>
      </c>
      <c r="B407" s="1" t="s">
        <v>44</v>
      </c>
      <c r="C407" s="1">
        <v>42</v>
      </c>
      <c r="D407" s="1">
        <v>231</v>
      </c>
      <c r="E407" s="1" t="s">
        <v>11</v>
      </c>
      <c r="F407" s="6" t="s">
        <v>12</v>
      </c>
    </row>
    <row r="408" spans="1:6" x14ac:dyDescent="0.35">
      <c r="A408" s="5" t="s">
        <v>22</v>
      </c>
      <c r="B408" s="1" t="s">
        <v>44</v>
      </c>
      <c r="C408" s="1">
        <v>43</v>
      </c>
      <c r="D408" s="1">
        <v>162</v>
      </c>
      <c r="E408" s="1" t="s">
        <v>11</v>
      </c>
      <c r="F408" s="6" t="s">
        <v>12</v>
      </c>
    </row>
    <row r="409" spans="1:6" x14ac:dyDescent="0.35">
      <c r="A409" s="5" t="s">
        <v>22</v>
      </c>
      <c r="B409" s="1" t="s">
        <v>44</v>
      </c>
      <c r="C409" s="1">
        <v>44</v>
      </c>
      <c r="D409" s="1">
        <v>176</v>
      </c>
      <c r="E409" s="1" t="s">
        <v>11</v>
      </c>
      <c r="F409" s="6" t="s">
        <v>12</v>
      </c>
    </row>
    <row r="410" spans="1:6" x14ac:dyDescent="0.35">
      <c r="A410" s="5" t="s">
        <v>22</v>
      </c>
      <c r="B410" s="1" t="s">
        <v>44</v>
      </c>
      <c r="C410" s="1">
        <v>45</v>
      </c>
      <c r="D410" s="1">
        <v>290</v>
      </c>
      <c r="E410" s="1" t="s">
        <v>11</v>
      </c>
      <c r="F410" s="6" t="s">
        <v>12</v>
      </c>
    </row>
    <row r="411" spans="1:6" x14ac:dyDescent="0.35">
      <c r="A411" s="5" t="s">
        <v>22</v>
      </c>
      <c r="B411" s="1" t="s">
        <v>44</v>
      </c>
      <c r="C411" s="1">
        <v>46</v>
      </c>
      <c r="D411" s="1">
        <v>316</v>
      </c>
      <c r="E411" s="1" t="s">
        <v>11</v>
      </c>
      <c r="F411" s="6" t="s">
        <v>12</v>
      </c>
    </row>
    <row r="412" spans="1:6" x14ac:dyDescent="0.35">
      <c r="A412" s="5" t="s">
        <v>22</v>
      </c>
      <c r="B412" s="1" t="s">
        <v>44</v>
      </c>
      <c r="C412" s="1">
        <v>47</v>
      </c>
      <c r="D412" s="1">
        <v>169</v>
      </c>
      <c r="E412" s="1" t="s">
        <v>11</v>
      </c>
      <c r="F412" s="6" t="s">
        <v>12</v>
      </c>
    </row>
    <row r="413" spans="1:6" x14ac:dyDescent="0.35">
      <c r="A413" s="5" t="s">
        <v>22</v>
      </c>
      <c r="B413" s="1" t="s">
        <v>44</v>
      </c>
      <c r="C413" s="1">
        <v>48</v>
      </c>
      <c r="D413" s="1">
        <v>85</v>
      </c>
      <c r="E413" s="1" t="s">
        <v>11</v>
      </c>
      <c r="F413" s="6" t="s">
        <v>12</v>
      </c>
    </row>
    <row r="414" spans="1:6" x14ac:dyDescent="0.35">
      <c r="A414" s="5" t="s">
        <v>22</v>
      </c>
      <c r="B414" s="1" t="s">
        <v>44</v>
      </c>
      <c r="C414" s="1">
        <v>49</v>
      </c>
      <c r="D414" s="1">
        <v>241</v>
      </c>
      <c r="E414" s="1" t="s">
        <v>11</v>
      </c>
      <c r="F414" s="6" t="s">
        <v>12</v>
      </c>
    </row>
    <row r="415" spans="1:6" x14ac:dyDescent="0.35">
      <c r="A415" s="5" t="s">
        <v>22</v>
      </c>
      <c r="B415" s="1" t="s">
        <v>44</v>
      </c>
      <c r="C415" s="1">
        <v>50</v>
      </c>
      <c r="D415" s="1">
        <v>349</v>
      </c>
      <c r="E415" s="1" t="s">
        <v>11</v>
      </c>
      <c r="F415" s="6" t="s">
        <v>12</v>
      </c>
    </row>
    <row r="416" spans="1:6" x14ac:dyDescent="0.35">
      <c r="A416" s="5" t="s">
        <v>22</v>
      </c>
      <c r="B416" s="1" t="s">
        <v>44</v>
      </c>
      <c r="C416" s="1">
        <v>51</v>
      </c>
      <c r="D416" s="1">
        <v>403</v>
      </c>
      <c r="E416" s="1" t="s">
        <v>11</v>
      </c>
      <c r="F416" s="6" t="s">
        <v>12</v>
      </c>
    </row>
    <row r="417" spans="1:6" x14ac:dyDescent="0.35">
      <c r="A417" s="5" t="s">
        <v>22</v>
      </c>
      <c r="B417" s="1" t="s">
        <v>44</v>
      </c>
      <c r="C417" s="1">
        <v>52</v>
      </c>
      <c r="D417" s="1">
        <v>177</v>
      </c>
      <c r="E417" s="1" t="s">
        <v>11</v>
      </c>
      <c r="F417" s="6" t="s">
        <v>12</v>
      </c>
    </row>
    <row r="418" spans="1:6" x14ac:dyDescent="0.35">
      <c r="A418" s="5" t="s">
        <v>16</v>
      </c>
      <c r="B418" s="1" t="s">
        <v>38</v>
      </c>
      <c r="C418" s="1">
        <v>1</v>
      </c>
      <c r="D418" s="1">
        <v>269</v>
      </c>
      <c r="E418" s="1" t="s">
        <v>11</v>
      </c>
      <c r="F418" s="6" t="s">
        <v>12</v>
      </c>
    </row>
    <row r="419" spans="1:6" x14ac:dyDescent="0.35">
      <c r="A419" s="5" t="s">
        <v>16</v>
      </c>
      <c r="B419" s="1" t="s">
        <v>38</v>
      </c>
      <c r="C419" s="1">
        <v>2</v>
      </c>
      <c r="D419" s="1">
        <v>229</v>
      </c>
      <c r="E419" s="1" t="s">
        <v>11</v>
      </c>
      <c r="F419" s="6" t="s">
        <v>12</v>
      </c>
    </row>
    <row r="420" spans="1:6" x14ac:dyDescent="0.35">
      <c r="A420" s="5" t="s">
        <v>16</v>
      </c>
      <c r="B420" s="1" t="s">
        <v>38</v>
      </c>
      <c r="C420" s="1">
        <v>3</v>
      </c>
      <c r="D420" s="1">
        <v>539</v>
      </c>
      <c r="E420" s="1" t="s">
        <v>11</v>
      </c>
      <c r="F420" s="6" t="s">
        <v>12</v>
      </c>
    </row>
    <row r="421" spans="1:6" x14ac:dyDescent="0.35">
      <c r="A421" s="5" t="s">
        <v>16</v>
      </c>
      <c r="B421" s="1" t="s">
        <v>38</v>
      </c>
      <c r="C421" s="1">
        <v>4</v>
      </c>
      <c r="D421" s="1">
        <v>460</v>
      </c>
      <c r="E421" s="1" t="s">
        <v>11</v>
      </c>
      <c r="F421" s="6" t="s">
        <v>12</v>
      </c>
    </row>
    <row r="422" spans="1:6" x14ac:dyDescent="0.35">
      <c r="A422" s="5" t="s">
        <v>16</v>
      </c>
      <c r="B422" s="1" t="s">
        <v>38</v>
      </c>
      <c r="C422" s="1">
        <v>5</v>
      </c>
      <c r="D422" s="1">
        <v>127</v>
      </c>
      <c r="E422" s="1" t="s">
        <v>11</v>
      </c>
      <c r="F422" s="6" t="s">
        <v>12</v>
      </c>
    </row>
    <row r="423" spans="1:6" x14ac:dyDescent="0.35">
      <c r="A423" s="5" t="s">
        <v>16</v>
      </c>
      <c r="B423" s="1" t="s">
        <v>38</v>
      </c>
      <c r="C423" s="1">
        <v>6</v>
      </c>
      <c r="D423" s="1">
        <v>296</v>
      </c>
      <c r="E423" s="1" t="s">
        <v>11</v>
      </c>
      <c r="F423" s="6" t="s">
        <v>12</v>
      </c>
    </row>
    <row r="424" spans="1:6" x14ac:dyDescent="0.35">
      <c r="A424" s="5" t="s">
        <v>16</v>
      </c>
      <c r="B424" s="1" t="s">
        <v>38</v>
      </c>
      <c r="C424" s="1">
        <v>7</v>
      </c>
      <c r="D424" s="1">
        <v>586</v>
      </c>
      <c r="E424" s="1" t="s">
        <v>11</v>
      </c>
      <c r="F424" s="6" t="s">
        <v>12</v>
      </c>
    </row>
    <row r="425" spans="1:6" x14ac:dyDescent="0.35">
      <c r="A425" s="5" t="s">
        <v>16</v>
      </c>
      <c r="B425" s="1" t="s">
        <v>38</v>
      </c>
      <c r="C425" s="1">
        <v>8</v>
      </c>
      <c r="D425" s="1">
        <v>381</v>
      </c>
      <c r="E425" s="1" t="s">
        <v>11</v>
      </c>
      <c r="F425" s="6" t="s">
        <v>12</v>
      </c>
    </row>
    <row r="426" spans="1:6" x14ac:dyDescent="0.35">
      <c r="A426" s="5" t="s">
        <v>16</v>
      </c>
      <c r="B426" s="1" t="s">
        <v>38</v>
      </c>
      <c r="C426" s="1">
        <v>9</v>
      </c>
      <c r="D426" s="1">
        <v>229</v>
      </c>
      <c r="E426" s="1" t="s">
        <v>11</v>
      </c>
      <c r="F426" s="6" t="s">
        <v>12</v>
      </c>
    </row>
    <row r="427" spans="1:6" x14ac:dyDescent="0.35">
      <c r="A427" s="5" t="s">
        <v>16</v>
      </c>
      <c r="B427" s="1" t="s">
        <v>38</v>
      </c>
      <c r="C427" s="1">
        <v>10</v>
      </c>
      <c r="D427" s="1">
        <v>477</v>
      </c>
      <c r="E427" s="1" t="s">
        <v>11</v>
      </c>
      <c r="F427" s="6" t="s">
        <v>12</v>
      </c>
    </row>
    <row r="428" spans="1:6" x14ac:dyDescent="0.35">
      <c r="A428" s="5" t="s">
        <v>16</v>
      </c>
      <c r="B428" s="1" t="s">
        <v>38</v>
      </c>
      <c r="C428" s="1">
        <v>11</v>
      </c>
      <c r="D428" s="1">
        <v>406</v>
      </c>
      <c r="E428" s="1" t="s">
        <v>11</v>
      </c>
      <c r="F428" s="6" t="s">
        <v>12</v>
      </c>
    </row>
    <row r="429" spans="1:6" x14ac:dyDescent="0.35">
      <c r="A429" s="5" t="s">
        <v>16</v>
      </c>
      <c r="B429" s="1" t="s">
        <v>38</v>
      </c>
      <c r="C429" s="1">
        <v>12</v>
      </c>
      <c r="D429" s="1">
        <v>209</v>
      </c>
      <c r="E429" s="1" t="s">
        <v>11</v>
      </c>
      <c r="F429" s="6" t="s">
        <v>12</v>
      </c>
    </row>
    <row r="430" spans="1:6" x14ac:dyDescent="0.35">
      <c r="A430" s="5" t="s">
        <v>16</v>
      </c>
      <c r="B430" s="1" t="s">
        <v>38</v>
      </c>
      <c r="C430" s="1">
        <v>13</v>
      </c>
      <c r="D430" s="1">
        <v>528</v>
      </c>
      <c r="E430" s="1" t="s">
        <v>11</v>
      </c>
      <c r="F430" s="6" t="s">
        <v>12</v>
      </c>
    </row>
    <row r="431" spans="1:6" x14ac:dyDescent="0.35">
      <c r="A431" s="5" t="s">
        <v>16</v>
      </c>
      <c r="B431" s="1" t="s">
        <v>38</v>
      </c>
      <c r="C431" s="1">
        <v>14</v>
      </c>
      <c r="D431" s="1">
        <v>362</v>
      </c>
      <c r="E431" s="1" t="s">
        <v>11</v>
      </c>
      <c r="F431" s="6" t="s">
        <v>12</v>
      </c>
    </row>
    <row r="432" spans="1:6" x14ac:dyDescent="0.35">
      <c r="A432" s="5" t="s">
        <v>16</v>
      </c>
      <c r="B432" s="1" t="s">
        <v>38</v>
      </c>
      <c r="C432" s="1">
        <v>15</v>
      </c>
      <c r="D432" s="1">
        <v>509</v>
      </c>
      <c r="E432" s="1" t="s">
        <v>11</v>
      </c>
      <c r="F432" s="6" t="s">
        <v>12</v>
      </c>
    </row>
    <row r="433" spans="1:6" x14ac:dyDescent="0.35">
      <c r="A433" s="5" t="s">
        <v>16</v>
      </c>
      <c r="B433" s="1" t="s">
        <v>38</v>
      </c>
      <c r="C433" s="1">
        <v>16</v>
      </c>
      <c r="D433" s="1">
        <v>178</v>
      </c>
      <c r="E433" s="1" t="s">
        <v>11</v>
      </c>
      <c r="F433" s="6" t="s">
        <v>12</v>
      </c>
    </row>
    <row r="434" spans="1:6" x14ac:dyDescent="0.35">
      <c r="A434" s="5" t="s">
        <v>16</v>
      </c>
      <c r="B434" s="1" t="s">
        <v>38</v>
      </c>
      <c r="C434" s="1">
        <v>17</v>
      </c>
      <c r="D434" s="1">
        <v>566</v>
      </c>
      <c r="E434" s="1" t="s">
        <v>11</v>
      </c>
      <c r="F434" s="6" t="s">
        <v>12</v>
      </c>
    </row>
    <row r="435" spans="1:6" x14ac:dyDescent="0.35">
      <c r="A435" s="5" t="s">
        <v>16</v>
      </c>
      <c r="B435" s="1" t="s">
        <v>38</v>
      </c>
      <c r="C435" s="1">
        <v>18</v>
      </c>
      <c r="D435" s="1">
        <v>686</v>
      </c>
      <c r="E435" s="1" t="s">
        <v>11</v>
      </c>
      <c r="F435" s="6" t="s">
        <v>12</v>
      </c>
    </row>
    <row r="436" spans="1:6" x14ac:dyDescent="0.35">
      <c r="A436" s="5" t="s">
        <v>16</v>
      </c>
      <c r="B436" s="1" t="s">
        <v>38</v>
      </c>
      <c r="C436" s="1">
        <v>19</v>
      </c>
      <c r="D436" s="1">
        <v>191</v>
      </c>
      <c r="E436" s="1" t="s">
        <v>11</v>
      </c>
      <c r="F436" s="6" t="s">
        <v>12</v>
      </c>
    </row>
    <row r="437" spans="1:6" x14ac:dyDescent="0.35">
      <c r="A437" s="5" t="s">
        <v>16</v>
      </c>
      <c r="B437" s="1" t="s">
        <v>38</v>
      </c>
      <c r="C437" s="1">
        <v>20</v>
      </c>
      <c r="D437" s="1">
        <v>298</v>
      </c>
      <c r="E437" s="1" t="s">
        <v>11</v>
      </c>
      <c r="F437" s="6" t="s">
        <v>12</v>
      </c>
    </row>
    <row r="438" spans="1:6" x14ac:dyDescent="0.35">
      <c r="A438" s="5" t="s">
        <v>16</v>
      </c>
      <c r="B438" s="1" t="s">
        <v>38</v>
      </c>
      <c r="C438" s="1">
        <v>21</v>
      </c>
      <c r="D438" s="1">
        <v>243</v>
      </c>
      <c r="E438" s="1" t="s">
        <v>11</v>
      </c>
      <c r="F438" s="6" t="s">
        <v>12</v>
      </c>
    </row>
    <row r="439" spans="1:6" x14ac:dyDescent="0.35">
      <c r="A439" s="5" t="s">
        <v>16</v>
      </c>
      <c r="B439" s="1" t="s">
        <v>38</v>
      </c>
      <c r="C439" s="1">
        <v>22</v>
      </c>
      <c r="D439" s="1">
        <v>360</v>
      </c>
      <c r="E439" s="1" t="s">
        <v>11</v>
      </c>
      <c r="F439" s="6" t="s">
        <v>12</v>
      </c>
    </row>
    <row r="440" spans="1:6" x14ac:dyDescent="0.35">
      <c r="A440" s="5" t="s">
        <v>16</v>
      </c>
      <c r="B440" s="1" t="s">
        <v>38</v>
      </c>
      <c r="C440" s="1">
        <v>23</v>
      </c>
      <c r="D440" s="1">
        <v>271</v>
      </c>
      <c r="E440" s="1" t="s">
        <v>11</v>
      </c>
      <c r="F440" s="6" t="s">
        <v>12</v>
      </c>
    </row>
    <row r="441" spans="1:6" x14ac:dyDescent="0.35">
      <c r="A441" s="5" t="s">
        <v>16</v>
      </c>
      <c r="B441" s="1" t="s">
        <v>38</v>
      </c>
      <c r="C441" s="1">
        <v>24</v>
      </c>
      <c r="D441" s="1">
        <v>561</v>
      </c>
      <c r="E441" s="1" t="s">
        <v>11</v>
      </c>
      <c r="F441" s="6" t="s">
        <v>12</v>
      </c>
    </row>
    <row r="442" spans="1:6" x14ac:dyDescent="0.35">
      <c r="A442" s="5" t="s">
        <v>16</v>
      </c>
      <c r="B442" s="1" t="s">
        <v>38</v>
      </c>
      <c r="C442" s="1">
        <v>25</v>
      </c>
      <c r="D442" s="1">
        <v>347</v>
      </c>
      <c r="E442" s="1" t="s">
        <v>11</v>
      </c>
      <c r="F442" s="6" t="s">
        <v>12</v>
      </c>
    </row>
    <row r="443" spans="1:6" x14ac:dyDescent="0.35">
      <c r="A443" s="5" t="s">
        <v>16</v>
      </c>
      <c r="B443" s="1" t="s">
        <v>38</v>
      </c>
      <c r="C443" s="1">
        <v>26</v>
      </c>
      <c r="D443" s="1">
        <v>191</v>
      </c>
      <c r="E443" s="1" t="s">
        <v>11</v>
      </c>
      <c r="F443" s="6" t="s">
        <v>12</v>
      </c>
    </row>
    <row r="444" spans="1:6" x14ac:dyDescent="0.35">
      <c r="A444" s="5" t="s">
        <v>16</v>
      </c>
      <c r="B444" s="1" t="s">
        <v>38</v>
      </c>
      <c r="C444" s="1">
        <v>27</v>
      </c>
      <c r="D444" s="1">
        <v>275</v>
      </c>
      <c r="E444" s="1" t="s">
        <v>11</v>
      </c>
      <c r="F444" s="6" t="s">
        <v>12</v>
      </c>
    </row>
    <row r="445" spans="1:6" x14ac:dyDescent="0.35">
      <c r="A445" s="5" t="s">
        <v>16</v>
      </c>
      <c r="B445" s="1" t="s">
        <v>38</v>
      </c>
      <c r="C445" s="1">
        <v>28</v>
      </c>
      <c r="D445" s="1">
        <v>815</v>
      </c>
      <c r="E445" s="1" t="s">
        <v>11</v>
      </c>
      <c r="F445" s="6" t="s">
        <v>12</v>
      </c>
    </row>
    <row r="446" spans="1:6" x14ac:dyDescent="0.35">
      <c r="A446" s="5" t="s">
        <v>16</v>
      </c>
      <c r="B446" s="1" t="s">
        <v>38</v>
      </c>
      <c r="C446" s="1">
        <v>29</v>
      </c>
      <c r="D446" s="1">
        <v>978</v>
      </c>
      <c r="E446" s="1" t="s">
        <v>11</v>
      </c>
      <c r="F446" s="6" t="s">
        <v>12</v>
      </c>
    </row>
    <row r="447" spans="1:6" x14ac:dyDescent="0.35">
      <c r="A447" s="5" t="s">
        <v>16</v>
      </c>
      <c r="B447" s="1" t="s">
        <v>38</v>
      </c>
      <c r="C447" s="1">
        <v>30</v>
      </c>
      <c r="D447" s="1">
        <v>832</v>
      </c>
      <c r="E447" s="1" t="s">
        <v>11</v>
      </c>
      <c r="F447" s="6" t="s">
        <v>12</v>
      </c>
    </row>
    <row r="448" spans="1:6" x14ac:dyDescent="0.35">
      <c r="A448" s="5" t="s">
        <v>16</v>
      </c>
      <c r="B448" s="1" t="s">
        <v>38</v>
      </c>
      <c r="C448" s="1">
        <v>31</v>
      </c>
      <c r="D448" s="1">
        <v>757</v>
      </c>
      <c r="E448" s="1" t="s">
        <v>11</v>
      </c>
      <c r="F448" s="6" t="s">
        <v>12</v>
      </c>
    </row>
    <row r="449" spans="1:6" x14ac:dyDescent="0.35">
      <c r="A449" s="5" t="s">
        <v>16</v>
      </c>
      <c r="B449" s="1" t="s">
        <v>38</v>
      </c>
      <c r="C449" s="1">
        <v>32</v>
      </c>
      <c r="D449" s="1">
        <v>489</v>
      </c>
      <c r="E449" s="1" t="s">
        <v>11</v>
      </c>
      <c r="F449" s="6" t="s">
        <v>12</v>
      </c>
    </row>
    <row r="450" spans="1:6" x14ac:dyDescent="0.35">
      <c r="A450" s="5" t="s">
        <v>16</v>
      </c>
      <c r="B450" s="1" t="s">
        <v>38</v>
      </c>
      <c r="C450" s="1">
        <v>33</v>
      </c>
      <c r="D450" s="1">
        <v>461</v>
      </c>
      <c r="E450" s="1" t="s">
        <v>11</v>
      </c>
      <c r="F450" s="6" t="s">
        <v>12</v>
      </c>
    </row>
    <row r="451" spans="1:6" x14ac:dyDescent="0.35">
      <c r="A451" s="5" t="s">
        <v>16</v>
      </c>
      <c r="B451" s="1" t="s">
        <v>38</v>
      </c>
      <c r="C451" s="1">
        <v>34</v>
      </c>
      <c r="D451" s="1">
        <v>462</v>
      </c>
      <c r="E451" s="1" t="s">
        <v>11</v>
      </c>
      <c r="F451" s="6" t="s">
        <v>12</v>
      </c>
    </row>
    <row r="452" spans="1:6" x14ac:dyDescent="0.35">
      <c r="A452" s="5" t="s">
        <v>16</v>
      </c>
      <c r="B452" s="1" t="s">
        <v>38</v>
      </c>
      <c r="C452" s="1">
        <v>35</v>
      </c>
      <c r="D452" s="1">
        <v>196</v>
      </c>
      <c r="E452" s="1" t="s">
        <v>11</v>
      </c>
      <c r="F452" s="6" t="s">
        <v>12</v>
      </c>
    </row>
    <row r="453" spans="1:6" x14ac:dyDescent="0.35">
      <c r="A453" s="5" t="s">
        <v>16</v>
      </c>
      <c r="B453" s="1" t="s">
        <v>38</v>
      </c>
      <c r="C453" s="1">
        <v>36</v>
      </c>
      <c r="D453" s="1">
        <v>688</v>
      </c>
      <c r="E453" s="1" t="s">
        <v>11</v>
      </c>
      <c r="F453" s="6" t="s">
        <v>12</v>
      </c>
    </row>
    <row r="454" spans="1:6" x14ac:dyDescent="0.35">
      <c r="A454" s="5" t="s">
        <v>16</v>
      </c>
      <c r="B454" s="1" t="s">
        <v>38</v>
      </c>
      <c r="C454" s="1">
        <v>37</v>
      </c>
      <c r="D454" s="1">
        <v>338</v>
      </c>
      <c r="E454" s="1" t="s">
        <v>11</v>
      </c>
      <c r="F454" s="6" t="s">
        <v>12</v>
      </c>
    </row>
    <row r="455" spans="1:6" x14ac:dyDescent="0.35">
      <c r="A455" s="5" t="s">
        <v>16</v>
      </c>
      <c r="B455" s="1" t="s">
        <v>38</v>
      </c>
      <c r="C455" s="1">
        <v>38</v>
      </c>
      <c r="D455" s="1">
        <v>723</v>
      </c>
      <c r="E455" s="1" t="s">
        <v>11</v>
      </c>
      <c r="F455" s="6" t="s">
        <v>12</v>
      </c>
    </row>
    <row r="456" spans="1:6" x14ac:dyDescent="0.35">
      <c r="A456" s="5" t="s">
        <v>16</v>
      </c>
      <c r="B456" s="1" t="s">
        <v>38</v>
      </c>
      <c r="C456" s="1">
        <v>39</v>
      </c>
      <c r="D456" s="1">
        <v>1356</v>
      </c>
      <c r="E456" s="1" t="s">
        <v>11</v>
      </c>
      <c r="F456" s="6" t="s">
        <v>12</v>
      </c>
    </row>
    <row r="457" spans="1:6" x14ac:dyDescent="0.35">
      <c r="A457" s="5" t="s">
        <v>16</v>
      </c>
      <c r="B457" s="1" t="s">
        <v>38</v>
      </c>
      <c r="C457" s="1">
        <v>40</v>
      </c>
      <c r="D457" s="1">
        <v>631</v>
      </c>
      <c r="E457" s="1" t="s">
        <v>11</v>
      </c>
      <c r="F457" s="6" t="s">
        <v>12</v>
      </c>
    </row>
    <row r="458" spans="1:6" x14ac:dyDescent="0.35">
      <c r="A458" s="5" t="s">
        <v>16</v>
      </c>
      <c r="B458" s="1" t="s">
        <v>38</v>
      </c>
      <c r="C458" s="1">
        <v>41</v>
      </c>
      <c r="D458" s="1">
        <v>481</v>
      </c>
      <c r="E458" s="1" t="s">
        <v>11</v>
      </c>
      <c r="F458" s="6" t="s">
        <v>12</v>
      </c>
    </row>
    <row r="459" spans="1:6" x14ac:dyDescent="0.35">
      <c r="A459" s="5" t="s">
        <v>16</v>
      </c>
      <c r="B459" s="1" t="s">
        <v>38</v>
      </c>
      <c r="C459" s="1">
        <v>42</v>
      </c>
      <c r="D459" s="1">
        <v>226</v>
      </c>
      <c r="E459" s="1" t="s">
        <v>11</v>
      </c>
      <c r="F459" s="6" t="s">
        <v>12</v>
      </c>
    </row>
    <row r="460" spans="1:6" x14ac:dyDescent="0.35">
      <c r="A460" s="5" t="s">
        <v>16</v>
      </c>
      <c r="B460" s="1" t="s">
        <v>38</v>
      </c>
      <c r="C460" s="1">
        <v>43</v>
      </c>
      <c r="D460" s="1">
        <v>570</v>
      </c>
      <c r="E460" s="1" t="s">
        <v>11</v>
      </c>
      <c r="F460" s="6" t="s">
        <v>12</v>
      </c>
    </row>
    <row r="461" spans="1:6" x14ac:dyDescent="0.35">
      <c r="A461" s="5" t="s">
        <v>16</v>
      </c>
      <c r="B461" s="1" t="s">
        <v>38</v>
      </c>
      <c r="C461" s="1">
        <v>44</v>
      </c>
      <c r="D461" s="1">
        <v>644</v>
      </c>
      <c r="E461" s="1" t="s">
        <v>11</v>
      </c>
      <c r="F461" s="6" t="s">
        <v>12</v>
      </c>
    </row>
    <row r="462" spans="1:6" x14ac:dyDescent="0.35">
      <c r="A462" s="5" t="s">
        <v>16</v>
      </c>
      <c r="B462" s="1" t="s">
        <v>38</v>
      </c>
      <c r="C462" s="1">
        <v>45</v>
      </c>
      <c r="D462" s="1">
        <v>656</v>
      </c>
      <c r="E462" s="1" t="s">
        <v>11</v>
      </c>
      <c r="F462" s="6" t="s">
        <v>12</v>
      </c>
    </row>
    <row r="463" spans="1:6" x14ac:dyDescent="0.35">
      <c r="A463" s="5" t="s">
        <v>16</v>
      </c>
      <c r="B463" s="1" t="s">
        <v>38</v>
      </c>
      <c r="C463" s="1">
        <v>46</v>
      </c>
      <c r="D463" s="1">
        <v>864</v>
      </c>
      <c r="E463" s="1" t="s">
        <v>11</v>
      </c>
      <c r="F463" s="6" t="s">
        <v>12</v>
      </c>
    </row>
    <row r="464" spans="1:6" x14ac:dyDescent="0.35">
      <c r="A464" s="5" t="s">
        <v>16</v>
      </c>
      <c r="B464" s="1" t="s">
        <v>38</v>
      </c>
      <c r="C464" s="1">
        <v>47</v>
      </c>
      <c r="D464" s="1">
        <v>661</v>
      </c>
      <c r="E464" s="1" t="s">
        <v>11</v>
      </c>
      <c r="F464" s="6" t="s">
        <v>12</v>
      </c>
    </row>
    <row r="465" spans="1:6" x14ac:dyDescent="0.35">
      <c r="A465" s="5" t="s">
        <v>16</v>
      </c>
      <c r="B465" s="1" t="s">
        <v>38</v>
      </c>
      <c r="C465" s="1">
        <v>48</v>
      </c>
      <c r="D465" s="1">
        <v>153</v>
      </c>
      <c r="E465" s="1" t="s">
        <v>11</v>
      </c>
      <c r="F465" s="6" t="s">
        <v>12</v>
      </c>
    </row>
    <row r="466" spans="1:6" x14ac:dyDescent="0.35">
      <c r="A466" s="5" t="s">
        <v>16</v>
      </c>
      <c r="B466" s="1" t="s">
        <v>38</v>
      </c>
      <c r="C466" s="1">
        <v>49</v>
      </c>
      <c r="D466" s="1">
        <v>245</v>
      </c>
      <c r="E466" s="1" t="s">
        <v>11</v>
      </c>
      <c r="F466" s="6" t="s">
        <v>12</v>
      </c>
    </row>
    <row r="467" spans="1:6" x14ac:dyDescent="0.35">
      <c r="A467" s="5" t="s">
        <v>16</v>
      </c>
      <c r="B467" s="1" t="s">
        <v>38</v>
      </c>
      <c r="C467" s="1">
        <v>50</v>
      </c>
      <c r="D467" s="1">
        <v>213</v>
      </c>
      <c r="E467" s="1" t="s">
        <v>11</v>
      </c>
      <c r="F467" s="6" t="s">
        <v>12</v>
      </c>
    </row>
    <row r="468" spans="1:6" x14ac:dyDescent="0.35">
      <c r="A468" s="5" t="s">
        <v>16</v>
      </c>
      <c r="B468" s="1" t="s">
        <v>38</v>
      </c>
      <c r="C468" s="1">
        <v>51</v>
      </c>
      <c r="D468" s="1">
        <v>378</v>
      </c>
      <c r="E468" s="1" t="s">
        <v>11</v>
      </c>
      <c r="F468" s="6" t="s">
        <v>12</v>
      </c>
    </row>
    <row r="469" spans="1:6" x14ac:dyDescent="0.35">
      <c r="A469" s="5" t="s">
        <v>16</v>
      </c>
      <c r="B469" s="1" t="s">
        <v>38</v>
      </c>
      <c r="C469" s="1">
        <v>52</v>
      </c>
      <c r="D469" s="1">
        <v>387</v>
      </c>
      <c r="E469" s="1" t="s">
        <v>11</v>
      </c>
      <c r="F469" s="6" t="s">
        <v>12</v>
      </c>
    </row>
    <row r="470" spans="1:6" x14ac:dyDescent="0.35">
      <c r="A470" s="5" t="s">
        <v>19</v>
      </c>
      <c r="B470" s="1" t="s">
        <v>38</v>
      </c>
      <c r="C470" s="1">
        <v>1</v>
      </c>
      <c r="D470" s="1">
        <v>365</v>
      </c>
      <c r="E470" s="1" t="s">
        <v>14</v>
      </c>
      <c r="F470" s="6" t="s">
        <v>15</v>
      </c>
    </row>
    <row r="471" spans="1:6" x14ac:dyDescent="0.35">
      <c r="A471" s="5" t="s">
        <v>19</v>
      </c>
      <c r="B471" s="1" t="s">
        <v>38</v>
      </c>
      <c r="C471" s="1">
        <v>2</v>
      </c>
      <c r="D471" s="1">
        <v>86</v>
      </c>
      <c r="E471" s="1" t="s">
        <v>14</v>
      </c>
      <c r="F471" s="6" t="s">
        <v>15</v>
      </c>
    </row>
    <row r="472" spans="1:6" x14ac:dyDescent="0.35">
      <c r="A472" s="5" t="s">
        <v>19</v>
      </c>
      <c r="B472" s="1" t="s">
        <v>38</v>
      </c>
      <c r="C472" s="1">
        <v>3</v>
      </c>
      <c r="D472" s="1">
        <v>303</v>
      </c>
      <c r="E472" s="1" t="s">
        <v>14</v>
      </c>
      <c r="F472" s="6" t="s">
        <v>15</v>
      </c>
    </row>
    <row r="473" spans="1:6" x14ac:dyDescent="0.35">
      <c r="A473" s="5" t="s">
        <v>19</v>
      </c>
      <c r="B473" s="1" t="s">
        <v>38</v>
      </c>
      <c r="C473" s="1">
        <v>4</v>
      </c>
      <c r="D473" s="1">
        <v>280</v>
      </c>
      <c r="E473" s="1" t="s">
        <v>14</v>
      </c>
      <c r="F473" s="6" t="s">
        <v>15</v>
      </c>
    </row>
    <row r="474" spans="1:6" x14ac:dyDescent="0.35">
      <c r="A474" s="5" t="s">
        <v>19</v>
      </c>
      <c r="B474" s="1" t="s">
        <v>38</v>
      </c>
      <c r="C474" s="1">
        <v>5</v>
      </c>
      <c r="D474" s="1">
        <v>405</v>
      </c>
      <c r="E474" s="1" t="s">
        <v>14</v>
      </c>
      <c r="F474" s="6" t="s">
        <v>15</v>
      </c>
    </row>
    <row r="475" spans="1:6" x14ac:dyDescent="0.35">
      <c r="A475" s="5" t="s">
        <v>19</v>
      </c>
      <c r="B475" s="1" t="s">
        <v>38</v>
      </c>
      <c r="C475" s="1">
        <v>6</v>
      </c>
      <c r="D475" s="1">
        <v>96</v>
      </c>
      <c r="E475" s="1" t="s">
        <v>14</v>
      </c>
      <c r="F475" s="6" t="s">
        <v>15</v>
      </c>
    </row>
    <row r="476" spans="1:6" x14ac:dyDescent="0.35">
      <c r="A476" s="5" t="s">
        <v>19</v>
      </c>
      <c r="B476" s="1" t="s">
        <v>38</v>
      </c>
      <c r="C476" s="1">
        <v>7</v>
      </c>
      <c r="D476" s="1">
        <v>271</v>
      </c>
      <c r="E476" s="1" t="s">
        <v>14</v>
      </c>
      <c r="F476" s="6" t="s">
        <v>15</v>
      </c>
    </row>
    <row r="477" spans="1:6" x14ac:dyDescent="0.35">
      <c r="A477" s="5" t="s">
        <v>19</v>
      </c>
      <c r="B477" s="1" t="s">
        <v>38</v>
      </c>
      <c r="C477" s="1">
        <v>8</v>
      </c>
      <c r="D477" s="1">
        <v>383</v>
      </c>
      <c r="E477" s="1" t="s">
        <v>14</v>
      </c>
      <c r="F477" s="6" t="s">
        <v>15</v>
      </c>
    </row>
    <row r="478" spans="1:6" x14ac:dyDescent="0.35">
      <c r="A478" s="5" t="s">
        <v>19</v>
      </c>
      <c r="B478" s="1" t="s">
        <v>38</v>
      </c>
      <c r="C478" s="1">
        <v>9</v>
      </c>
      <c r="D478" s="1">
        <v>443</v>
      </c>
      <c r="E478" s="1" t="s">
        <v>14</v>
      </c>
      <c r="F478" s="6" t="s">
        <v>15</v>
      </c>
    </row>
    <row r="479" spans="1:6" x14ac:dyDescent="0.35">
      <c r="A479" s="5" t="s">
        <v>19</v>
      </c>
      <c r="B479" s="1" t="s">
        <v>38</v>
      </c>
      <c r="C479" s="1">
        <v>10</v>
      </c>
      <c r="D479" s="1">
        <v>358</v>
      </c>
      <c r="E479" s="1" t="s">
        <v>14</v>
      </c>
      <c r="F479" s="6" t="s">
        <v>15</v>
      </c>
    </row>
    <row r="480" spans="1:6" x14ac:dyDescent="0.35">
      <c r="A480" s="5" t="s">
        <v>19</v>
      </c>
      <c r="B480" s="1" t="s">
        <v>38</v>
      </c>
      <c r="C480" s="1">
        <v>11</v>
      </c>
      <c r="D480" s="1">
        <v>127</v>
      </c>
      <c r="E480" s="1" t="s">
        <v>14</v>
      </c>
      <c r="F480" s="6" t="s">
        <v>15</v>
      </c>
    </row>
    <row r="481" spans="1:6" x14ac:dyDescent="0.35">
      <c r="A481" s="5" t="s">
        <v>19</v>
      </c>
      <c r="B481" s="1" t="s">
        <v>38</v>
      </c>
      <c r="C481" s="1">
        <v>12</v>
      </c>
      <c r="D481" s="1">
        <v>446</v>
      </c>
      <c r="E481" s="1" t="s">
        <v>14</v>
      </c>
      <c r="F481" s="6" t="s">
        <v>15</v>
      </c>
    </row>
    <row r="482" spans="1:6" x14ac:dyDescent="0.35">
      <c r="A482" s="5" t="s">
        <v>19</v>
      </c>
      <c r="B482" s="1" t="s">
        <v>38</v>
      </c>
      <c r="C482" s="1">
        <v>13</v>
      </c>
      <c r="D482" s="1">
        <v>376</v>
      </c>
      <c r="E482" s="1" t="s">
        <v>14</v>
      </c>
      <c r="F482" s="6" t="s">
        <v>15</v>
      </c>
    </row>
    <row r="483" spans="1:6" x14ac:dyDescent="0.35">
      <c r="A483" s="5" t="s">
        <v>19</v>
      </c>
      <c r="B483" s="1" t="s">
        <v>38</v>
      </c>
      <c r="C483" s="1">
        <v>14</v>
      </c>
      <c r="D483" s="1">
        <v>229</v>
      </c>
      <c r="E483" s="1" t="s">
        <v>14</v>
      </c>
      <c r="F483" s="6" t="s">
        <v>15</v>
      </c>
    </row>
    <row r="484" spans="1:6" x14ac:dyDescent="0.35">
      <c r="A484" s="5" t="s">
        <v>19</v>
      </c>
      <c r="B484" s="1" t="s">
        <v>38</v>
      </c>
      <c r="C484" s="1">
        <v>15</v>
      </c>
      <c r="D484" s="1">
        <v>234</v>
      </c>
      <c r="E484" s="1" t="s">
        <v>14</v>
      </c>
      <c r="F484" s="6" t="s">
        <v>15</v>
      </c>
    </row>
    <row r="485" spans="1:6" x14ac:dyDescent="0.35">
      <c r="A485" s="5" t="s">
        <v>19</v>
      </c>
      <c r="B485" s="1" t="s">
        <v>38</v>
      </c>
      <c r="C485" s="1">
        <v>16</v>
      </c>
      <c r="D485" s="1">
        <v>530</v>
      </c>
      <c r="E485" s="1" t="s">
        <v>14</v>
      </c>
      <c r="F485" s="6" t="s">
        <v>15</v>
      </c>
    </row>
    <row r="486" spans="1:6" x14ac:dyDescent="0.35">
      <c r="A486" s="5" t="s">
        <v>19</v>
      </c>
      <c r="B486" s="1" t="s">
        <v>38</v>
      </c>
      <c r="C486" s="1">
        <v>17</v>
      </c>
      <c r="D486" s="1">
        <v>422</v>
      </c>
      <c r="E486" s="1" t="s">
        <v>14</v>
      </c>
      <c r="F486" s="6" t="s">
        <v>15</v>
      </c>
    </row>
    <row r="487" spans="1:6" x14ac:dyDescent="0.35">
      <c r="A487" s="5" t="s">
        <v>19</v>
      </c>
      <c r="B487" s="1" t="s">
        <v>38</v>
      </c>
      <c r="C487" s="1">
        <v>18</v>
      </c>
      <c r="D487" s="1">
        <v>276</v>
      </c>
      <c r="E487" s="1" t="s">
        <v>14</v>
      </c>
      <c r="F487" s="6" t="s">
        <v>15</v>
      </c>
    </row>
    <row r="488" spans="1:6" x14ac:dyDescent="0.35">
      <c r="A488" s="5" t="s">
        <v>19</v>
      </c>
      <c r="B488" s="1" t="s">
        <v>38</v>
      </c>
      <c r="C488" s="1">
        <v>19</v>
      </c>
      <c r="D488" s="1">
        <v>97</v>
      </c>
      <c r="E488" s="1" t="s">
        <v>14</v>
      </c>
      <c r="F488" s="6" t="s">
        <v>15</v>
      </c>
    </row>
    <row r="489" spans="1:6" x14ac:dyDescent="0.35">
      <c r="A489" s="5" t="s">
        <v>19</v>
      </c>
      <c r="B489" s="1" t="s">
        <v>38</v>
      </c>
      <c r="C489" s="1">
        <v>20</v>
      </c>
      <c r="D489" s="1">
        <v>651</v>
      </c>
      <c r="E489" s="1" t="s">
        <v>14</v>
      </c>
      <c r="F489" s="6" t="s">
        <v>15</v>
      </c>
    </row>
    <row r="490" spans="1:6" x14ac:dyDescent="0.35">
      <c r="A490" s="5" t="s">
        <v>19</v>
      </c>
      <c r="B490" s="1" t="s">
        <v>38</v>
      </c>
      <c r="C490" s="1">
        <v>21</v>
      </c>
      <c r="D490" s="1">
        <v>260</v>
      </c>
      <c r="E490" s="1" t="s">
        <v>14</v>
      </c>
      <c r="F490" s="6" t="s">
        <v>15</v>
      </c>
    </row>
    <row r="491" spans="1:6" x14ac:dyDescent="0.35">
      <c r="A491" s="5" t="s">
        <v>19</v>
      </c>
      <c r="B491" s="1" t="s">
        <v>38</v>
      </c>
      <c r="C491" s="1">
        <v>22</v>
      </c>
      <c r="D491" s="1">
        <v>230</v>
      </c>
      <c r="E491" s="1" t="s">
        <v>14</v>
      </c>
      <c r="F491" s="6" t="s">
        <v>15</v>
      </c>
    </row>
    <row r="492" spans="1:6" x14ac:dyDescent="0.35">
      <c r="A492" s="5" t="s">
        <v>19</v>
      </c>
      <c r="B492" s="1" t="s">
        <v>38</v>
      </c>
      <c r="C492" s="1">
        <v>23</v>
      </c>
      <c r="D492" s="1">
        <v>183</v>
      </c>
      <c r="E492" s="1" t="s">
        <v>14</v>
      </c>
      <c r="F492" s="6" t="s">
        <v>15</v>
      </c>
    </row>
    <row r="493" spans="1:6" x14ac:dyDescent="0.35">
      <c r="A493" s="5" t="s">
        <v>19</v>
      </c>
      <c r="B493" s="1" t="s">
        <v>38</v>
      </c>
      <c r="C493" s="1">
        <v>24</v>
      </c>
      <c r="D493" s="1">
        <v>355</v>
      </c>
      <c r="E493" s="1" t="s">
        <v>14</v>
      </c>
      <c r="F493" s="6" t="s">
        <v>15</v>
      </c>
    </row>
    <row r="494" spans="1:6" x14ac:dyDescent="0.35">
      <c r="A494" s="5" t="s">
        <v>19</v>
      </c>
      <c r="B494" s="1" t="s">
        <v>38</v>
      </c>
      <c r="C494" s="1">
        <v>25</v>
      </c>
      <c r="D494" s="1">
        <v>507</v>
      </c>
      <c r="E494" s="1" t="s">
        <v>14</v>
      </c>
      <c r="F494" s="6" t="s">
        <v>15</v>
      </c>
    </row>
    <row r="495" spans="1:6" x14ac:dyDescent="0.35">
      <c r="A495" s="5" t="s">
        <v>19</v>
      </c>
      <c r="B495" s="1" t="s">
        <v>38</v>
      </c>
      <c r="C495" s="1">
        <v>26</v>
      </c>
      <c r="D495" s="1">
        <v>266</v>
      </c>
      <c r="E495" s="1" t="s">
        <v>14</v>
      </c>
      <c r="F495" s="6" t="s">
        <v>15</v>
      </c>
    </row>
    <row r="496" spans="1:6" x14ac:dyDescent="0.35">
      <c r="A496" s="5" t="s">
        <v>19</v>
      </c>
      <c r="B496" s="1" t="s">
        <v>38</v>
      </c>
      <c r="C496" s="1">
        <v>27</v>
      </c>
      <c r="D496" s="1">
        <v>195</v>
      </c>
      <c r="E496" s="1" t="s">
        <v>14</v>
      </c>
      <c r="F496" s="6" t="s">
        <v>15</v>
      </c>
    </row>
    <row r="497" spans="1:6" x14ac:dyDescent="0.35">
      <c r="A497" s="5" t="s">
        <v>19</v>
      </c>
      <c r="B497" s="1" t="s">
        <v>38</v>
      </c>
      <c r="C497" s="1">
        <v>28</v>
      </c>
      <c r="D497" s="1">
        <v>430</v>
      </c>
      <c r="E497" s="1" t="s">
        <v>14</v>
      </c>
      <c r="F497" s="6" t="s">
        <v>15</v>
      </c>
    </row>
    <row r="498" spans="1:6" x14ac:dyDescent="0.35">
      <c r="A498" s="5" t="s">
        <v>19</v>
      </c>
      <c r="B498" s="1" t="s">
        <v>38</v>
      </c>
      <c r="C498" s="1">
        <v>29</v>
      </c>
      <c r="D498" s="1">
        <v>305</v>
      </c>
      <c r="E498" s="1" t="s">
        <v>14</v>
      </c>
      <c r="F498" s="6" t="s">
        <v>15</v>
      </c>
    </row>
    <row r="499" spans="1:6" x14ac:dyDescent="0.35">
      <c r="A499" s="5" t="s">
        <v>19</v>
      </c>
      <c r="B499" s="1" t="s">
        <v>38</v>
      </c>
      <c r="C499" s="1">
        <v>30</v>
      </c>
      <c r="D499" s="1">
        <v>109</v>
      </c>
      <c r="E499" s="1" t="s">
        <v>14</v>
      </c>
      <c r="F499" s="6" t="s">
        <v>15</v>
      </c>
    </row>
    <row r="500" spans="1:6" x14ac:dyDescent="0.35">
      <c r="A500" s="5" t="s">
        <v>19</v>
      </c>
      <c r="B500" s="1" t="s">
        <v>38</v>
      </c>
      <c r="C500" s="1">
        <v>31</v>
      </c>
      <c r="D500" s="1">
        <v>427</v>
      </c>
      <c r="E500" s="1" t="s">
        <v>14</v>
      </c>
      <c r="F500" s="6" t="s">
        <v>15</v>
      </c>
    </row>
    <row r="501" spans="1:6" x14ac:dyDescent="0.35">
      <c r="A501" s="5" t="s">
        <v>19</v>
      </c>
      <c r="B501" s="1" t="s">
        <v>38</v>
      </c>
      <c r="C501" s="1">
        <v>32</v>
      </c>
      <c r="D501" s="1">
        <v>434</v>
      </c>
      <c r="E501" s="1" t="s">
        <v>14</v>
      </c>
      <c r="F501" s="6" t="s">
        <v>15</v>
      </c>
    </row>
    <row r="502" spans="1:6" x14ac:dyDescent="0.35">
      <c r="A502" s="5" t="s">
        <v>19</v>
      </c>
      <c r="B502" s="1" t="s">
        <v>38</v>
      </c>
      <c r="C502" s="1">
        <v>33</v>
      </c>
      <c r="D502" s="1">
        <v>505</v>
      </c>
      <c r="E502" s="1" t="s">
        <v>14</v>
      </c>
      <c r="F502" s="6" t="s">
        <v>15</v>
      </c>
    </row>
    <row r="503" spans="1:6" x14ac:dyDescent="0.35">
      <c r="A503" s="5" t="s">
        <v>19</v>
      </c>
      <c r="B503" s="1" t="s">
        <v>38</v>
      </c>
      <c r="C503" s="1">
        <v>34</v>
      </c>
      <c r="D503" s="1">
        <v>419</v>
      </c>
      <c r="E503" s="1" t="s">
        <v>14</v>
      </c>
      <c r="F503" s="6" t="s">
        <v>15</v>
      </c>
    </row>
    <row r="504" spans="1:6" x14ac:dyDescent="0.35">
      <c r="A504" s="5" t="s">
        <v>19</v>
      </c>
      <c r="B504" s="1" t="s">
        <v>38</v>
      </c>
      <c r="C504" s="1">
        <v>35</v>
      </c>
      <c r="D504" s="1">
        <v>407</v>
      </c>
      <c r="E504" s="1" t="s">
        <v>14</v>
      </c>
      <c r="F504" s="6" t="s">
        <v>15</v>
      </c>
    </row>
    <row r="505" spans="1:6" x14ac:dyDescent="0.35">
      <c r="A505" s="5" t="s">
        <v>19</v>
      </c>
      <c r="B505" s="1" t="s">
        <v>38</v>
      </c>
      <c r="C505" s="1">
        <v>36</v>
      </c>
      <c r="D505" s="1">
        <v>558</v>
      </c>
      <c r="E505" s="1" t="s">
        <v>14</v>
      </c>
      <c r="F505" s="6" t="s">
        <v>15</v>
      </c>
    </row>
    <row r="506" spans="1:6" x14ac:dyDescent="0.35">
      <c r="A506" s="5" t="s">
        <v>19</v>
      </c>
      <c r="B506" s="1" t="s">
        <v>38</v>
      </c>
      <c r="C506" s="1">
        <v>37</v>
      </c>
      <c r="D506" s="1">
        <v>215</v>
      </c>
      <c r="E506" s="1" t="s">
        <v>14</v>
      </c>
      <c r="F506" s="6" t="s">
        <v>15</v>
      </c>
    </row>
    <row r="507" spans="1:6" x14ac:dyDescent="0.35">
      <c r="A507" s="5" t="s">
        <v>19</v>
      </c>
      <c r="B507" s="1" t="s">
        <v>38</v>
      </c>
      <c r="C507" s="1">
        <v>38</v>
      </c>
      <c r="D507" s="1">
        <v>650</v>
      </c>
      <c r="E507" s="1" t="s">
        <v>14</v>
      </c>
      <c r="F507" s="6" t="s">
        <v>15</v>
      </c>
    </row>
    <row r="508" spans="1:6" x14ac:dyDescent="0.35">
      <c r="A508" s="5" t="s">
        <v>19</v>
      </c>
      <c r="B508" s="1" t="s">
        <v>38</v>
      </c>
      <c r="C508" s="1">
        <v>39</v>
      </c>
      <c r="D508" s="1">
        <v>192</v>
      </c>
      <c r="E508" s="1" t="s">
        <v>14</v>
      </c>
      <c r="F508" s="6" t="s">
        <v>15</v>
      </c>
    </row>
    <row r="509" spans="1:6" x14ac:dyDescent="0.35">
      <c r="A509" s="5" t="s">
        <v>19</v>
      </c>
      <c r="B509" s="1" t="s">
        <v>38</v>
      </c>
      <c r="C509" s="1">
        <v>40</v>
      </c>
      <c r="D509" s="1">
        <v>355</v>
      </c>
      <c r="E509" s="1" t="s">
        <v>14</v>
      </c>
      <c r="F509" s="6" t="s">
        <v>15</v>
      </c>
    </row>
    <row r="510" spans="1:6" x14ac:dyDescent="0.35">
      <c r="A510" s="5" t="s">
        <v>19</v>
      </c>
      <c r="B510" s="1" t="s">
        <v>38</v>
      </c>
      <c r="C510" s="1">
        <v>41</v>
      </c>
      <c r="D510" s="1">
        <v>539</v>
      </c>
      <c r="E510" s="1" t="s">
        <v>14</v>
      </c>
      <c r="F510" s="6" t="s">
        <v>15</v>
      </c>
    </row>
    <row r="511" spans="1:6" x14ac:dyDescent="0.35">
      <c r="A511" s="5" t="s">
        <v>19</v>
      </c>
      <c r="B511" s="1" t="s">
        <v>38</v>
      </c>
      <c r="C511" s="1">
        <v>42</v>
      </c>
      <c r="D511" s="1">
        <v>137</v>
      </c>
      <c r="E511" s="1" t="s">
        <v>14</v>
      </c>
      <c r="F511" s="6" t="s">
        <v>15</v>
      </c>
    </row>
    <row r="512" spans="1:6" x14ac:dyDescent="0.35">
      <c r="A512" s="5" t="s">
        <v>19</v>
      </c>
      <c r="B512" s="1" t="s">
        <v>38</v>
      </c>
      <c r="C512" s="1">
        <v>43</v>
      </c>
      <c r="D512" s="1">
        <v>1083</v>
      </c>
      <c r="E512" s="1" t="s">
        <v>14</v>
      </c>
      <c r="F512" s="6" t="s">
        <v>15</v>
      </c>
    </row>
    <row r="513" spans="1:6" x14ac:dyDescent="0.35">
      <c r="A513" s="5" t="s">
        <v>19</v>
      </c>
      <c r="B513" s="1" t="s">
        <v>38</v>
      </c>
      <c r="C513" s="1">
        <v>44</v>
      </c>
      <c r="D513" s="1">
        <v>381</v>
      </c>
      <c r="E513" s="1" t="s">
        <v>14</v>
      </c>
      <c r="F513" s="6" t="s">
        <v>15</v>
      </c>
    </row>
    <row r="514" spans="1:6" x14ac:dyDescent="0.35">
      <c r="A514" s="5" t="s">
        <v>19</v>
      </c>
      <c r="B514" s="1" t="s">
        <v>38</v>
      </c>
      <c r="C514" s="1">
        <v>45</v>
      </c>
      <c r="D514" s="1">
        <v>224</v>
      </c>
      <c r="E514" s="1" t="s">
        <v>14</v>
      </c>
      <c r="F514" s="6" t="s">
        <v>15</v>
      </c>
    </row>
    <row r="515" spans="1:6" x14ac:dyDescent="0.35">
      <c r="A515" s="5" t="s">
        <v>19</v>
      </c>
      <c r="B515" s="1" t="s">
        <v>38</v>
      </c>
      <c r="C515" s="1">
        <v>46</v>
      </c>
      <c r="D515" s="1">
        <v>718</v>
      </c>
      <c r="E515" s="1" t="s">
        <v>14</v>
      </c>
      <c r="F515" s="6" t="s">
        <v>15</v>
      </c>
    </row>
    <row r="516" spans="1:6" x14ac:dyDescent="0.35">
      <c r="A516" s="5" t="s">
        <v>19</v>
      </c>
      <c r="B516" s="1" t="s">
        <v>38</v>
      </c>
      <c r="C516" s="1">
        <v>47</v>
      </c>
      <c r="D516" s="1">
        <v>368</v>
      </c>
      <c r="E516" s="1" t="s">
        <v>14</v>
      </c>
      <c r="F516" s="6" t="s">
        <v>15</v>
      </c>
    </row>
    <row r="517" spans="1:6" x14ac:dyDescent="0.35">
      <c r="A517" s="5" t="s">
        <v>19</v>
      </c>
      <c r="B517" s="1" t="s">
        <v>38</v>
      </c>
      <c r="C517" s="1">
        <v>48</v>
      </c>
      <c r="D517" s="1">
        <v>883</v>
      </c>
      <c r="E517" s="1" t="s">
        <v>14</v>
      </c>
      <c r="F517" s="6" t="s">
        <v>15</v>
      </c>
    </row>
    <row r="518" spans="1:6" x14ac:dyDescent="0.35">
      <c r="A518" s="5" t="s">
        <v>19</v>
      </c>
      <c r="B518" s="1" t="s">
        <v>38</v>
      </c>
      <c r="C518" s="1">
        <v>49</v>
      </c>
      <c r="D518" s="1">
        <v>169</v>
      </c>
      <c r="E518" s="1" t="s">
        <v>14</v>
      </c>
      <c r="F518" s="6" t="s">
        <v>15</v>
      </c>
    </row>
    <row r="519" spans="1:6" x14ac:dyDescent="0.35">
      <c r="A519" s="5" t="s">
        <v>19</v>
      </c>
      <c r="B519" s="1" t="s">
        <v>38</v>
      </c>
      <c r="C519" s="1">
        <v>50</v>
      </c>
      <c r="D519" s="1">
        <v>481</v>
      </c>
      <c r="E519" s="1" t="s">
        <v>14</v>
      </c>
      <c r="F519" s="6" t="s">
        <v>15</v>
      </c>
    </row>
    <row r="520" spans="1:6" x14ac:dyDescent="0.35">
      <c r="A520" s="5" t="s">
        <v>19</v>
      </c>
      <c r="B520" s="1" t="s">
        <v>38</v>
      </c>
      <c r="C520" s="1">
        <v>51</v>
      </c>
      <c r="D520" s="1">
        <v>553</v>
      </c>
      <c r="E520" s="1" t="s">
        <v>14</v>
      </c>
      <c r="F520" s="6" t="s">
        <v>15</v>
      </c>
    </row>
    <row r="521" spans="1:6" x14ac:dyDescent="0.35">
      <c r="A521" s="5" t="s">
        <v>19</v>
      </c>
      <c r="B521" s="1" t="s">
        <v>38</v>
      </c>
      <c r="C521" s="1">
        <v>52</v>
      </c>
      <c r="D521" s="1">
        <v>106</v>
      </c>
      <c r="E521" s="1" t="s">
        <v>14</v>
      </c>
      <c r="F521" s="6" t="s">
        <v>15</v>
      </c>
    </row>
    <row r="522" spans="1:6" x14ac:dyDescent="0.35">
      <c r="A522" s="5" t="s">
        <v>13</v>
      </c>
      <c r="B522" s="1" t="s">
        <v>7</v>
      </c>
      <c r="C522" s="1">
        <v>1</v>
      </c>
      <c r="D522" s="1">
        <v>96</v>
      </c>
      <c r="E522" s="1" t="s">
        <v>14</v>
      </c>
      <c r="F522" s="6" t="s">
        <v>15</v>
      </c>
    </row>
    <row r="523" spans="1:6" x14ac:dyDescent="0.35">
      <c r="A523" s="5" t="s">
        <v>13</v>
      </c>
      <c r="B523" s="1" t="s">
        <v>7</v>
      </c>
      <c r="C523" s="1">
        <v>2</v>
      </c>
      <c r="D523" s="1">
        <v>226</v>
      </c>
      <c r="E523" s="1" t="s">
        <v>14</v>
      </c>
      <c r="F523" s="6" t="s">
        <v>15</v>
      </c>
    </row>
    <row r="524" spans="1:6" x14ac:dyDescent="0.35">
      <c r="A524" s="5" t="s">
        <v>13</v>
      </c>
      <c r="B524" s="1" t="s">
        <v>7</v>
      </c>
      <c r="C524" s="1">
        <v>3</v>
      </c>
      <c r="D524" s="1">
        <v>387</v>
      </c>
      <c r="E524" s="1" t="s">
        <v>14</v>
      </c>
      <c r="F524" s="6" t="s">
        <v>15</v>
      </c>
    </row>
    <row r="525" spans="1:6" x14ac:dyDescent="0.35">
      <c r="A525" s="5" t="s">
        <v>13</v>
      </c>
      <c r="B525" s="1" t="s">
        <v>7</v>
      </c>
      <c r="C525" s="1">
        <v>4</v>
      </c>
      <c r="D525" s="1">
        <v>260</v>
      </c>
      <c r="E525" s="1" t="s">
        <v>14</v>
      </c>
      <c r="F525" s="6" t="s">
        <v>15</v>
      </c>
    </row>
    <row r="526" spans="1:6" x14ac:dyDescent="0.35">
      <c r="A526" s="5" t="s">
        <v>13</v>
      </c>
      <c r="B526" s="1" t="s">
        <v>7</v>
      </c>
      <c r="C526" s="1">
        <v>5</v>
      </c>
      <c r="D526" s="1">
        <v>421</v>
      </c>
      <c r="E526" s="1" t="s">
        <v>14</v>
      </c>
      <c r="F526" s="6" t="s">
        <v>15</v>
      </c>
    </row>
    <row r="527" spans="1:6" x14ac:dyDescent="0.35">
      <c r="A527" s="5" t="s">
        <v>13</v>
      </c>
      <c r="B527" s="1" t="s">
        <v>7</v>
      </c>
      <c r="C527" s="1">
        <v>6</v>
      </c>
      <c r="D527" s="1">
        <v>408</v>
      </c>
      <c r="E527" s="1" t="s">
        <v>14</v>
      </c>
      <c r="F527" s="6" t="s">
        <v>15</v>
      </c>
    </row>
    <row r="528" spans="1:6" x14ac:dyDescent="0.35">
      <c r="A528" s="5" t="s">
        <v>13</v>
      </c>
      <c r="B528" s="1" t="s">
        <v>7</v>
      </c>
      <c r="C528" s="1">
        <v>7</v>
      </c>
      <c r="D528" s="1">
        <v>436</v>
      </c>
      <c r="E528" s="1" t="s">
        <v>14</v>
      </c>
      <c r="F528" s="6" t="s">
        <v>15</v>
      </c>
    </row>
    <row r="529" spans="1:6" x14ac:dyDescent="0.35">
      <c r="A529" s="5" t="s">
        <v>13</v>
      </c>
      <c r="B529" s="1" t="s">
        <v>7</v>
      </c>
      <c r="C529" s="1">
        <v>8</v>
      </c>
      <c r="D529" s="1">
        <v>218</v>
      </c>
      <c r="E529" s="1" t="s">
        <v>14</v>
      </c>
      <c r="F529" s="6" t="s">
        <v>15</v>
      </c>
    </row>
    <row r="530" spans="1:6" x14ac:dyDescent="0.35">
      <c r="A530" s="5" t="s">
        <v>13</v>
      </c>
      <c r="B530" s="1" t="s">
        <v>7</v>
      </c>
      <c r="C530" s="1">
        <v>9</v>
      </c>
      <c r="D530" s="1">
        <v>254</v>
      </c>
      <c r="E530" s="1" t="s">
        <v>14</v>
      </c>
      <c r="F530" s="6" t="s">
        <v>15</v>
      </c>
    </row>
    <row r="531" spans="1:6" x14ac:dyDescent="0.35">
      <c r="A531" s="5" t="s">
        <v>13</v>
      </c>
      <c r="B531" s="1" t="s">
        <v>7</v>
      </c>
      <c r="C531" s="1">
        <v>10</v>
      </c>
      <c r="D531" s="1">
        <v>292</v>
      </c>
      <c r="E531" s="1" t="s">
        <v>14</v>
      </c>
      <c r="F531" s="6" t="s">
        <v>15</v>
      </c>
    </row>
    <row r="532" spans="1:6" x14ac:dyDescent="0.35">
      <c r="A532" s="5" t="s">
        <v>13</v>
      </c>
      <c r="B532" s="1" t="s">
        <v>7</v>
      </c>
      <c r="C532" s="1">
        <v>11</v>
      </c>
      <c r="D532" s="1">
        <v>475</v>
      </c>
      <c r="E532" s="1" t="s">
        <v>14</v>
      </c>
      <c r="F532" s="6" t="s">
        <v>15</v>
      </c>
    </row>
    <row r="533" spans="1:6" x14ac:dyDescent="0.35">
      <c r="A533" s="5" t="s">
        <v>13</v>
      </c>
      <c r="B533" s="1" t="s">
        <v>7</v>
      </c>
      <c r="C533" s="1">
        <v>12</v>
      </c>
      <c r="D533" s="1">
        <v>546</v>
      </c>
      <c r="E533" s="1" t="s">
        <v>14</v>
      </c>
      <c r="F533" s="6" t="s">
        <v>15</v>
      </c>
    </row>
    <row r="534" spans="1:6" x14ac:dyDescent="0.35">
      <c r="A534" s="5" t="s">
        <v>13</v>
      </c>
      <c r="B534" s="1" t="s">
        <v>7</v>
      </c>
      <c r="C534" s="1">
        <v>13</v>
      </c>
      <c r="D534" s="1">
        <v>673</v>
      </c>
      <c r="E534" s="1" t="s">
        <v>14</v>
      </c>
      <c r="F534" s="6" t="s">
        <v>15</v>
      </c>
    </row>
    <row r="535" spans="1:6" x14ac:dyDescent="0.35">
      <c r="A535" s="5" t="s">
        <v>13</v>
      </c>
      <c r="B535" s="1" t="s">
        <v>7</v>
      </c>
      <c r="C535" s="1">
        <v>14</v>
      </c>
      <c r="D535" s="1">
        <v>308</v>
      </c>
      <c r="E535" s="1" t="s">
        <v>14</v>
      </c>
      <c r="F535" s="6" t="s">
        <v>15</v>
      </c>
    </row>
    <row r="536" spans="1:6" x14ac:dyDescent="0.35">
      <c r="A536" s="5" t="s">
        <v>13</v>
      </c>
      <c r="B536" s="1" t="s">
        <v>7</v>
      </c>
      <c r="C536" s="1">
        <v>15</v>
      </c>
      <c r="D536" s="1">
        <v>487</v>
      </c>
      <c r="E536" s="1" t="s">
        <v>14</v>
      </c>
      <c r="F536" s="6" t="s">
        <v>15</v>
      </c>
    </row>
    <row r="537" spans="1:6" x14ac:dyDescent="0.35">
      <c r="A537" s="5" t="s">
        <v>13</v>
      </c>
      <c r="B537" s="1" t="s">
        <v>7</v>
      </c>
      <c r="C537" s="1">
        <v>16</v>
      </c>
      <c r="D537" s="1">
        <v>471</v>
      </c>
      <c r="E537" s="1" t="s">
        <v>14</v>
      </c>
      <c r="F537" s="6" t="s">
        <v>15</v>
      </c>
    </row>
    <row r="538" spans="1:6" x14ac:dyDescent="0.35">
      <c r="A538" s="5" t="s">
        <v>13</v>
      </c>
      <c r="B538" s="1" t="s">
        <v>7</v>
      </c>
      <c r="C538" s="1">
        <v>17</v>
      </c>
      <c r="D538" s="1">
        <v>470</v>
      </c>
      <c r="E538" s="1" t="s">
        <v>14</v>
      </c>
      <c r="F538" s="6" t="s">
        <v>15</v>
      </c>
    </row>
    <row r="539" spans="1:6" x14ac:dyDescent="0.35">
      <c r="A539" s="5" t="s">
        <v>13</v>
      </c>
      <c r="B539" s="1" t="s">
        <v>7</v>
      </c>
      <c r="C539" s="1">
        <v>18</v>
      </c>
      <c r="D539" s="1">
        <v>512</v>
      </c>
      <c r="E539" s="1" t="s">
        <v>14</v>
      </c>
      <c r="F539" s="6" t="s">
        <v>15</v>
      </c>
    </row>
    <row r="540" spans="1:6" x14ac:dyDescent="0.35">
      <c r="A540" s="5" t="s">
        <v>13</v>
      </c>
      <c r="B540" s="1" t="s">
        <v>7</v>
      </c>
      <c r="C540" s="1">
        <v>19</v>
      </c>
      <c r="D540" s="1">
        <v>537</v>
      </c>
      <c r="E540" s="1" t="s">
        <v>14</v>
      </c>
      <c r="F540" s="6" t="s">
        <v>15</v>
      </c>
    </row>
    <row r="541" spans="1:6" x14ac:dyDescent="0.35">
      <c r="A541" s="5" t="s">
        <v>13</v>
      </c>
      <c r="B541" s="1" t="s">
        <v>7</v>
      </c>
      <c r="C541" s="1">
        <v>20</v>
      </c>
      <c r="D541" s="1">
        <v>305</v>
      </c>
      <c r="E541" s="1" t="s">
        <v>14</v>
      </c>
      <c r="F541" s="6" t="s">
        <v>15</v>
      </c>
    </row>
    <row r="542" spans="1:6" x14ac:dyDescent="0.35">
      <c r="A542" s="5" t="s">
        <v>13</v>
      </c>
      <c r="B542" s="1" t="s">
        <v>7</v>
      </c>
      <c r="C542" s="1">
        <v>21</v>
      </c>
      <c r="D542" s="1">
        <v>396</v>
      </c>
      <c r="E542" s="1" t="s">
        <v>14</v>
      </c>
      <c r="F542" s="6" t="s">
        <v>15</v>
      </c>
    </row>
    <row r="543" spans="1:6" x14ac:dyDescent="0.35">
      <c r="A543" s="5" t="s">
        <v>13</v>
      </c>
      <c r="B543" s="1" t="s">
        <v>7</v>
      </c>
      <c r="C543" s="1">
        <v>22</v>
      </c>
      <c r="D543" s="1">
        <v>413</v>
      </c>
      <c r="E543" s="1" t="s">
        <v>14</v>
      </c>
      <c r="F543" s="6" t="s">
        <v>15</v>
      </c>
    </row>
    <row r="544" spans="1:6" x14ac:dyDescent="0.35">
      <c r="A544" s="5" t="s">
        <v>13</v>
      </c>
      <c r="B544" s="1" t="s">
        <v>7</v>
      </c>
      <c r="C544" s="1">
        <v>23</v>
      </c>
      <c r="D544" s="1">
        <v>247</v>
      </c>
      <c r="E544" s="1" t="s">
        <v>14</v>
      </c>
      <c r="F544" s="6" t="s">
        <v>15</v>
      </c>
    </row>
    <row r="545" spans="1:6" x14ac:dyDescent="0.35">
      <c r="A545" s="5" t="s">
        <v>13</v>
      </c>
      <c r="B545" s="1" t="s">
        <v>7</v>
      </c>
      <c r="C545" s="1">
        <v>24</v>
      </c>
      <c r="D545" s="1">
        <v>174</v>
      </c>
      <c r="E545" s="1" t="s">
        <v>14</v>
      </c>
      <c r="F545" s="6" t="s">
        <v>15</v>
      </c>
    </row>
    <row r="546" spans="1:6" x14ac:dyDescent="0.35">
      <c r="A546" s="5" t="s">
        <v>13</v>
      </c>
      <c r="B546" s="1" t="s">
        <v>7</v>
      </c>
      <c r="C546" s="1">
        <v>25</v>
      </c>
      <c r="D546" s="1">
        <v>547</v>
      </c>
      <c r="E546" s="1" t="s">
        <v>14</v>
      </c>
      <c r="F546" s="6" t="s">
        <v>15</v>
      </c>
    </row>
    <row r="547" spans="1:6" x14ac:dyDescent="0.35">
      <c r="A547" s="5" t="s">
        <v>13</v>
      </c>
      <c r="B547" s="1" t="s">
        <v>7</v>
      </c>
      <c r="C547" s="1">
        <v>26</v>
      </c>
      <c r="D547" s="1">
        <v>424</v>
      </c>
      <c r="E547" s="1" t="s">
        <v>14</v>
      </c>
      <c r="F547" s="6" t="s">
        <v>15</v>
      </c>
    </row>
    <row r="548" spans="1:6" x14ac:dyDescent="0.35">
      <c r="A548" s="5" t="s">
        <v>13</v>
      </c>
      <c r="B548" s="1" t="s">
        <v>7</v>
      </c>
      <c r="C548" s="1">
        <v>27</v>
      </c>
      <c r="D548" s="1">
        <v>143</v>
      </c>
      <c r="E548" s="1" t="s">
        <v>14</v>
      </c>
      <c r="F548" s="6" t="s">
        <v>15</v>
      </c>
    </row>
    <row r="549" spans="1:6" x14ac:dyDescent="0.35">
      <c r="A549" s="5" t="s">
        <v>13</v>
      </c>
      <c r="B549" s="1" t="s">
        <v>7</v>
      </c>
      <c r="C549" s="1">
        <v>28</v>
      </c>
      <c r="D549" s="1">
        <v>582</v>
      </c>
      <c r="E549" s="1" t="s">
        <v>14</v>
      </c>
      <c r="F549" s="6" t="s">
        <v>15</v>
      </c>
    </row>
    <row r="550" spans="1:6" x14ac:dyDescent="0.35">
      <c r="A550" s="5" t="s">
        <v>13</v>
      </c>
      <c r="B550" s="1" t="s">
        <v>7</v>
      </c>
      <c r="C550" s="1">
        <v>29</v>
      </c>
      <c r="D550" s="1">
        <v>244</v>
      </c>
      <c r="E550" s="1" t="s">
        <v>14</v>
      </c>
      <c r="F550" s="6" t="s">
        <v>15</v>
      </c>
    </row>
    <row r="551" spans="1:6" x14ac:dyDescent="0.35">
      <c r="A551" s="5" t="s">
        <v>13</v>
      </c>
      <c r="B551" s="1" t="s">
        <v>7</v>
      </c>
      <c r="C551" s="1">
        <v>30</v>
      </c>
      <c r="D551" s="1">
        <v>362</v>
      </c>
      <c r="E551" s="1" t="s">
        <v>14</v>
      </c>
      <c r="F551" s="6" t="s">
        <v>15</v>
      </c>
    </row>
    <row r="552" spans="1:6" x14ac:dyDescent="0.35">
      <c r="A552" s="5" t="s">
        <v>13</v>
      </c>
      <c r="B552" s="1" t="s">
        <v>7</v>
      </c>
      <c r="C552" s="1">
        <v>31</v>
      </c>
      <c r="D552" s="1">
        <v>252</v>
      </c>
      <c r="E552" s="1" t="s">
        <v>14</v>
      </c>
      <c r="F552" s="6" t="s">
        <v>15</v>
      </c>
    </row>
    <row r="553" spans="1:6" x14ac:dyDescent="0.35">
      <c r="A553" s="5" t="s">
        <v>13</v>
      </c>
      <c r="B553" s="1" t="s">
        <v>7</v>
      </c>
      <c r="C553" s="1">
        <v>32</v>
      </c>
      <c r="D553" s="1">
        <v>439</v>
      </c>
      <c r="E553" s="1" t="s">
        <v>14</v>
      </c>
      <c r="F553" s="6" t="s">
        <v>15</v>
      </c>
    </row>
    <row r="554" spans="1:6" x14ac:dyDescent="0.35">
      <c r="A554" s="5" t="s">
        <v>13</v>
      </c>
      <c r="B554" s="1" t="s">
        <v>7</v>
      </c>
      <c r="C554" s="1">
        <v>33</v>
      </c>
      <c r="D554" s="1">
        <v>288</v>
      </c>
      <c r="E554" s="1" t="s">
        <v>14</v>
      </c>
      <c r="F554" s="6" t="s">
        <v>15</v>
      </c>
    </row>
    <row r="555" spans="1:6" x14ac:dyDescent="0.35">
      <c r="A555" s="5" t="s">
        <v>13</v>
      </c>
      <c r="B555" s="1" t="s">
        <v>7</v>
      </c>
      <c r="C555" s="1">
        <v>34</v>
      </c>
      <c r="D555" s="1">
        <v>189</v>
      </c>
      <c r="E555" s="1" t="s">
        <v>14</v>
      </c>
      <c r="F555" s="6" t="s">
        <v>15</v>
      </c>
    </row>
    <row r="556" spans="1:6" x14ac:dyDescent="0.35">
      <c r="A556" s="5" t="s">
        <v>13</v>
      </c>
      <c r="B556" s="1" t="s">
        <v>7</v>
      </c>
      <c r="C556" s="1">
        <v>35</v>
      </c>
      <c r="D556" s="1">
        <v>576</v>
      </c>
      <c r="E556" s="1" t="s">
        <v>14</v>
      </c>
      <c r="F556" s="6" t="s">
        <v>15</v>
      </c>
    </row>
    <row r="557" spans="1:6" x14ac:dyDescent="0.35">
      <c r="A557" s="5" t="s">
        <v>13</v>
      </c>
      <c r="B557" s="1" t="s">
        <v>7</v>
      </c>
      <c r="C557" s="1">
        <v>36</v>
      </c>
      <c r="D557" s="1">
        <v>363</v>
      </c>
      <c r="E557" s="1" t="s">
        <v>14</v>
      </c>
      <c r="F557" s="6" t="s">
        <v>15</v>
      </c>
    </row>
    <row r="558" spans="1:6" x14ac:dyDescent="0.35">
      <c r="A558" s="5" t="s">
        <v>13</v>
      </c>
      <c r="B558" s="1" t="s">
        <v>7</v>
      </c>
      <c r="C558" s="1">
        <v>37</v>
      </c>
      <c r="D558" s="1">
        <v>146</v>
      </c>
      <c r="E558" s="1" t="s">
        <v>14</v>
      </c>
      <c r="F558" s="6" t="s">
        <v>15</v>
      </c>
    </row>
    <row r="559" spans="1:6" x14ac:dyDescent="0.35">
      <c r="A559" s="5" t="s">
        <v>13</v>
      </c>
      <c r="B559" s="1" t="s">
        <v>7</v>
      </c>
      <c r="C559" s="1">
        <v>38</v>
      </c>
      <c r="D559" s="1">
        <v>182</v>
      </c>
      <c r="E559" s="1" t="s">
        <v>14</v>
      </c>
      <c r="F559" s="6" t="s">
        <v>15</v>
      </c>
    </row>
    <row r="560" spans="1:6" x14ac:dyDescent="0.35">
      <c r="A560" s="5" t="s">
        <v>13</v>
      </c>
      <c r="B560" s="1" t="s">
        <v>7</v>
      </c>
      <c r="C560" s="1">
        <v>39</v>
      </c>
      <c r="D560" s="1">
        <v>364</v>
      </c>
      <c r="E560" s="1" t="s">
        <v>14</v>
      </c>
      <c r="F560" s="6" t="s">
        <v>15</v>
      </c>
    </row>
    <row r="561" spans="1:6" x14ac:dyDescent="0.35">
      <c r="A561" s="5" t="s">
        <v>13</v>
      </c>
      <c r="B561" s="1" t="s">
        <v>7</v>
      </c>
      <c r="C561" s="1">
        <v>40</v>
      </c>
      <c r="D561" s="1">
        <v>713</v>
      </c>
      <c r="E561" s="1" t="s">
        <v>14</v>
      </c>
      <c r="F561" s="6" t="s">
        <v>15</v>
      </c>
    </row>
    <row r="562" spans="1:6" x14ac:dyDescent="0.35">
      <c r="A562" s="5" t="s">
        <v>13</v>
      </c>
      <c r="B562" s="1" t="s">
        <v>7</v>
      </c>
      <c r="C562" s="1">
        <v>41</v>
      </c>
      <c r="D562" s="1">
        <v>397</v>
      </c>
      <c r="E562" s="1" t="s">
        <v>14</v>
      </c>
      <c r="F562" s="6" t="s">
        <v>15</v>
      </c>
    </row>
    <row r="563" spans="1:6" x14ac:dyDescent="0.35">
      <c r="A563" s="5" t="s">
        <v>13</v>
      </c>
      <c r="B563" s="1" t="s">
        <v>7</v>
      </c>
      <c r="C563" s="1">
        <v>42</v>
      </c>
      <c r="D563" s="1">
        <v>806</v>
      </c>
      <c r="E563" s="1" t="s">
        <v>14</v>
      </c>
      <c r="F563" s="6" t="s">
        <v>15</v>
      </c>
    </row>
    <row r="564" spans="1:6" x14ac:dyDescent="0.35">
      <c r="A564" s="5" t="s">
        <v>13</v>
      </c>
      <c r="B564" s="1" t="s">
        <v>7</v>
      </c>
      <c r="C564" s="1">
        <v>43</v>
      </c>
      <c r="D564" s="1">
        <v>163</v>
      </c>
      <c r="E564" s="1" t="s">
        <v>14</v>
      </c>
      <c r="F564" s="6" t="s">
        <v>15</v>
      </c>
    </row>
    <row r="565" spans="1:6" x14ac:dyDescent="0.35">
      <c r="A565" s="5" t="s">
        <v>13</v>
      </c>
      <c r="B565" s="1" t="s">
        <v>7</v>
      </c>
      <c r="C565" s="1">
        <v>44</v>
      </c>
      <c r="D565" s="1">
        <v>619</v>
      </c>
      <c r="E565" s="1" t="s">
        <v>14</v>
      </c>
      <c r="F565" s="6" t="s">
        <v>15</v>
      </c>
    </row>
    <row r="566" spans="1:6" x14ac:dyDescent="0.35">
      <c r="A566" s="5" t="s">
        <v>13</v>
      </c>
      <c r="B566" s="1" t="s">
        <v>7</v>
      </c>
      <c r="C566" s="1">
        <v>45</v>
      </c>
      <c r="D566" s="1">
        <v>292</v>
      </c>
      <c r="E566" s="1" t="s">
        <v>14</v>
      </c>
      <c r="F566" s="6" t="s">
        <v>15</v>
      </c>
    </row>
    <row r="567" spans="1:6" x14ac:dyDescent="0.35">
      <c r="A567" s="5" t="s">
        <v>13</v>
      </c>
      <c r="B567" s="1" t="s">
        <v>7</v>
      </c>
      <c r="C567" s="1">
        <v>46</v>
      </c>
      <c r="D567" s="1">
        <v>572</v>
      </c>
      <c r="E567" s="1" t="s">
        <v>14</v>
      </c>
      <c r="F567" s="6" t="s">
        <v>15</v>
      </c>
    </row>
    <row r="568" spans="1:6" x14ac:dyDescent="0.35">
      <c r="A568" s="5" t="s">
        <v>13</v>
      </c>
      <c r="B568" s="1" t="s">
        <v>7</v>
      </c>
      <c r="C568" s="1">
        <v>47</v>
      </c>
      <c r="D568" s="1">
        <v>224</v>
      </c>
      <c r="E568" s="1" t="s">
        <v>14</v>
      </c>
      <c r="F568" s="6" t="s">
        <v>15</v>
      </c>
    </row>
    <row r="569" spans="1:6" x14ac:dyDescent="0.35">
      <c r="A569" s="5" t="s">
        <v>13</v>
      </c>
      <c r="B569" s="1" t="s">
        <v>7</v>
      </c>
      <c r="C569" s="1">
        <v>48</v>
      </c>
      <c r="D569" s="1">
        <v>385</v>
      </c>
      <c r="E569" s="1" t="s">
        <v>14</v>
      </c>
      <c r="F569" s="6" t="s">
        <v>15</v>
      </c>
    </row>
    <row r="570" spans="1:6" x14ac:dyDescent="0.35">
      <c r="A570" s="5" t="s">
        <v>13</v>
      </c>
      <c r="B570" s="1" t="s">
        <v>7</v>
      </c>
      <c r="C570" s="1">
        <v>49</v>
      </c>
      <c r="D570" s="1">
        <v>732</v>
      </c>
      <c r="E570" s="1" t="s">
        <v>14</v>
      </c>
      <c r="F570" s="6" t="s">
        <v>15</v>
      </c>
    </row>
    <row r="571" spans="1:6" x14ac:dyDescent="0.35">
      <c r="A571" s="5" t="s">
        <v>13</v>
      </c>
      <c r="B571" s="1" t="s">
        <v>7</v>
      </c>
      <c r="C571" s="1">
        <v>50</v>
      </c>
      <c r="D571" s="1">
        <v>778</v>
      </c>
      <c r="E571" s="1" t="s">
        <v>14</v>
      </c>
      <c r="F571" s="6" t="s">
        <v>15</v>
      </c>
    </row>
    <row r="572" spans="1:6" x14ac:dyDescent="0.35">
      <c r="A572" s="5" t="s">
        <v>13</v>
      </c>
      <c r="B572" s="1" t="s">
        <v>7</v>
      </c>
      <c r="C572" s="1">
        <v>51</v>
      </c>
      <c r="D572" s="1">
        <v>385</v>
      </c>
      <c r="E572" s="1" t="s">
        <v>14</v>
      </c>
      <c r="F572" s="6" t="s">
        <v>15</v>
      </c>
    </row>
    <row r="573" spans="1:6" x14ac:dyDescent="0.35">
      <c r="A573" s="5" t="s">
        <v>13</v>
      </c>
      <c r="B573" s="1" t="s">
        <v>7</v>
      </c>
      <c r="C573" s="1">
        <v>52</v>
      </c>
      <c r="D573" s="1">
        <v>632</v>
      </c>
      <c r="E573" s="1" t="s">
        <v>14</v>
      </c>
      <c r="F573" s="6" t="s">
        <v>15</v>
      </c>
    </row>
    <row r="574" spans="1:6" x14ac:dyDescent="0.35">
      <c r="A574" s="5" t="s">
        <v>6</v>
      </c>
      <c r="B574" s="1" t="s">
        <v>45</v>
      </c>
      <c r="C574" s="1">
        <v>1</v>
      </c>
      <c r="D574" s="1">
        <v>323</v>
      </c>
      <c r="E574" s="1" t="s">
        <v>14</v>
      </c>
      <c r="F574" s="6" t="s">
        <v>15</v>
      </c>
    </row>
    <row r="575" spans="1:6" x14ac:dyDescent="0.35">
      <c r="A575" s="5" t="s">
        <v>6</v>
      </c>
      <c r="B575" s="1" t="s">
        <v>45</v>
      </c>
      <c r="C575" s="1">
        <v>2</v>
      </c>
      <c r="D575" s="1">
        <v>317</v>
      </c>
      <c r="E575" s="1" t="s">
        <v>14</v>
      </c>
      <c r="F575" s="6" t="s">
        <v>15</v>
      </c>
    </row>
    <row r="576" spans="1:6" x14ac:dyDescent="0.35">
      <c r="A576" s="5" t="s">
        <v>6</v>
      </c>
      <c r="B576" s="1" t="s">
        <v>45</v>
      </c>
      <c r="C576" s="1">
        <v>3</v>
      </c>
      <c r="D576" s="1">
        <v>400</v>
      </c>
      <c r="E576" s="1" t="s">
        <v>14</v>
      </c>
      <c r="F576" s="6" t="s">
        <v>15</v>
      </c>
    </row>
    <row r="577" spans="1:6" x14ac:dyDescent="0.35">
      <c r="A577" s="5" t="s">
        <v>6</v>
      </c>
      <c r="B577" s="1" t="s">
        <v>45</v>
      </c>
      <c r="C577" s="1">
        <v>4</v>
      </c>
      <c r="D577" s="1">
        <v>440</v>
      </c>
      <c r="E577" s="1" t="s">
        <v>14</v>
      </c>
      <c r="F577" s="6" t="s">
        <v>15</v>
      </c>
    </row>
    <row r="578" spans="1:6" x14ac:dyDescent="0.35">
      <c r="A578" s="5" t="s">
        <v>6</v>
      </c>
      <c r="B578" s="1" t="s">
        <v>45</v>
      </c>
      <c r="C578" s="1">
        <v>5</v>
      </c>
      <c r="D578" s="1">
        <v>267</v>
      </c>
      <c r="E578" s="1" t="s">
        <v>14</v>
      </c>
      <c r="F578" s="6" t="s">
        <v>15</v>
      </c>
    </row>
    <row r="579" spans="1:6" x14ac:dyDescent="0.35">
      <c r="A579" s="5" t="s">
        <v>6</v>
      </c>
      <c r="B579" s="1" t="s">
        <v>45</v>
      </c>
      <c r="C579" s="1">
        <v>6</v>
      </c>
      <c r="D579" s="1">
        <v>328</v>
      </c>
      <c r="E579" s="1" t="s">
        <v>14</v>
      </c>
      <c r="F579" s="6" t="s">
        <v>15</v>
      </c>
    </row>
    <row r="580" spans="1:6" x14ac:dyDescent="0.35">
      <c r="A580" s="5" t="s">
        <v>6</v>
      </c>
      <c r="B580" s="1" t="s">
        <v>45</v>
      </c>
      <c r="C580" s="1">
        <v>7</v>
      </c>
      <c r="D580" s="1">
        <v>463</v>
      </c>
      <c r="E580" s="1" t="s">
        <v>14</v>
      </c>
      <c r="F580" s="6" t="s">
        <v>15</v>
      </c>
    </row>
    <row r="581" spans="1:6" x14ac:dyDescent="0.35">
      <c r="A581" s="5" t="s">
        <v>6</v>
      </c>
      <c r="B581" s="1" t="s">
        <v>45</v>
      </c>
      <c r="C581" s="1">
        <v>8</v>
      </c>
      <c r="D581" s="1">
        <v>519</v>
      </c>
      <c r="E581" s="1" t="s">
        <v>14</v>
      </c>
      <c r="F581" s="6" t="s">
        <v>15</v>
      </c>
    </row>
    <row r="582" spans="1:6" x14ac:dyDescent="0.35">
      <c r="A582" s="5" t="s">
        <v>6</v>
      </c>
      <c r="B582" s="1" t="s">
        <v>45</v>
      </c>
      <c r="C582" s="1">
        <v>9</v>
      </c>
      <c r="D582" s="1">
        <v>578</v>
      </c>
      <c r="E582" s="1" t="s">
        <v>14</v>
      </c>
      <c r="F582" s="6" t="s">
        <v>15</v>
      </c>
    </row>
    <row r="583" spans="1:6" x14ac:dyDescent="0.35">
      <c r="A583" s="5" t="s">
        <v>6</v>
      </c>
      <c r="B583" s="1" t="s">
        <v>45</v>
      </c>
      <c r="C583" s="1">
        <v>10</v>
      </c>
      <c r="D583" s="1">
        <v>306</v>
      </c>
      <c r="E583" s="1" t="s">
        <v>14</v>
      </c>
      <c r="F583" s="6" t="s">
        <v>15</v>
      </c>
    </row>
    <row r="584" spans="1:6" x14ac:dyDescent="0.35">
      <c r="A584" s="5" t="s">
        <v>6</v>
      </c>
      <c r="B584" s="1" t="s">
        <v>45</v>
      </c>
      <c r="C584" s="1">
        <v>11</v>
      </c>
      <c r="D584" s="1">
        <v>496</v>
      </c>
      <c r="E584" s="1" t="s">
        <v>14</v>
      </c>
      <c r="F584" s="6" t="s">
        <v>15</v>
      </c>
    </row>
    <row r="585" spans="1:6" x14ac:dyDescent="0.35">
      <c r="A585" s="5" t="s">
        <v>6</v>
      </c>
      <c r="B585" s="1" t="s">
        <v>45</v>
      </c>
      <c r="C585" s="1">
        <v>12</v>
      </c>
      <c r="D585" s="1">
        <v>397</v>
      </c>
      <c r="E585" s="1" t="s">
        <v>14</v>
      </c>
      <c r="F585" s="6" t="s">
        <v>15</v>
      </c>
    </row>
    <row r="586" spans="1:6" x14ac:dyDescent="0.35">
      <c r="A586" s="5" t="s">
        <v>6</v>
      </c>
      <c r="B586" s="1" t="s">
        <v>45</v>
      </c>
      <c r="C586" s="1">
        <v>13</v>
      </c>
      <c r="D586" s="1">
        <v>333</v>
      </c>
      <c r="E586" s="1" t="s">
        <v>14</v>
      </c>
      <c r="F586" s="6" t="s">
        <v>15</v>
      </c>
    </row>
    <row r="587" spans="1:6" x14ac:dyDescent="0.35">
      <c r="A587" s="5" t="s">
        <v>6</v>
      </c>
      <c r="B587" s="1" t="s">
        <v>45</v>
      </c>
      <c r="C587" s="1">
        <v>14</v>
      </c>
      <c r="D587" s="1">
        <v>486</v>
      </c>
      <c r="E587" s="1" t="s">
        <v>14</v>
      </c>
      <c r="F587" s="6" t="s">
        <v>15</v>
      </c>
    </row>
    <row r="588" spans="1:6" x14ac:dyDescent="0.35">
      <c r="A588" s="5" t="s">
        <v>6</v>
      </c>
      <c r="B588" s="1" t="s">
        <v>45</v>
      </c>
      <c r="C588" s="1">
        <v>15</v>
      </c>
      <c r="D588" s="1">
        <v>101</v>
      </c>
      <c r="E588" s="1" t="s">
        <v>14</v>
      </c>
      <c r="F588" s="6" t="s">
        <v>15</v>
      </c>
    </row>
    <row r="589" spans="1:6" x14ac:dyDescent="0.35">
      <c r="A589" s="5" t="s">
        <v>6</v>
      </c>
      <c r="B589" s="1" t="s">
        <v>45</v>
      </c>
      <c r="C589" s="1">
        <v>16</v>
      </c>
      <c r="D589" s="1">
        <v>219</v>
      </c>
      <c r="E589" s="1" t="s">
        <v>14</v>
      </c>
      <c r="F589" s="6" t="s">
        <v>15</v>
      </c>
    </row>
    <row r="590" spans="1:6" x14ac:dyDescent="0.35">
      <c r="A590" s="5" t="s">
        <v>6</v>
      </c>
      <c r="B590" s="1" t="s">
        <v>45</v>
      </c>
      <c r="C590" s="1">
        <v>17</v>
      </c>
      <c r="D590" s="1">
        <v>221</v>
      </c>
      <c r="E590" s="1" t="s">
        <v>14</v>
      </c>
      <c r="F590" s="6" t="s">
        <v>15</v>
      </c>
    </row>
    <row r="591" spans="1:6" x14ac:dyDescent="0.35">
      <c r="A591" s="5" t="s">
        <v>6</v>
      </c>
      <c r="B591" s="1" t="s">
        <v>45</v>
      </c>
      <c r="C591" s="1">
        <v>18</v>
      </c>
      <c r="D591" s="1">
        <v>581</v>
      </c>
      <c r="E591" s="1" t="s">
        <v>14</v>
      </c>
      <c r="F591" s="6" t="s">
        <v>15</v>
      </c>
    </row>
    <row r="592" spans="1:6" x14ac:dyDescent="0.35">
      <c r="A592" s="5" t="s">
        <v>6</v>
      </c>
      <c r="B592" s="1" t="s">
        <v>45</v>
      </c>
      <c r="C592" s="1">
        <v>19</v>
      </c>
      <c r="D592" s="1">
        <v>690</v>
      </c>
      <c r="E592" s="1" t="s">
        <v>14</v>
      </c>
      <c r="F592" s="6" t="s">
        <v>15</v>
      </c>
    </row>
    <row r="593" spans="1:6" x14ac:dyDescent="0.35">
      <c r="A593" s="5" t="s">
        <v>6</v>
      </c>
      <c r="B593" s="1" t="s">
        <v>45</v>
      </c>
      <c r="C593" s="1">
        <v>20</v>
      </c>
      <c r="D593" s="1">
        <v>420</v>
      </c>
      <c r="E593" s="1" t="s">
        <v>14</v>
      </c>
      <c r="F593" s="6" t="s">
        <v>15</v>
      </c>
    </row>
    <row r="594" spans="1:6" x14ac:dyDescent="0.35">
      <c r="A594" s="5" t="s">
        <v>6</v>
      </c>
      <c r="B594" s="1" t="s">
        <v>45</v>
      </c>
      <c r="C594" s="1">
        <v>21</v>
      </c>
      <c r="D594" s="1">
        <v>603</v>
      </c>
      <c r="E594" s="1" t="s">
        <v>14</v>
      </c>
      <c r="F594" s="6" t="s">
        <v>15</v>
      </c>
    </row>
    <row r="595" spans="1:6" x14ac:dyDescent="0.35">
      <c r="A595" s="5" t="s">
        <v>6</v>
      </c>
      <c r="B595" s="1" t="s">
        <v>45</v>
      </c>
      <c r="C595" s="1">
        <v>22</v>
      </c>
      <c r="D595" s="1">
        <v>535</v>
      </c>
      <c r="E595" s="1" t="s">
        <v>14</v>
      </c>
      <c r="F595" s="6" t="s">
        <v>15</v>
      </c>
    </row>
    <row r="596" spans="1:6" x14ac:dyDescent="0.35">
      <c r="A596" s="5" t="s">
        <v>6</v>
      </c>
      <c r="B596" s="1" t="s">
        <v>45</v>
      </c>
      <c r="C596" s="1">
        <v>23</v>
      </c>
      <c r="D596" s="1">
        <v>209</v>
      </c>
      <c r="E596" s="1" t="s">
        <v>14</v>
      </c>
      <c r="F596" s="6" t="s">
        <v>15</v>
      </c>
    </row>
    <row r="597" spans="1:6" x14ac:dyDescent="0.35">
      <c r="A597" s="5" t="s">
        <v>6</v>
      </c>
      <c r="B597" s="1" t="s">
        <v>45</v>
      </c>
      <c r="C597" s="1">
        <v>24</v>
      </c>
      <c r="D597" s="1">
        <v>614</v>
      </c>
      <c r="E597" s="1" t="s">
        <v>14</v>
      </c>
      <c r="F597" s="6" t="s">
        <v>15</v>
      </c>
    </row>
    <row r="598" spans="1:6" x14ac:dyDescent="0.35">
      <c r="A598" s="5" t="s">
        <v>6</v>
      </c>
      <c r="B598" s="1" t="s">
        <v>45</v>
      </c>
      <c r="C598" s="1">
        <v>25</v>
      </c>
      <c r="D598" s="1">
        <v>765</v>
      </c>
      <c r="E598" s="1" t="s">
        <v>14</v>
      </c>
      <c r="F598" s="6" t="s">
        <v>15</v>
      </c>
    </row>
    <row r="599" spans="1:6" x14ac:dyDescent="0.35">
      <c r="A599" s="5" t="s">
        <v>6</v>
      </c>
      <c r="B599" s="1" t="s">
        <v>45</v>
      </c>
      <c r="C599" s="1">
        <v>26</v>
      </c>
      <c r="D599" s="1">
        <v>152</v>
      </c>
      <c r="E599" s="1" t="s">
        <v>14</v>
      </c>
      <c r="F599" s="6" t="s">
        <v>15</v>
      </c>
    </row>
    <row r="600" spans="1:6" x14ac:dyDescent="0.35">
      <c r="A600" s="5" t="s">
        <v>6</v>
      </c>
      <c r="B600" s="1" t="s">
        <v>45</v>
      </c>
      <c r="C600" s="1">
        <v>27</v>
      </c>
      <c r="D600" s="1">
        <v>380</v>
      </c>
      <c r="E600" s="1" t="s">
        <v>14</v>
      </c>
      <c r="F600" s="6" t="s">
        <v>15</v>
      </c>
    </row>
    <row r="601" spans="1:6" x14ac:dyDescent="0.35">
      <c r="A601" s="5" t="s">
        <v>6</v>
      </c>
      <c r="B601" s="1" t="s">
        <v>45</v>
      </c>
      <c r="C601" s="1">
        <v>28</v>
      </c>
      <c r="D601" s="1">
        <v>288</v>
      </c>
      <c r="E601" s="1" t="s">
        <v>14</v>
      </c>
      <c r="F601" s="6" t="s">
        <v>15</v>
      </c>
    </row>
    <row r="602" spans="1:6" x14ac:dyDescent="0.35">
      <c r="A602" s="5" t="s">
        <v>6</v>
      </c>
      <c r="B602" s="1" t="s">
        <v>45</v>
      </c>
      <c r="C602" s="1">
        <v>29</v>
      </c>
      <c r="D602" s="1">
        <v>402</v>
      </c>
      <c r="E602" s="1" t="s">
        <v>14</v>
      </c>
      <c r="F602" s="6" t="s">
        <v>15</v>
      </c>
    </row>
    <row r="603" spans="1:6" x14ac:dyDescent="0.35">
      <c r="A603" s="5" t="s">
        <v>6</v>
      </c>
      <c r="B603" s="1" t="s">
        <v>45</v>
      </c>
      <c r="C603" s="1">
        <v>30</v>
      </c>
      <c r="D603" s="1">
        <v>462</v>
      </c>
      <c r="E603" s="1" t="s">
        <v>14</v>
      </c>
      <c r="F603" s="6" t="s">
        <v>15</v>
      </c>
    </row>
    <row r="604" spans="1:6" x14ac:dyDescent="0.35">
      <c r="A604" s="5" t="s">
        <v>6</v>
      </c>
      <c r="B604" s="1" t="s">
        <v>45</v>
      </c>
      <c r="C604" s="1">
        <v>31</v>
      </c>
      <c r="D604" s="1">
        <v>709</v>
      </c>
      <c r="E604" s="1" t="s">
        <v>14</v>
      </c>
      <c r="F604" s="6" t="s">
        <v>15</v>
      </c>
    </row>
    <row r="605" spans="1:6" x14ac:dyDescent="0.35">
      <c r="A605" s="5" t="s">
        <v>6</v>
      </c>
      <c r="B605" s="1" t="s">
        <v>45</v>
      </c>
      <c r="C605" s="1">
        <v>32</v>
      </c>
      <c r="D605" s="1">
        <v>260</v>
      </c>
      <c r="E605" s="1" t="s">
        <v>14</v>
      </c>
      <c r="F605" s="6" t="s">
        <v>15</v>
      </c>
    </row>
    <row r="606" spans="1:6" x14ac:dyDescent="0.35">
      <c r="A606" s="5" t="s">
        <v>6</v>
      </c>
      <c r="B606" s="1" t="s">
        <v>45</v>
      </c>
      <c r="C606" s="1">
        <v>33</v>
      </c>
      <c r="D606" s="1">
        <v>166</v>
      </c>
      <c r="E606" s="1" t="s">
        <v>14</v>
      </c>
      <c r="F606" s="6" t="s">
        <v>15</v>
      </c>
    </row>
    <row r="607" spans="1:6" x14ac:dyDescent="0.35">
      <c r="A607" s="5" t="s">
        <v>6</v>
      </c>
      <c r="B607" s="1" t="s">
        <v>45</v>
      </c>
      <c r="C607" s="1">
        <v>34</v>
      </c>
      <c r="D607" s="1">
        <v>1113</v>
      </c>
      <c r="E607" s="1" t="s">
        <v>14</v>
      </c>
      <c r="F607" s="6" t="s">
        <v>15</v>
      </c>
    </row>
    <row r="608" spans="1:6" x14ac:dyDescent="0.35">
      <c r="A608" s="5" t="s">
        <v>6</v>
      </c>
      <c r="B608" s="1" t="s">
        <v>45</v>
      </c>
      <c r="C608" s="1">
        <v>35</v>
      </c>
      <c r="D608" s="1">
        <v>594</v>
      </c>
      <c r="E608" s="1" t="s">
        <v>14</v>
      </c>
      <c r="F608" s="6" t="s">
        <v>15</v>
      </c>
    </row>
    <row r="609" spans="1:6" x14ac:dyDescent="0.35">
      <c r="A609" s="5" t="s">
        <v>6</v>
      </c>
      <c r="B609" s="1" t="s">
        <v>45</v>
      </c>
      <c r="C609" s="1">
        <v>36</v>
      </c>
      <c r="D609" s="1">
        <v>284</v>
      </c>
      <c r="E609" s="1" t="s">
        <v>14</v>
      </c>
      <c r="F609" s="6" t="s">
        <v>15</v>
      </c>
    </row>
    <row r="610" spans="1:6" x14ac:dyDescent="0.35">
      <c r="A610" s="5" t="s">
        <v>6</v>
      </c>
      <c r="B610" s="1" t="s">
        <v>45</v>
      </c>
      <c r="C610" s="1">
        <v>37</v>
      </c>
      <c r="D610" s="1">
        <v>467</v>
      </c>
      <c r="E610" s="1" t="s">
        <v>14</v>
      </c>
      <c r="F610" s="6" t="s">
        <v>15</v>
      </c>
    </row>
    <row r="611" spans="1:6" x14ac:dyDescent="0.35">
      <c r="A611" s="5" t="s">
        <v>6</v>
      </c>
      <c r="B611" s="1" t="s">
        <v>45</v>
      </c>
      <c r="C611" s="1">
        <v>38</v>
      </c>
      <c r="D611" s="1">
        <v>949</v>
      </c>
      <c r="E611" s="1" t="s">
        <v>14</v>
      </c>
      <c r="F611" s="6" t="s">
        <v>15</v>
      </c>
    </row>
    <row r="612" spans="1:6" x14ac:dyDescent="0.35">
      <c r="A612" s="5" t="s">
        <v>6</v>
      </c>
      <c r="B612" s="1" t="s">
        <v>45</v>
      </c>
      <c r="C612" s="1">
        <v>39</v>
      </c>
      <c r="D612" s="1">
        <v>508</v>
      </c>
      <c r="E612" s="1" t="s">
        <v>14</v>
      </c>
      <c r="F612" s="6" t="s">
        <v>15</v>
      </c>
    </row>
    <row r="613" spans="1:6" x14ac:dyDescent="0.35">
      <c r="A613" s="5" t="s">
        <v>6</v>
      </c>
      <c r="B613" s="1" t="s">
        <v>45</v>
      </c>
      <c r="C613" s="1">
        <v>40</v>
      </c>
      <c r="D613" s="1">
        <v>189</v>
      </c>
      <c r="E613" s="1" t="s">
        <v>14</v>
      </c>
      <c r="F613" s="6" t="s">
        <v>15</v>
      </c>
    </row>
    <row r="614" spans="1:6" x14ac:dyDescent="0.35">
      <c r="A614" s="5" t="s">
        <v>6</v>
      </c>
      <c r="B614" s="1" t="s">
        <v>45</v>
      </c>
      <c r="C614" s="1">
        <v>41</v>
      </c>
      <c r="D614" s="1">
        <v>452</v>
      </c>
      <c r="E614" s="1" t="s">
        <v>14</v>
      </c>
      <c r="F614" s="6" t="s">
        <v>15</v>
      </c>
    </row>
    <row r="615" spans="1:6" x14ac:dyDescent="0.35">
      <c r="A615" s="5" t="s">
        <v>6</v>
      </c>
      <c r="B615" s="1" t="s">
        <v>45</v>
      </c>
      <c r="C615" s="1">
        <v>42</v>
      </c>
      <c r="D615" s="1">
        <v>275</v>
      </c>
      <c r="E615" s="1" t="s">
        <v>14</v>
      </c>
      <c r="F615" s="6" t="s">
        <v>15</v>
      </c>
    </row>
    <row r="616" spans="1:6" x14ac:dyDescent="0.35">
      <c r="A616" s="5" t="s">
        <v>6</v>
      </c>
      <c r="B616" s="1" t="s">
        <v>45</v>
      </c>
      <c r="C616" s="1">
        <v>43</v>
      </c>
      <c r="D616" s="1">
        <v>519</v>
      </c>
      <c r="E616" s="1" t="s">
        <v>14</v>
      </c>
      <c r="F616" s="6" t="s">
        <v>15</v>
      </c>
    </row>
    <row r="617" spans="1:6" x14ac:dyDescent="0.35">
      <c r="A617" s="5" t="s">
        <v>6</v>
      </c>
      <c r="B617" s="1" t="s">
        <v>45</v>
      </c>
      <c r="C617" s="1">
        <v>44</v>
      </c>
      <c r="D617" s="1">
        <v>306</v>
      </c>
      <c r="E617" s="1" t="s">
        <v>14</v>
      </c>
      <c r="F617" s="6" t="s">
        <v>15</v>
      </c>
    </row>
    <row r="618" spans="1:6" x14ac:dyDescent="0.35">
      <c r="A618" s="5" t="s">
        <v>6</v>
      </c>
      <c r="B618" s="1" t="s">
        <v>45</v>
      </c>
      <c r="C618" s="1">
        <v>45</v>
      </c>
      <c r="D618" s="1">
        <v>844</v>
      </c>
      <c r="E618" s="1" t="s">
        <v>14</v>
      </c>
      <c r="F618" s="6" t="s">
        <v>15</v>
      </c>
    </row>
    <row r="619" spans="1:6" x14ac:dyDescent="0.35">
      <c r="A619" s="5" t="s">
        <v>6</v>
      </c>
      <c r="B619" s="1" t="s">
        <v>45</v>
      </c>
      <c r="C619" s="1">
        <v>46</v>
      </c>
      <c r="D619" s="1">
        <v>209</v>
      </c>
      <c r="E619" s="1" t="s">
        <v>14</v>
      </c>
      <c r="F619" s="6" t="s">
        <v>15</v>
      </c>
    </row>
    <row r="620" spans="1:6" x14ac:dyDescent="0.35">
      <c r="A620" s="5" t="s">
        <v>6</v>
      </c>
      <c r="B620" s="1" t="s">
        <v>45</v>
      </c>
      <c r="C620" s="1">
        <v>47</v>
      </c>
      <c r="D620" s="1">
        <v>817</v>
      </c>
      <c r="E620" s="1" t="s">
        <v>14</v>
      </c>
      <c r="F620" s="6" t="s">
        <v>15</v>
      </c>
    </row>
    <row r="621" spans="1:6" x14ac:dyDescent="0.35">
      <c r="A621" s="5" t="s">
        <v>6</v>
      </c>
      <c r="B621" s="1" t="s">
        <v>45</v>
      </c>
      <c r="C621" s="1">
        <v>48</v>
      </c>
      <c r="D621" s="1">
        <v>155</v>
      </c>
      <c r="E621" s="1" t="s">
        <v>14</v>
      </c>
      <c r="F621" s="6" t="s">
        <v>15</v>
      </c>
    </row>
    <row r="622" spans="1:6" x14ac:dyDescent="0.35">
      <c r="A622" s="5" t="s">
        <v>6</v>
      </c>
      <c r="B622" s="1" t="s">
        <v>45</v>
      </c>
      <c r="C622" s="1">
        <v>49</v>
      </c>
      <c r="D622" s="1">
        <v>128</v>
      </c>
      <c r="E622" s="1" t="s">
        <v>14</v>
      </c>
      <c r="F622" s="6" t="s">
        <v>15</v>
      </c>
    </row>
    <row r="623" spans="1:6" x14ac:dyDescent="0.35">
      <c r="A623" s="5" t="s">
        <v>6</v>
      </c>
      <c r="B623" s="1" t="s">
        <v>45</v>
      </c>
      <c r="C623" s="1">
        <v>50</v>
      </c>
      <c r="D623" s="1">
        <v>289</v>
      </c>
      <c r="E623" s="1" t="s">
        <v>14</v>
      </c>
      <c r="F623" s="6" t="s">
        <v>15</v>
      </c>
    </row>
    <row r="624" spans="1:6" x14ac:dyDescent="0.35">
      <c r="A624" s="5" t="s">
        <v>6</v>
      </c>
      <c r="B624" s="1" t="s">
        <v>45</v>
      </c>
      <c r="C624" s="1">
        <v>51</v>
      </c>
      <c r="D624" s="1">
        <v>227</v>
      </c>
      <c r="E624" s="1" t="s">
        <v>14</v>
      </c>
      <c r="F624" s="6" t="s">
        <v>15</v>
      </c>
    </row>
    <row r="625" spans="1:6" x14ac:dyDescent="0.35">
      <c r="A625" s="5" t="s">
        <v>6</v>
      </c>
      <c r="B625" s="1" t="s">
        <v>45</v>
      </c>
      <c r="C625" s="1">
        <v>52</v>
      </c>
      <c r="D625" s="1">
        <v>666</v>
      </c>
      <c r="E625" s="1" t="s">
        <v>14</v>
      </c>
      <c r="F625" s="6" t="s">
        <v>15</v>
      </c>
    </row>
    <row r="626" spans="1:6" x14ac:dyDescent="0.35">
      <c r="A626" s="5" t="s">
        <v>19</v>
      </c>
      <c r="B626" s="1" t="s">
        <v>7</v>
      </c>
      <c r="C626" s="1">
        <v>1</v>
      </c>
      <c r="D626" s="1">
        <v>265</v>
      </c>
      <c r="E626" s="1" t="s">
        <v>20</v>
      </c>
      <c r="F626" s="6" t="s">
        <v>21</v>
      </c>
    </row>
    <row r="627" spans="1:6" x14ac:dyDescent="0.35">
      <c r="A627" s="5" t="s">
        <v>19</v>
      </c>
      <c r="B627" s="1" t="s">
        <v>7</v>
      </c>
      <c r="C627" s="1">
        <v>2</v>
      </c>
      <c r="D627" s="1">
        <v>59</v>
      </c>
      <c r="E627" s="1" t="s">
        <v>20</v>
      </c>
      <c r="F627" s="6" t="s">
        <v>21</v>
      </c>
    </row>
    <row r="628" spans="1:6" x14ac:dyDescent="0.35">
      <c r="A628" s="5" t="s">
        <v>19</v>
      </c>
      <c r="B628" s="1" t="s">
        <v>7</v>
      </c>
      <c r="C628" s="1">
        <v>3</v>
      </c>
      <c r="D628" s="1">
        <v>229</v>
      </c>
      <c r="E628" s="1" t="s">
        <v>20</v>
      </c>
      <c r="F628" s="6" t="s">
        <v>21</v>
      </c>
    </row>
    <row r="629" spans="1:6" x14ac:dyDescent="0.35">
      <c r="A629" s="5" t="s">
        <v>19</v>
      </c>
      <c r="B629" s="1" t="s">
        <v>7</v>
      </c>
      <c r="C629" s="1">
        <v>4</v>
      </c>
      <c r="D629" s="1">
        <v>299</v>
      </c>
      <c r="E629" s="1" t="s">
        <v>20</v>
      </c>
      <c r="F629" s="6" t="s">
        <v>21</v>
      </c>
    </row>
    <row r="630" spans="1:6" x14ac:dyDescent="0.35">
      <c r="A630" s="5" t="s">
        <v>19</v>
      </c>
      <c r="B630" s="1" t="s">
        <v>7</v>
      </c>
      <c r="C630" s="1">
        <v>5</v>
      </c>
      <c r="D630" s="1">
        <v>201</v>
      </c>
      <c r="E630" s="1" t="s">
        <v>20</v>
      </c>
      <c r="F630" s="6" t="s">
        <v>21</v>
      </c>
    </row>
    <row r="631" spans="1:6" x14ac:dyDescent="0.35">
      <c r="A631" s="5" t="s">
        <v>19</v>
      </c>
      <c r="B631" s="1" t="s">
        <v>7</v>
      </c>
      <c r="C631" s="1">
        <v>6</v>
      </c>
      <c r="D631" s="1">
        <v>291</v>
      </c>
      <c r="E631" s="1" t="s">
        <v>20</v>
      </c>
      <c r="F631" s="6" t="s">
        <v>21</v>
      </c>
    </row>
    <row r="632" spans="1:6" x14ac:dyDescent="0.35">
      <c r="A632" s="5" t="s">
        <v>19</v>
      </c>
      <c r="B632" s="1" t="s">
        <v>7</v>
      </c>
      <c r="C632" s="1">
        <v>7</v>
      </c>
      <c r="D632" s="1">
        <v>83</v>
      </c>
      <c r="E632" s="1" t="s">
        <v>20</v>
      </c>
      <c r="F632" s="6" t="s">
        <v>21</v>
      </c>
    </row>
    <row r="633" spans="1:6" x14ac:dyDescent="0.35">
      <c r="A633" s="5" t="s">
        <v>19</v>
      </c>
      <c r="B633" s="1" t="s">
        <v>7</v>
      </c>
      <c r="C633" s="1">
        <v>8</v>
      </c>
      <c r="D633" s="1">
        <v>268</v>
      </c>
      <c r="E633" s="1" t="s">
        <v>20</v>
      </c>
      <c r="F633" s="6" t="s">
        <v>21</v>
      </c>
    </row>
    <row r="634" spans="1:6" x14ac:dyDescent="0.35">
      <c r="A634" s="5" t="s">
        <v>19</v>
      </c>
      <c r="B634" s="1" t="s">
        <v>7</v>
      </c>
      <c r="C634" s="1">
        <v>9</v>
      </c>
      <c r="D634" s="1">
        <v>363</v>
      </c>
      <c r="E634" s="1" t="s">
        <v>20</v>
      </c>
      <c r="F634" s="6" t="s">
        <v>21</v>
      </c>
    </row>
    <row r="635" spans="1:6" x14ac:dyDescent="0.35">
      <c r="A635" s="5" t="s">
        <v>19</v>
      </c>
      <c r="B635" s="1" t="s">
        <v>7</v>
      </c>
      <c r="C635" s="1">
        <v>10</v>
      </c>
      <c r="D635" s="1">
        <v>137</v>
      </c>
      <c r="E635" s="1" t="s">
        <v>20</v>
      </c>
      <c r="F635" s="6" t="s">
        <v>21</v>
      </c>
    </row>
    <row r="636" spans="1:6" x14ac:dyDescent="0.35">
      <c r="A636" s="5" t="s">
        <v>19</v>
      </c>
      <c r="B636" s="1" t="s">
        <v>7</v>
      </c>
      <c r="C636" s="1">
        <v>11</v>
      </c>
      <c r="D636" s="1">
        <v>156</v>
      </c>
      <c r="E636" s="1" t="s">
        <v>20</v>
      </c>
      <c r="F636" s="6" t="s">
        <v>21</v>
      </c>
    </row>
    <row r="637" spans="1:6" x14ac:dyDescent="0.35">
      <c r="A637" s="5" t="s">
        <v>19</v>
      </c>
      <c r="B637" s="1" t="s">
        <v>7</v>
      </c>
      <c r="C637" s="1">
        <v>12</v>
      </c>
      <c r="D637" s="1">
        <v>111</v>
      </c>
      <c r="E637" s="1" t="s">
        <v>20</v>
      </c>
      <c r="F637" s="6" t="s">
        <v>21</v>
      </c>
    </row>
    <row r="638" spans="1:6" x14ac:dyDescent="0.35">
      <c r="A638" s="5" t="s">
        <v>19</v>
      </c>
      <c r="B638" s="1" t="s">
        <v>7</v>
      </c>
      <c r="C638" s="1">
        <v>13</v>
      </c>
      <c r="D638" s="1">
        <v>417</v>
      </c>
      <c r="E638" s="1" t="s">
        <v>20</v>
      </c>
      <c r="F638" s="6" t="s">
        <v>21</v>
      </c>
    </row>
    <row r="639" spans="1:6" x14ac:dyDescent="0.35">
      <c r="A639" s="5" t="s">
        <v>19</v>
      </c>
      <c r="B639" s="1" t="s">
        <v>7</v>
      </c>
      <c r="C639" s="1">
        <v>14</v>
      </c>
      <c r="D639" s="1">
        <v>328</v>
      </c>
      <c r="E639" s="1" t="s">
        <v>20</v>
      </c>
      <c r="F639" s="6" t="s">
        <v>21</v>
      </c>
    </row>
    <row r="640" spans="1:6" x14ac:dyDescent="0.35">
      <c r="A640" s="5" t="s">
        <v>19</v>
      </c>
      <c r="B640" s="1" t="s">
        <v>7</v>
      </c>
      <c r="C640" s="1">
        <v>15</v>
      </c>
      <c r="D640" s="1">
        <v>286</v>
      </c>
      <c r="E640" s="1" t="s">
        <v>20</v>
      </c>
      <c r="F640" s="6" t="s">
        <v>21</v>
      </c>
    </row>
    <row r="641" spans="1:6" x14ac:dyDescent="0.35">
      <c r="A641" s="5" t="s">
        <v>19</v>
      </c>
      <c r="B641" s="1" t="s">
        <v>7</v>
      </c>
      <c r="C641" s="1">
        <v>16</v>
      </c>
      <c r="D641" s="1">
        <v>333</v>
      </c>
      <c r="E641" s="1" t="s">
        <v>20</v>
      </c>
      <c r="F641" s="6" t="s">
        <v>21</v>
      </c>
    </row>
    <row r="642" spans="1:6" x14ac:dyDescent="0.35">
      <c r="A642" s="5" t="s">
        <v>19</v>
      </c>
      <c r="B642" s="1" t="s">
        <v>7</v>
      </c>
      <c r="C642" s="1">
        <v>17</v>
      </c>
      <c r="D642" s="1">
        <v>124</v>
      </c>
      <c r="E642" s="1" t="s">
        <v>20</v>
      </c>
      <c r="F642" s="6" t="s">
        <v>21</v>
      </c>
    </row>
    <row r="643" spans="1:6" x14ac:dyDescent="0.35">
      <c r="A643" s="5" t="s">
        <v>19</v>
      </c>
      <c r="B643" s="1" t="s">
        <v>7</v>
      </c>
      <c r="C643" s="1">
        <v>18</v>
      </c>
      <c r="D643" s="1">
        <v>88</v>
      </c>
      <c r="E643" s="1" t="s">
        <v>20</v>
      </c>
      <c r="F643" s="6" t="s">
        <v>21</v>
      </c>
    </row>
    <row r="644" spans="1:6" x14ac:dyDescent="0.35">
      <c r="A644" s="5" t="s">
        <v>19</v>
      </c>
      <c r="B644" s="1" t="s">
        <v>7</v>
      </c>
      <c r="C644" s="1">
        <v>19</v>
      </c>
      <c r="D644" s="1">
        <v>194</v>
      </c>
      <c r="E644" s="1" t="s">
        <v>20</v>
      </c>
      <c r="F644" s="6" t="s">
        <v>21</v>
      </c>
    </row>
    <row r="645" spans="1:6" x14ac:dyDescent="0.35">
      <c r="A645" s="5" t="s">
        <v>19</v>
      </c>
      <c r="B645" s="1" t="s">
        <v>7</v>
      </c>
      <c r="C645" s="1">
        <v>20</v>
      </c>
      <c r="D645" s="1">
        <v>297</v>
      </c>
      <c r="E645" s="1" t="s">
        <v>20</v>
      </c>
      <c r="F645" s="6" t="s">
        <v>21</v>
      </c>
    </row>
    <row r="646" spans="1:6" x14ac:dyDescent="0.35">
      <c r="A646" s="5" t="s">
        <v>19</v>
      </c>
      <c r="B646" s="1" t="s">
        <v>7</v>
      </c>
      <c r="C646" s="1">
        <v>21</v>
      </c>
      <c r="D646" s="1">
        <v>388</v>
      </c>
      <c r="E646" s="1" t="s">
        <v>20</v>
      </c>
      <c r="F646" s="6" t="s">
        <v>21</v>
      </c>
    </row>
    <row r="647" spans="1:6" x14ac:dyDescent="0.35">
      <c r="A647" s="5" t="s">
        <v>19</v>
      </c>
      <c r="B647" s="1" t="s">
        <v>7</v>
      </c>
      <c r="C647" s="1">
        <v>22</v>
      </c>
      <c r="D647" s="1">
        <v>67</v>
      </c>
      <c r="E647" s="1" t="s">
        <v>20</v>
      </c>
      <c r="F647" s="6" t="s">
        <v>21</v>
      </c>
    </row>
    <row r="648" spans="1:6" x14ac:dyDescent="0.35">
      <c r="A648" s="5" t="s">
        <v>19</v>
      </c>
      <c r="B648" s="1" t="s">
        <v>7</v>
      </c>
      <c r="C648" s="1">
        <v>23</v>
      </c>
      <c r="D648" s="1">
        <v>89</v>
      </c>
      <c r="E648" s="1" t="s">
        <v>20</v>
      </c>
      <c r="F648" s="6" t="s">
        <v>21</v>
      </c>
    </row>
    <row r="649" spans="1:6" x14ac:dyDescent="0.35">
      <c r="A649" s="5" t="s">
        <v>19</v>
      </c>
      <c r="B649" s="1" t="s">
        <v>7</v>
      </c>
      <c r="C649" s="1">
        <v>24</v>
      </c>
      <c r="D649" s="1">
        <v>166</v>
      </c>
      <c r="E649" s="1" t="s">
        <v>20</v>
      </c>
      <c r="F649" s="6" t="s">
        <v>21</v>
      </c>
    </row>
    <row r="650" spans="1:6" x14ac:dyDescent="0.35">
      <c r="A650" s="5" t="s">
        <v>19</v>
      </c>
      <c r="B650" s="1" t="s">
        <v>7</v>
      </c>
      <c r="C650" s="1">
        <v>25</v>
      </c>
      <c r="D650" s="1">
        <v>216</v>
      </c>
      <c r="E650" s="1" t="s">
        <v>20</v>
      </c>
      <c r="F650" s="6" t="s">
        <v>21</v>
      </c>
    </row>
    <row r="651" spans="1:6" x14ac:dyDescent="0.35">
      <c r="A651" s="5" t="s">
        <v>19</v>
      </c>
      <c r="B651" s="1" t="s">
        <v>7</v>
      </c>
      <c r="C651" s="1">
        <v>26</v>
      </c>
      <c r="D651" s="1">
        <v>230</v>
      </c>
      <c r="E651" s="1" t="s">
        <v>20</v>
      </c>
      <c r="F651" s="6" t="s">
        <v>21</v>
      </c>
    </row>
    <row r="652" spans="1:6" x14ac:dyDescent="0.35">
      <c r="A652" s="5" t="s">
        <v>19</v>
      </c>
      <c r="B652" s="1" t="s">
        <v>7</v>
      </c>
      <c r="C652" s="1">
        <v>27</v>
      </c>
      <c r="D652" s="1">
        <v>111</v>
      </c>
      <c r="E652" s="1" t="s">
        <v>20</v>
      </c>
      <c r="F652" s="6" t="s">
        <v>21</v>
      </c>
    </row>
    <row r="653" spans="1:6" x14ac:dyDescent="0.35">
      <c r="A653" s="5" t="s">
        <v>19</v>
      </c>
      <c r="B653" s="1" t="s">
        <v>7</v>
      </c>
      <c r="C653" s="1">
        <v>28</v>
      </c>
      <c r="D653" s="1">
        <v>396</v>
      </c>
      <c r="E653" s="1" t="s">
        <v>20</v>
      </c>
      <c r="F653" s="6" t="s">
        <v>21</v>
      </c>
    </row>
    <row r="654" spans="1:6" x14ac:dyDescent="0.35">
      <c r="A654" s="5" t="s">
        <v>19</v>
      </c>
      <c r="B654" s="1" t="s">
        <v>7</v>
      </c>
      <c r="C654" s="1">
        <v>29</v>
      </c>
      <c r="D654" s="1">
        <v>390</v>
      </c>
      <c r="E654" s="1" t="s">
        <v>20</v>
      </c>
      <c r="F654" s="6" t="s">
        <v>21</v>
      </c>
    </row>
    <row r="655" spans="1:6" x14ac:dyDescent="0.35">
      <c r="A655" s="5" t="s">
        <v>19</v>
      </c>
      <c r="B655" s="1" t="s">
        <v>7</v>
      </c>
      <c r="C655" s="1">
        <v>30</v>
      </c>
      <c r="D655" s="1">
        <v>168</v>
      </c>
      <c r="E655" s="1" t="s">
        <v>20</v>
      </c>
      <c r="F655" s="6" t="s">
        <v>21</v>
      </c>
    </row>
    <row r="656" spans="1:6" x14ac:dyDescent="0.35">
      <c r="A656" s="5" t="s">
        <v>19</v>
      </c>
      <c r="B656" s="1" t="s">
        <v>7</v>
      </c>
      <c r="C656" s="1">
        <v>31</v>
      </c>
      <c r="D656" s="1">
        <v>348</v>
      </c>
      <c r="E656" s="1" t="s">
        <v>20</v>
      </c>
      <c r="F656" s="6" t="s">
        <v>21</v>
      </c>
    </row>
    <row r="657" spans="1:6" x14ac:dyDescent="0.35">
      <c r="A657" s="5" t="s">
        <v>19</v>
      </c>
      <c r="B657" s="1" t="s">
        <v>7</v>
      </c>
      <c r="C657" s="1">
        <v>32</v>
      </c>
      <c r="D657" s="1">
        <v>552</v>
      </c>
      <c r="E657" s="1" t="s">
        <v>20</v>
      </c>
      <c r="F657" s="6" t="s">
        <v>21</v>
      </c>
    </row>
    <row r="658" spans="1:6" x14ac:dyDescent="0.35">
      <c r="A658" s="5" t="s">
        <v>19</v>
      </c>
      <c r="B658" s="1" t="s">
        <v>7</v>
      </c>
      <c r="C658" s="1">
        <v>33</v>
      </c>
      <c r="D658" s="1">
        <v>281</v>
      </c>
      <c r="E658" s="1" t="s">
        <v>20</v>
      </c>
      <c r="F658" s="6" t="s">
        <v>21</v>
      </c>
    </row>
    <row r="659" spans="1:6" x14ac:dyDescent="0.35">
      <c r="A659" s="5" t="s">
        <v>19</v>
      </c>
      <c r="B659" s="1" t="s">
        <v>7</v>
      </c>
      <c r="C659" s="1">
        <v>34</v>
      </c>
      <c r="D659" s="1">
        <v>656</v>
      </c>
      <c r="E659" s="1" t="s">
        <v>20</v>
      </c>
      <c r="F659" s="6" t="s">
        <v>21</v>
      </c>
    </row>
    <row r="660" spans="1:6" x14ac:dyDescent="0.35">
      <c r="A660" s="5" t="s">
        <v>19</v>
      </c>
      <c r="B660" s="1" t="s">
        <v>7</v>
      </c>
      <c r="C660" s="1">
        <v>35</v>
      </c>
      <c r="D660" s="1">
        <v>74</v>
      </c>
      <c r="E660" s="1" t="s">
        <v>20</v>
      </c>
      <c r="F660" s="6" t="s">
        <v>21</v>
      </c>
    </row>
    <row r="661" spans="1:6" x14ac:dyDescent="0.35">
      <c r="A661" s="5" t="s">
        <v>19</v>
      </c>
      <c r="B661" s="1" t="s">
        <v>7</v>
      </c>
      <c r="C661" s="1">
        <v>36</v>
      </c>
      <c r="D661" s="1">
        <v>481</v>
      </c>
      <c r="E661" s="1" t="s">
        <v>20</v>
      </c>
      <c r="F661" s="6" t="s">
        <v>21</v>
      </c>
    </row>
    <row r="662" spans="1:6" x14ac:dyDescent="0.35">
      <c r="A662" s="5" t="s">
        <v>19</v>
      </c>
      <c r="B662" s="1" t="s">
        <v>7</v>
      </c>
      <c r="C662" s="1">
        <v>37</v>
      </c>
      <c r="D662" s="1">
        <v>63</v>
      </c>
      <c r="E662" s="1" t="s">
        <v>20</v>
      </c>
      <c r="F662" s="6" t="s">
        <v>21</v>
      </c>
    </row>
    <row r="663" spans="1:6" x14ac:dyDescent="0.35">
      <c r="A663" s="5" t="s">
        <v>19</v>
      </c>
      <c r="B663" s="1" t="s">
        <v>7</v>
      </c>
      <c r="C663" s="1">
        <v>38</v>
      </c>
      <c r="D663" s="1">
        <v>501</v>
      </c>
      <c r="E663" s="1" t="s">
        <v>20</v>
      </c>
      <c r="F663" s="6" t="s">
        <v>21</v>
      </c>
    </row>
    <row r="664" spans="1:6" x14ac:dyDescent="0.35">
      <c r="A664" s="5" t="s">
        <v>19</v>
      </c>
      <c r="B664" s="1" t="s">
        <v>7</v>
      </c>
      <c r="C664" s="1">
        <v>39</v>
      </c>
      <c r="D664" s="1">
        <v>308</v>
      </c>
      <c r="E664" s="1" t="s">
        <v>20</v>
      </c>
      <c r="F664" s="6" t="s">
        <v>21</v>
      </c>
    </row>
    <row r="665" spans="1:6" x14ac:dyDescent="0.35">
      <c r="A665" s="5" t="s">
        <v>19</v>
      </c>
      <c r="B665" s="1" t="s">
        <v>7</v>
      </c>
      <c r="C665" s="1">
        <v>40</v>
      </c>
      <c r="D665" s="1">
        <v>484</v>
      </c>
      <c r="E665" s="1" t="s">
        <v>20</v>
      </c>
      <c r="F665" s="6" t="s">
        <v>21</v>
      </c>
    </row>
    <row r="666" spans="1:6" x14ac:dyDescent="0.35">
      <c r="A666" s="5" t="s">
        <v>19</v>
      </c>
      <c r="B666" s="1" t="s">
        <v>7</v>
      </c>
      <c r="C666" s="1">
        <v>41</v>
      </c>
      <c r="D666" s="1">
        <v>103</v>
      </c>
      <c r="E666" s="1" t="s">
        <v>20</v>
      </c>
      <c r="F666" s="6" t="s">
        <v>21</v>
      </c>
    </row>
    <row r="667" spans="1:6" x14ac:dyDescent="0.35">
      <c r="A667" s="5" t="s">
        <v>19</v>
      </c>
      <c r="B667" s="1" t="s">
        <v>7</v>
      </c>
      <c r="C667" s="1">
        <v>42</v>
      </c>
      <c r="D667" s="1">
        <v>163</v>
      </c>
      <c r="E667" s="1" t="s">
        <v>20</v>
      </c>
      <c r="F667" s="6" t="s">
        <v>21</v>
      </c>
    </row>
    <row r="668" spans="1:6" x14ac:dyDescent="0.35">
      <c r="A668" s="5" t="s">
        <v>19</v>
      </c>
      <c r="B668" s="1" t="s">
        <v>7</v>
      </c>
      <c r="C668" s="1">
        <v>43</v>
      </c>
      <c r="D668" s="1">
        <v>255</v>
      </c>
      <c r="E668" s="1" t="s">
        <v>20</v>
      </c>
      <c r="F668" s="6" t="s">
        <v>21</v>
      </c>
    </row>
    <row r="669" spans="1:6" x14ac:dyDescent="0.35">
      <c r="A669" s="5" t="s">
        <v>19</v>
      </c>
      <c r="B669" s="1" t="s">
        <v>7</v>
      </c>
      <c r="C669" s="1">
        <v>44</v>
      </c>
      <c r="D669" s="1">
        <v>358</v>
      </c>
      <c r="E669" s="1" t="s">
        <v>20</v>
      </c>
      <c r="F669" s="6" t="s">
        <v>21</v>
      </c>
    </row>
    <row r="670" spans="1:6" x14ac:dyDescent="0.35">
      <c r="A670" s="5" t="s">
        <v>19</v>
      </c>
      <c r="B670" s="1" t="s">
        <v>7</v>
      </c>
      <c r="C670" s="1">
        <v>45</v>
      </c>
      <c r="D670" s="1">
        <v>378</v>
      </c>
      <c r="E670" s="1" t="s">
        <v>20</v>
      </c>
      <c r="F670" s="6" t="s">
        <v>21</v>
      </c>
    </row>
    <row r="671" spans="1:6" x14ac:dyDescent="0.35">
      <c r="A671" s="5" t="s">
        <v>19</v>
      </c>
      <c r="B671" s="1" t="s">
        <v>7</v>
      </c>
      <c r="C671" s="1">
        <v>46</v>
      </c>
      <c r="D671" s="1">
        <v>272</v>
      </c>
      <c r="E671" s="1" t="s">
        <v>20</v>
      </c>
      <c r="F671" s="6" t="s">
        <v>21</v>
      </c>
    </row>
    <row r="672" spans="1:6" x14ac:dyDescent="0.35">
      <c r="A672" s="5" t="s">
        <v>19</v>
      </c>
      <c r="B672" s="1" t="s">
        <v>7</v>
      </c>
      <c r="C672" s="1">
        <v>47</v>
      </c>
      <c r="D672" s="1">
        <v>173</v>
      </c>
      <c r="E672" s="1" t="s">
        <v>20</v>
      </c>
      <c r="F672" s="6" t="s">
        <v>21</v>
      </c>
    </row>
    <row r="673" spans="1:6" x14ac:dyDescent="0.35">
      <c r="A673" s="5" t="s">
        <v>19</v>
      </c>
      <c r="B673" s="1" t="s">
        <v>7</v>
      </c>
      <c r="C673" s="1">
        <v>48</v>
      </c>
      <c r="D673" s="1">
        <v>280</v>
      </c>
      <c r="E673" s="1" t="s">
        <v>20</v>
      </c>
      <c r="F673" s="6" t="s">
        <v>21</v>
      </c>
    </row>
    <row r="674" spans="1:6" x14ac:dyDescent="0.35">
      <c r="A674" s="5" t="s">
        <v>19</v>
      </c>
      <c r="B674" s="1" t="s">
        <v>7</v>
      </c>
      <c r="C674" s="1">
        <v>49</v>
      </c>
      <c r="D674" s="1">
        <v>216</v>
      </c>
      <c r="E674" s="1" t="s">
        <v>20</v>
      </c>
      <c r="F674" s="6" t="s">
        <v>21</v>
      </c>
    </row>
    <row r="675" spans="1:6" x14ac:dyDescent="0.35">
      <c r="A675" s="5" t="s">
        <v>19</v>
      </c>
      <c r="B675" s="1" t="s">
        <v>7</v>
      </c>
      <c r="C675" s="1">
        <v>50</v>
      </c>
      <c r="D675" s="1">
        <v>581</v>
      </c>
      <c r="E675" s="1" t="s">
        <v>20</v>
      </c>
      <c r="F675" s="6" t="s">
        <v>21</v>
      </c>
    </row>
    <row r="676" spans="1:6" x14ac:dyDescent="0.35">
      <c r="A676" s="5" t="s">
        <v>19</v>
      </c>
      <c r="B676" s="1" t="s">
        <v>7</v>
      </c>
      <c r="C676" s="1">
        <v>51</v>
      </c>
      <c r="D676" s="1">
        <v>493</v>
      </c>
      <c r="E676" s="1" t="s">
        <v>20</v>
      </c>
      <c r="F676" s="6" t="s">
        <v>21</v>
      </c>
    </row>
    <row r="677" spans="1:6" x14ac:dyDescent="0.35">
      <c r="A677" s="5" t="s">
        <v>19</v>
      </c>
      <c r="B677" s="1" t="s">
        <v>7</v>
      </c>
      <c r="C677" s="1">
        <v>52</v>
      </c>
      <c r="D677" s="1">
        <v>283</v>
      </c>
      <c r="E677" s="1" t="s">
        <v>20</v>
      </c>
      <c r="F677" s="6" t="s">
        <v>21</v>
      </c>
    </row>
    <row r="678" spans="1:6" x14ac:dyDescent="0.35">
      <c r="A678" s="5" t="s">
        <v>13</v>
      </c>
      <c r="B678" s="1" t="s">
        <v>45</v>
      </c>
      <c r="C678" s="1">
        <v>1</v>
      </c>
      <c r="D678" s="1">
        <v>54</v>
      </c>
      <c r="E678" s="1" t="s">
        <v>20</v>
      </c>
      <c r="F678" s="6" t="s">
        <v>21</v>
      </c>
    </row>
    <row r="679" spans="1:6" x14ac:dyDescent="0.35">
      <c r="A679" s="5" t="s">
        <v>13</v>
      </c>
      <c r="B679" s="1" t="s">
        <v>45</v>
      </c>
      <c r="C679" s="1">
        <v>2</v>
      </c>
      <c r="D679" s="1">
        <v>27</v>
      </c>
      <c r="E679" s="1" t="s">
        <v>20</v>
      </c>
      <c r="F679" s="6" t="s">
        <v>21</v>
      </c>
    </row>
    <row r="680" spans="1:6" x14ac:dyDescent="0.35">
      <c r="A680" s="5" t="s">
        <v>13</v>
      </c>
      <c r="B680" s="1" t="s">
        <v>45</v>
      </c>
      <c r="C680" s="1">
        <v>3</v>
      </c>
      <c r="D680" s="1">
        <v>31</v>
      </c>
      <c r="E680" s="1" t="s">
        <v>20</v>
      </c>
      <c r="F680" s="6" t="s">
        <v>21</v>
      </c>
    </row>
    <row r="681" spans="1:6" x14ac:dyDescent="0.35">
      <c r="A681" s="5" t="s">
        <v>13</v>
      </c>
      <c r="B681" s="1" t="s">
        <v>45</v>
      </c>
      <c r="C681" s="1">
        <v>4</v>
      </c>
      <c r="D681" s="1">
        <v>148</v>
      </c>
      <c r="E681" s="1" t="s">
        <v>20</v>
      </c>
      <c r="F681" s="6" t="s">
        <v>21</v>
      </c>
    </row>
    <row r="682" spans="1:6" x14ac:dyDescent="0.35">
      <c r="A682" s="5" t="s">
        <v>13</v>
      </c>
      <c r="B682" s="1" t="s">
        <v>45</v>
      </c>
      <c r="C682" s="1">
        <v>5</v>
      </c>
      <c r="D682" s="1">
        <v>137</v>
      </c>
      <c r="E682" s="1" t="s">
        <v>20</v>
      </c>
      <c r="F682" s="6" t="s">
        <v>21</v>
      </c>
    </row>
    <row r="683" spans="1:6" x14ac:dyDescent="0.35">
      <c r="A683" s="5" t="s">
        <v>13</v>
      </c>
      <c r="B683" s="1" t="s">
        <v>45</v>
      </c>
      <c r="C683" s="1">
        <v>6</v>
      </c>
      <c r="D683" s="1">
        <v>142</v>
      </c>
      <c r="E683" s="1" t="s">
        <v>20</v>
      </c>
      <c r="F683" s="6" t="s">
        <v>21</v>
      </c>
    </row>
    <row r="684" spans="1:6" x14ac:dyDescent="0.35">
      <c r="A684" s="5" t="s">
        <v>13</v>
      </c>
      <c r="B684" s="1" t="s">
        <v>45</v>
      </c>
      <c r="C684" s="1">
        <v>7</v>
      </c>
      <c r="D684" s="1">
        <v>131</v>
      </c>
      <c r="E684" s="1" t="s">
        <v>20</v>
      </c>
      <c r="F684" s="6" t="s">
        <v>21</v>
      </c>
    </row>
    <row r="685" spans="1:6" x14ac:dyDescent="0.35">
      <c r="A685" s="5" t="s">
        <v>13</v>
      </c>
      <c r="B685" s="1" t="s">
        <v>45</v>
      </c>
      <c r="C685" s="1">
        <v>8</v>
      </c>
      <c r="D685" s="1">
        <v>102</v>
      </c>
      <c r="E685" s="1" t="s">
        <v>20</v>
      </c>
      <c r="F685" s="6" t="s">
        <v>21</v>
      </c>
    </row>
    <row r="686" spans="1:6" x14ac:dyDescent="0.35">
      <c r="A686" s="5" t="s">
        <v>13</v>
      </c>
      <c r="B686" s="1" t="s">
        <v>45</v>
      </c>
      <c r="C686" s="1">
        <v>9</v>
      </c>
      <c r="D686" s="1">
        <v>65</v>
      </c>
      <c r="E686" s="1" t="s">
        <v>20</v>
      </c>
      <c r="F686" s="6" t="s">
        <v>21</v>
      </c>
    </row>
    <row r="687" spans="1:6" x14ac:dyDescent="0.35">
      <c r="A687" s="5" t="s">
        <v>13</v>
      </c>
      <c r="B687" s="1" t="s">
        <v>45</v>
      </c>
      <c r="C687" s="1">
        <v>10</v>
      </c>
      <c r="D687" s="1">
        <v>134</v>
      </c>
      <c r="E687" s="1" t="s">
        <v>20</v>
      </c>
      <c r="F687" s="6" t="s">
        <v>21</v>
      </c>
    </row>
    <row r="688" spans="1:6" x14ac:dyDescent="0.35">
      <c r="A688" s="5" t="s">
        <v>13</v>
      </c>
      <c r="B688" s="1" t="s">
        <v>45</v>
      </c>
      <c r="C688" s="1">
        <v>11</v>
      </c>
      <c r="D688" s="1">
        <v>70</v>
      </c>
      <c r="E688" s="1" t="s">
        <v>20</v>
      </c>
      <c r="F688" s="6" t="s">
        <v>21</v>
      </c>
    </row>
    <row r="689" spans="1:6" x14ac:dyDescent="0.35">
      <c r="A689" s="5" t="s">
        <v>13</v>
      </c>
      <c r="B689" s="1" t="s">
        <v>45</v>
      </c>
      <c r="C689" s="1">
        <v>12</v>
      </c>
      <c r="D689" s="1">
        <v>45</v>
      </c>
      <c r="E689" s="1" t="s">
        <v>20</v>
      </c>
      <c r="F689" s="6" t="s">
        <v>21</v>
      </c>
    </row>
    <row r="690" spans="1:6" x14ac:dyDescent="0.35">
      <c r="A690" s="5" t="s">
        <v>13</v>
      </c>
      <c r="B690" s="1" t="s">
        <v>45</v>
      </c>
      <c r="C690" s="1">
        <v>13</v>
      </c>
      <c r="D690" s="1">
        <v>68</v>
      </c>
      <c r="E690" s="1" t="s">
        <v>20</v>
      </c>
      <c r="F690" s="6" t="s">
        <v>21</v>
      </c>
    </row>
    <row r="691" spans="1:6" x14ac:dyDescent="0.35">
      <c r="A691" s="5" t="s">
        <v>13</v>
      </c>
      <c r="B691" s="1" t="s">
        <v>45</v>
      </c>
      <c r="C691" s="1">
        <v>14</v>
      </c>
      <c r="D691" s="1">
        <v>186</v>
      </c>
      <c r="E691" s="1" t="s">
        <v>20</v>
      </c>
      <c r="F691" s="6" t="s">
        <v>21</v>
      </c>
    </row>
    <row r="692" spans="1:6" x14ac:dyDescent="0.35">
      <c r="A692" s="5" t="s">
        <v>13</v>
      </c>
      <c r="B692" s="1" t="s">
        <v>45</v>
      </c>
      <c r="C692" s="1">
        <v>15</v>
      </c>
      <c r="D692" s="1">
        <v>44</v>
      </c>
      <c r="E692" s="1" t="s">
        <v>20</v>
      </c>
      <c r="F692" s="6" t="s">
        <v>21</v>
      </c>
    </row>
    <row r="693" spans="1:6" x14ac:dyDescent="0.35">
      <c r="A693" s="5" t="s">
        <v>13</v>
      </c>
      <c r="B693" s="1" t="s">
        <v>45</v>
      </c>
      <c r="C693" s="1">
        <v>16</v>
      </c>
      <c r="D693" s="1">
        <v>172</v>
      </c>
      <c r="E693" s="1" t="s">
        <v>20</v>
      </c>
      <c r="F693" s="6" t="s">
        <v>21</v>
      </c>
    </row>
    <row r="694" spans="1:6" x14ac:dyDescent="0.35">
      <c r="A694" s="5" t="s">
        <v>13</v>
      </c>
      <c r="B694" s="1" t="s">
        <v>45</v>
      </c>
      <c r="C694" s="1">
        <v>17</v>
      </c>
      <c r="D694" s="1">
        <v>156</v>
      </c>
      <c r="E694" s="1" t="s">
        <v>20</v>
      </c>
      <c r="F694" s="6" t="s">
        <v>21</v>
      </c>
    </row>
    <row r="695" spans="1:6" x14ac:dyDescent="0.35">
      <c r="A695" s="5" t="s">
        <v>13</v>
      </c>
      <c r="B695" s="1" t="s">
        <v>45</v>
      </c>
      <c r="C695" s="1">
        <v>18</v>
      </c>
      <c r="D695" s="1">
        <v>126</v>
      </c>
      <c r="E695" s="1" t="s">
        <v>20</v>
      </c>
      <c r="F695" s="6" t="s">
        <v>21</v>
      </c>
    </row>
    <row r="696" spans="1:6" x14ac:dyDescent="0.35">
      <c r="A696" s="5" t="s">
        <v>13</v>
      </c>
      <c r="B696" s="1" t="s">
        <v>45</v>
      </c>
      <c r="C696" s="1">
        <v>19</v>
      </c>
      <c r="D696" s="1">
        <v>33</v>
      </c>
      <c r="E696" s="1" t="s">
        <v>20</v>
      </c>
      <c r="F696" s="6" t="s">
        <v>21</v>
      </c>
    </row>
    <row r="697" spans="1:6" x14ac:dyDescent="0.35">
      <c r="A697" s="5" t="s">
        <v>13</v>
      </c>
      <c r="B697" s="1" t="s">
        <v>45</v>
      </c>
      <c r="C697" s="1">
        <v>20</v>
      </c>
      <c r="D697" s="1">
        <v>180</v>
      </c>
      <c r="E697" s="1" t="s">
        <v>20</v>
      </c>
      <c r="F697" s="6" t="s">
        <v>21</v>
      </c>
    </row>
    <row r="698" spans="1:6" x14ac:dyDescent="0.35">
      <c r="A698" s="5" t="s">
        <v>13</v>
      </c>
      <c r="B698" s="1" t="s">
        <v>45</v>
      </c>
      <c r="C698" s="1">
        <v>21</v>
      </c>
      <c r="D698" s="1">
        <v>241</v>
      </c>
      <c r="E698" s="1" t="s">
        <v>20</v>
      </c>
      <c r="F698" s="6" t="s">
        <v>21</v>
      </c>
    </row>
    <row r="699" spans="1:6" x14ac:dyDescent="0.35">
      <c r="A699" s="5" t="s">
        <v>13</v>
      </c>
      <c r="B699" s="1" t="s">
        <v>45</v>
      </c>
      <c r="C699" s="1">
        <v>22</v>
      </c>
      <c r="D699" s="1">
        <v>200</v>
      </c>
      <c r="E699" s="1" t="s">
        <v>20</v>
      </c>
      <c r="F699" s="6" t="s">
        <v>21</v>
      </c>
    </row>
    <row r="700" spans="1:6" x14ac:dyDescent="0.35">
      <c r="A700" s="5" t="s">
        <v>13</v>
      </c>
      <c r="B700" s="1" t="s">
        <v>45</v>
      </c>
      <c r="C700" s="1">
        <v>23</v>
      </c>
      <c r="D700" s="1">
        <v>67</v>
      </c>
      <c r="E700" s="1" t="s">
        <v>20</v>
      </c>
      <c r="F700" s="6" t="s">
        <v>21</v>
      </c>
    </row>
    <row r="701" spans="1:6" x14ac:dyDescent="0.35">
      <c r="A701" s="5" t="s">
        <v>13</v>
      </c>
      <c r="B701" s="1" t="s">
        <v>45</v>
      </c>
      <c r="C701" s="1">
        <v>24</v>
      </c>
      <c r="D701" s="1">
        <v>205</v>
      </c>
      <c r="E701" s="1" t="s">
        <v>20</v>
      </c>
      <c r="F701" s="6" t="s">
        <v>21</v>
      </c>
    </row>
    <row r="702" spans="1:6" x14ac:dyDescent="0.35">
      <c r="A702" s="5" t="s">
        <v>13</v>
      </c>
      <c r="B702" s="1" t="s">
        <v>45</v>
      </c>
      <c r="C702" s="1">
        <v>25</v>
      </c>
      <c r="D702" s="1">
        <v>51</v>
      </c>
      <c r="E702" s="1" t="s">
        <v>20</v>
      </c>
      <c r="F702" s="6" t="s">
        <v>21</v>
      </c>
    </row>
    <row r="703" spans="1:6" x14ac:dyDescent="0.35">
      <c r="A703" s="5" t="s">
        <v>13</v>
      </c>
      <c r="B703" s="1" t="s">
        <v>45</v>
      </c>
      <c r="C703" s="1">
        <v>26</v>
      </c>
      <c r="D703" s="1">
        <v>327</v>
      </c>
      <c r="E703" s="1" t="s">
        <v>20</v>
      </c>
      <c r="F703" s="6" t="s">
        <v>21</v>
      </c>
    </row>
    <row r="704" spans="1:6" x14ac:dyDescent="0.35">
      <c r="A704" s="5" t="s">
        <v>13</v>
      </c>
      <c r="B704" s="1" t="s">
        <v>45</v>
      </c>
      <c r="C704" s="1">
        <v>27</v>
      </c>
      <c r="D704" s="1">
        <v>166</v>
      </c>
      <c r="E704" s="1" t="s">
        <v>20</v>
      </c>
      <c r="F704" s="6" t="s">
        <v>21</v>
      </c>
    </row>
    <row r="705" spans="1:6" x14ac:dyDescent="0.35">
      <c r="A705" s="5" t="s">
        <v>13</v>
      </c>
      <c r="B705" s="1" t="s">
        <v>45</v>
      </c>
      <c r="C705" s="1">
        <v>28</v>
      </c>
      <c r="D705" s="1">
        <v>302</v>
      </c>
      <c r="E705" s="1" t="s">
        <v>20</v>
      </c>
      <c r="F705" s="6" t="s">
        <v>21</v>
      </c>
    </row>
    <row r="706" spans="1:6" x14ac:dyDescent="0.35">
      <c r="A706" s="5" t="s">
        <v>13</v>
      </c>
      <c r="B706" s="1" t="s">
        <v>45</v>
      </c>
      <c r="C706" s="1">
        <v>29</v>
      </c>
      <c r="D706" s="1">
        <v>297</v>
      </c>
      <c r="E706" s="1" t="s">
        <v>20</v>
      </c>
      <c r="F706" s="6" t="s">
        <v>21</v>
      </c>
    </row>
    <row r="707" spans="1:6" x14ac:dyDescent="0.35">
      <c r="A707" s="5" t="s">
        <v>13</v>
      </c>
      <c r="B707" s="1" t="s">
        <v>45</v>
      </c>
      <c r="C707" s="1">
        <v>30</v>
      </c>
      <c r="D707" s="1">
        <v>81</v>
      </c>
      <c r="E707" s="1" t="s">
        <v>20</v>
      </c>
      <c r="F707" s="6" t="s">
        <v>21</v>
      </c>
    </row>
    <row r="708" spans="1:6" x14ac:dyDescent="0.35">
      <c r="A708" s="5" t="s">
        <v>13</v>
      </c>
      <c r="B708" s="1" t="s">
        <v>45</v>
      </c>
      <c r="C708" s="1">
        <v>31</v>
      </c>
      <c r="D708" s="1">
        <v>37</v>
      </c>
      <c r="E708" s="1" t="s">
        <v>20</v>
      </c>
      <c r="F708" s="6" t="s">
        <v>21</v>
      </c>
    </row>
    <row r="709" spans="1:6" x14ac:dyDescent="0.35">
      <c r="A709" s="5" t="s">
        <v>13</v>
      </c>
      <c r="B709" s="1" t="s">
        <v>45</v>
      </c>
      <c r="C709" s="1">
        <v>32</v>
      </c>
      <c r="D709" s="1">
        <v>137</v>
      </c>
      <c r="E709" s="1" t="s">
        <v>20</v>
      </c>
      <c r="F709" s="6" t="s">
        <v>21</v>
      </c>
    </row>
    <row r="710" spans="1:6" x14ac:dyDescent="0.35">
      <c r="A710" s="5" t="s">
        <v>13</v>
      </c>
      <c r="B710" s="1" t="s">
        <v>45</v>
      </c>
      <c r="C710" s="1">
        <v>33</v>
      </c>
      <c r="D710" s="1">
        <v>238</v>
      </c>
      <c r="E710" s="1" t="s">
        <v>20</v>
      </c>
      <c r="F710" s="6" t="s">
        <v>21</v>
      </c>
    </row>
    <row r="711" spans="1:6" x14ac:dyDescent="0.35">
      <c r="A711" s="5" t="s">
        <v>13</v>
      </c>
      <c r="B711" s="1" t="s">
        <v>45</v>
      </c>
      <c r="C711" s="1">
        <v>34</v>
      </c>
      <c r="D711" s="1">
        <v>337</v>
      </c>
      <c r="E711" s="1" t="s">
        <v>20</v>
      </c>
      <c r="F711" s="6" t="s">
        <v>21</v>
      </c>
    </row>
    <row r="712" spans="1:6" x14ac:dyDescent="0.35">
      <c r="A712" s="5" t="s">
        <v>13</v>
      </c>
      <c r="B712" s="1" t="s">
        <v>45</v>
      </c>
      <c r="C712" s="1">
        <v>35</v>
      </c>
      <c r="D712" s="1">
        <v>141</v>
      </c>
      <c r="E712" s="1" t="s">
        <v>20</v>
      </c>
      <c r="F712" s="6" t="s">
        <v>21</v>
      </c>
    </row>
    <row r="713" spans="1:6" x14ac:dyDescent="0.35">
      <c r="A713" s="5" t="s">
        <v>13</v>
      </c>
      <c r="B713" s="1" t="s">
        <v>45</v>
      </c>
      <c r="C713" s="1">
        <v>36</v>
      </c>
      <c r="D713" s="1">
        <v>136</v>
      </c>
      <c r="E713" s="1" t="s">
        <v>20</v>
      </c>
      <c r="F713" s="6" t="s">
        <v>21</v>
      </c>
    </row>
    <row r="714" spans="1:6" x14ac:dyDescent="0.35">
      <c r="A714" s="5" t="s">
        <v>13</v>
      </c>
      <c r="B714" s="1" t="s">
        <v>45</v>
      </c>
      <c r="C714" s="1">
        <v>37</v>
      </c>
      <c r="D714" s="1">
        <v>110</v>
      </c>
      <c r="E714" s="1" t="s">
        <v>20</v>
      </c>
      <c r="F714" s="6" t="s">
        <v>21</v>
      </c>
    </row>
    <row r="715" spans="1:6" x14ac:dyDescent="0.35">
      <c r="A715" s="5" t="s">
        <v>13</v>
      </c>
      <c r="B715" s="1" t="s">
        <v>45</v>
      </c>
      <c r="C715" s="1">
        <v>38</v>
      </c>
      <c r="D715" s="1">
        <v>180</v>
      </c>
      <c r="E715" s="1" t="s">
        <v>20</v>
      </c>
      <c r="F715" s="6" t="s">
        <v>21</v>
      </c>
    </row>
    <row r="716" spans="1:6" x14ac:dyDescent="0.35">
      <c r="A716" s="5" t="s">
        <v>13</v>
      </c>
      <c r="B716" s="1" t="s">
        <v>45</v>
      </c>
      <c r="C716" s="1">
        <v>39</v>
      </c>
      <c r="D716" s="1">
        <v>264</v>
      </c>
      <c r="E716" s="1" t="s">
        <v>20</v>
      </c>
      <c r="F716" s="6" t="s">
        <v>21</v>
      </c>
    </row>
    <row r="717" spans="1:6" x14ac:dyDescent="0.35">
      <c r="A717" s="5" t="s">
        <v>13</v>
      </c>
      <c r="B717" s="1" t="s">
        <v>45</v>
      </c>
      <c r="C717" s="1">
        <v>40</v>
      </c>
      <c r="D717" s="1">
        <v>182</v>
      </c>
      <c r="E717" s="1" t="s">
        <v>20</v>
      </c>
      <c r="F717" s="6" t="s">
        <v>21</v>
      </c>
    </row>
    <row r="718" spans="1:6" x14ac:dyDescent="0.35">
      <c r="A718" s="5" t="s">
        <v>13</v>
      </c>
      <c r="B718" s="1" t="s">
        <v>45</v>
      </c>
      <c r="C718" s="1">
        <v>41</v>
      </c>
      <c r="D718" s="1">
        <v>76</v>
      </c>
      <c r="E718" s="1" t="s">
        <v>20</v>
      </c>
      <c r="F718" s="6" t="s">
        <v>21</v>
      </c>
    </row>
    <row r="719" spans="1:6" x14ac:dyDescent="0.35">
      <c r="A719" s="5" t="s">
        <v>13</v>
      </c>
      <c r="B719" s="1" t="s">
        <v>45</v>
      </c>
      <c r="C719" s="1">
        <v>42</v>
      </c>
      <c r="D719" s="1">
        <v>180</v>
      </c>
      <c r="E719" s="1" t="s">
        <v>20</v>
      </c>
      <c r="F719" s="6" t="s">
        <v>21</v>
      </c>
    </row>
    <row r="720" spans="1:6" x14ac:dyDescent="0.35">
      <c r="A720" s="5" t="s">
        <v>13</v>
      </c>
      <c r="B720" s="1" t="s">
        <v>45</v>
      </c>
      <c r="C720" s="1">
        <v>43</v>
      </c>
      <c r="D720" s="1">
        <v>310</v>
      </c>
      <c r="E720" s="1" t="s">
        <v>20</v>
      </c>
      <c r="F720" s="6" t="s">
        <v>21</v>
      </c>
    </row>
    <row r="721" spans="1:6" x14ac:dyDescent="0.35">
      <c r="A721" s="5" t="s">
        <v>13</v>
      </c>
      <c r="B721" s="1" t="s">
        <v>45</v>
      </c>
      <c r="C721" s="1">
        <v>44</v>
      </c>
      <c r="D721" s="1">
        <v>81</v>
      </c>
      <c r="E721" s="1" t="s">
        <v>20</v>
      </c>
      <c r="F721" s="6" t="s">
        <v>21</v>
      </c>
    </row>
    <row r="722" spans="1:6" x14ac:dyDescent="0.35">
      <c r="A722" s="5" t="s">
        <v>13</v>
      </c>
      <c r="B722" s="1" t="s">
        <v>45</v>
      </c>
      <c r="C722" s="1">
        <v>45</v>
      </c>
      <c r="D722" s="1">
        <v>209</v>
      </c>
      <c r="E722" s="1" t="s">
        <v>20</v>
      </c>
      <c r="F722" s="6" t="s">
        <v>21</v>
      </c>
    </row>
    <row r="723" spans="1:6" x14ac:dyDescent="0.35">
      <c r="A723" s="5" t="s">
        <v>13</v>
      </c>
      <c r="B723" s="1" t="s">
        <v>45</v>
      </c>
      <c r="C723" s="1">
        <v>46</v>
      </c>
      <c r="D723" s="1">
        <v>120</v>
      </c>
      <c r="E723" s="1" t="s">
        <v>20</v>
      </c>
      <c r="F723" s="6" t="s">
        <v>21</v>
      </c>
    </row>
    <row r="724" spans="1:6" x14ac:dyDescent="0.35">
      <c r="A724" s="5" t="s">
        <v>13</v>
      </c>
      <c r="B724" s="1" t="s">
        <v>45</v>
      </c>
      <c r="C724" s="1">
        <v>47</v>
      </c>
      <c r="D724" s="1">
        <v>207</v>
      </c>
      <c r="E724" s="1" t="s">
        <v>20</v>
      </c>
      <c r="F724" s="6" t="s">
        <v>21</v>
      </c>
    </row>
    <row r="725" spans="1:6" x14ac:dyDescent="0.35">
      <c r="A725" s="5" t="s">
        <v>13</v>
      </c>
      <c r="B725" s="1" t="s">
        <v>45</v>
      </c>
      <c r="C725" s="1">
        <v>48</v>
      </c>
      <c r="D725" s="1">
        <v>162</v>
      </c>
      <c r="E725" s="1" t="s">
        <v>20</v>
      </c>
      <c r="F725" s="6" t="s">
        <v>21</v>
      </c>
    </row>
    <row r="726" spans="1:6" x14ac:dyDescent="0.35">
      <c r="A726" s="5" t="s">
        <v>13</v>
      </c>
      <c r="B726" s="1" t="s">
        <v>45</v>
      </c>
      <c r="C726" s="1">
        <v>49</v>
      </c>
      <c r="D726" s="1">
        <v>210</v>
      </c>
      <c r="E726" s="1" t="s">
        <v>20</v>
      </c>
      <c r="F726" s="6" t="s">
        <v>21</v>
      </c>
    </row>
    <row r="727" spans="1:6" x14ac:dyDescent="0.35">
      <c r="A727" s="5" t="s">
        <v>13</v>
      </c>
      <c r="B727" s="1" t="s">
        <v>45</v>
      </c>
      <c r="C727" s="1">
        <v>50</v>
      </c>
      <c r="D727" s="1">
        <v>69</v>
      </c>
      <c r="E727" s="1" t="s">
        <v>20</v>
      </c>
      <c r="F727" s="6" t="s">
        <v>21</v>
      </c>
    </row>
    <row r="728" spans="1:6" x14ac:dyDescent="0.35">
      <c r="A728" s="5" t="s">
        <v>13</v>
      </c>
      <c r="B728" s="1" t="s">
        <v>45</v>
      </c>
      <c r="C728" s="1">
        <v>51</v>
      </c>
      <c r="D728" s="1">
        <v>230</v>
      </c>
      <c r="E728" s="1" t="s">
        <v>20</v>
      </c>
      <c r="F728" s="6" t="s">
        <v>21</v>
      </c>
    </row>
    <row r="729" spans="1:6" x14ac:dyDescent="0.35">
      <c r="A729" s="5" t="s">
        <v>13</v>
      </c>
      <c r="B729" s="1" t="s">
        <v>45</v>
      </c>
      <c r="C729" s="1">
        <v>52</v>
      </c>
      <c r="D729" s="1">
        <v>72</v>
      </c>
      <c r="E729" s="1" t="s">
        <v>20</v>
      </c>
      <c r="F729" s="6" t="s">
        <v>21</v>
      </c>
    </row>
    <row r="730" spans="1:6" x14ac:dyDescent="0.35">
      <c r="A730" s="5" t="s">
        <v>6</v>
      </c>
      <c r="B730" s="1" t="s">
        <v>43</v>
      </c>
      <c r="C730" s="1">
        <v>1</v>
      </c>
      <c r="D730" s="1">
        <v>101</v>
      </c>
      <c r="E730" s="1" t="s">
        <v>20</v>
      </c>
      <c r="F730" s="6" t="s">
        <v>21</v>
      </c>
    </row>
    <row r="731" spans="1:6" x14ac:dyDescent="0.35">
      <c r="A731" s="5" t="s">
        <v>6</v>
      </c>
      <c r="B731" s="1" t="s">
        <v>43</v>
      </c>
      <c r="C731" s="1">
        <v>2</v>
      </c>
      <c r="D731" s="1">
        <v>76</v>
      </c>
      <c r="E731" s="1" t="s">
        <v>20</v>
      </c>
      <c r="F731" s="6" t="s">
        <v>21</v>
      </c>
    </row>
    <row r="732" spans="1:6" x14ac:dyDescent="0.35">
      <c r="A732" s="5" t="s">
        <v>6</v>
      </c>
      <c r="B732" s="1" t="s">
        <v>43</v>
      </c>
      <c r="C732" s="1">
        <v>3</v>
      </c>
      <c r="D732" s="1">
        <v>132</v>
      </c>
      <c r="E732" s="1" t="s">
        <v>20</v>
      </c>
      <c r="F732" s="6" t="s">
        <v>21</v>
      </c>
    </row>
    <row r="733" spans="1:6" x14ac:dyDescent="0.35">
      <c r="A733" s="5" t="s">
        <v>6</v>
      </c>
      <c r="B733" s="1" t="s">
        <v>43</v>
      </c>
      <c r="C733" s="1">
        <v>4</v>
      </c>
      <c r="D733" s="1">
        <v>63</v>
      </c>
      <c r="E733" s="1" t="s">
        <v>20</v>
      </c>
      <c r="F733" s="6" t="s">
        <v>21</v>
      </c>
    </row>
    <row r="734" spans="1:6" x14ac:dyDescent="0.35">
      <c r="A734" s="5" t="s">
        <v>6</v>
      </c>
      <c r="B734" s="1" t="s">
        <v>43</v>
      </c>
      <c r="C734" s="1">
        <v>5</v>
      </c>
      <c r="D734" s="1">
        <v>58</v>
      </c>
      <c r="E734" s="1" t="s">
        <v>20</v>
      </c>
      <c r="F734" s="6" t="s">
        <v>21</v>
      </c>
    </row>
    <row r="735" spans="1:6" x14ac:dyDescent="0.35">
      <c r="A735" s="5" t="s">
        <v>6</v>
      </c>
      <c r="B735" s="1" t="s">
        <v>43</v>
      </c>
      <c r="C735" s="1">
        <v>6</v>
      </c>
      <c r="D735" s="1">
        <v>130</v>
      </c>
      <c r="E735" s="1" t="s">
        <v>20</v>
      </c>
      <c r="F735" s="6" t="s">
        <v>21</v>
      </c>
    </row>
    <row r="736" spans="1:6" x14ac:dyDescent="0.35">
      <c r="A736" s="5" t="s">
        <v>6</v>
      </c>
      <c r="B736" s="1" t="s">
        <v>43</v>
      </c>
      <c r="C736" s="1">
        <v>7</v>
      </c>
      <c r="D736" s="1">
        <v>32</v>
      </c>
      <c r="E736" s="1" t="s">
        <v>20</v>
      </c>
      <c r="F736" s="6" t="s">
        <v>21</v>
      </c>
    </row>
    <row r="737" spans="1:6" x14ac:dyDescent="0.35">
      <c r="A737" s="5" t="s">
        <v>6</v>
      </c>
      <c r="B737" s="1" t="s">
        <v>43</v>
      </c>
      <c r="C737" s="1">
        <v>8</v>
      </c>
      <c r="D737" s="1">
        <v>116</v>
      </c>
      <c r="E737" s="1" t="s">
        <v>20</v>
      </c>
      <c r="F737" s="6" t="s">
        <v>21</v>
      </c>
    </row>
    <row r="738" spans="1:6" x14ac:dyDescent="0.35">
      <c r="A738" s="5" t="s">
        <v>6</v>
      </c>
      <c r="B738" s="1" t="s">
        <v>43</v>
      </c>
      <c r="C738" s="1">
        <v>9</v>
      </c>
      <c r="D738" s="1">
        <v>163</v>
      </c>
      <c r="E738" s="1" t="s">
        <v>20</v>
      </c>
      <c r="F738" s="6" t="s">
        <v>21</v>
      </c>
    </row>
    <row r="739" spans="1:6" x14ac:dyDescent="0.35">
      <c r="A739" s="5" t="s">
        <v>6</v>
      </c>
      <c r="B739" s="1" t="s">
        <v>43</v>
      </c>
      <c r="C739" s="1">
        <v>10</v>
      </c>
      <c r="D739" s="1">
        <v>29</v>
      </c>
      <c r="E739" s="1" t="s">
        <v>20</v>
      </c>
      <c r="F739" s="6" t="s">
        <v>21</v>
      </c>
    </row>
    <row r="740" spans="1:6" x14ac:dyDescent="0.35">
      <c r="A740" s="5" t="s">
        <v>6</v>
      </c>
      <c r="B740" s="1" t="s">
        <v>43</v>
      </c>
      <c r="C740" s="1">
        <v>11</v>
      </c>
      <c r="D740" s="1">
        <v>113</v>
      </c>
      <c r="E740" s="1" t="s">
        <v>20</v>
      </c>
      <c r="F740" s="6" t="s">
        <v>21</v>
      </c>
    </row>
    <row r="741" spans="1:6" x14ac:dyDescent="0.35">
      <c r="A741" s="5" t="s">
        <v>6</v>
      </c>
      <c r="B741" s="1" t="s">
        <v>43</v>
      </c>
      <c r="C741" s="1">
        <v>12</v>
      </c>
      <c r="D741" s="1">
        <v>152</v>
      </c>
      <c r="E741" s="1" t="s">
        <v>20</v>
      </c>
      <c r="F741" s="6" t="s">
        <v>21</v>
      </c>
    </row>
    <row r="742" spans="1:6" x14ac:dyDescent="0.35">
      <c r="A742" s="5" t="s">
        <v>6</v>
      </c>
      <c r="B742" s="1" t="s">
        <v>43</v>
      </c>
      <c r="C742" s="1">
        <v>13</v>
      </c>
      <c r="D742" s="1">
        <v>73</v>
      </c>
      <c r="E742" s="1" t="s">
        <v>20</v>
      </c>
      <c r="F742" s="6" t="s">
        <v>21</v>
      </c>
    </row>
    <row r="743" spans="1:6" x14ac:dyDescent="0.35">
      <c r="A743" s="5" t="s">
        <v>6</v>
      </c>
      <c r="B743" s="1" t="s">
        <v>43</v>
      </c>
      <c r="C743" s="1">
        <v>14</v>
      </c>
      <c r="D743" s="1">
        <v>119</v>
      </c>
      <c r="E743" s="1" t="s">
        <v>20</v>
      </c>
      <c r="F743" s="6" t="s">
        <v>21</v>
      </c>
    </row>
    <row r="744" spans="1:6" x14ac:dyDescent="0.35">
      <c r="A744" s="5" t="s">
        <v>6</v>
      </c>
      <c r="B744" s="1" t="s">
        <v>43</v>
      </c>
      <c r="C744" s="1">
        <v>15</v>
      </c>
      <c r="D744" s="1">
        <v>188</v>
      </c>
      <c r="E744" s="1" t="s">
        <v>20</v>
      </c>
      <c r="F744" s="6" t="s">
        <v>21</v>
      </c>
    </row>
    <row r="745" spans="1:6" x14ac:dyDescent="0.35">
      <c r="A745" s="5" t="s">
        <v>6</v>
      </c>
      <c r="B745" s="1" t="s">
        <v>43</v>
      </c>
      <c r="C745" s="1">
        <v>16</v>
      </c>
      <c r="D745" s="1">
        <v>99</v>
      </c>
      <c r="E745" s="1" t="s">
        <v>20</v>
      </c>
      <c r="F745" s="6" t="s">
        <v>21</v>
      </c>
    </row>
    <row r="746" spans="1:6" x14ac:dyDescent="0.35">
      <c r="A746" s="5" t="s">
        <v>6</v>
      </c>
      <c r="B746" s="1" t="s">
        <v>43</v>
      </c>
      <c r="C746" s="1">
        <v>17</v>
      </c>
      <c r="D746" s="1">
        <v>58</v>
      </c>
      <c r="E746" s="1" t="s">
        <v>20</v>
      </c>
      <c r="F746" s="6" t="s">
        <v>21</v>
      </c>
    </row>
    <row r="747" spans="1:6" x14ac:dyDescent="0.35">
      <c r="A747" s="5" t="s">
        <v>6</v>
      </c>
      <c r="B747" s="1" t="s">
        <v>43</v>
      </c>
      <c r="C747" s="1">
        <v>18</v>
      </c>
      <c r="D747" s="1">
        <v>129</v>
      </c>
      <c r="E747" s="1" t="s">
        <v>20</v>
      </c>
      <c r="F747" s="6" t="s">
        <v>21</v>
      </c>
    </row>
    <row r="748" spans="1:6" x14ac:dyDescent="0.35">
      <c r="A748" s="5" t="s">
        <v>6</v>
      </c>
      <c r="B748" s="1" t="s">
        <v>43</v>
      </c>
      <c r="C748" s="1">
        <v>19</v>
      </c>
      <c r="D748" s="1">
        <v>190</v>
      </c>
      <c r="E748" s="1" t="s">
        <v>20</v>
      </c>
      <c r="F748" s="6" t="s">
        <v>21</v>
      </c>
    </row>
    <row r="749" spans="1:6" x14ac:dyDescent="0.35">
      <c r="A749" s="5" t="s">
        <v>6</v>
      </c>
      <c r="B749" s="1" t="s">
        <v>43</v>
      </c>
      <c r="C749" s="1">
        <v>20</v>
      </c>
      <c r="D749" s="1">
        <v>113</v>
      </c>
      <c r="E749" s="1" t="s">
        <v>20</v>
      </c>
      <c r="F749" s="6" t="s">
        <v>21</v>
      </c>
    </row>
    <row r="750" spans="1:6" x14ac:dyDescent="0.35">
      <c r="A750" s="5" t="s">
        <v>6</v>
      </c>
      <c r="B750" s="1" t="s">
        <v>43</v>
      </c>
      <c r="C750" s="1">
        <v>21</v>
      </c>
      <c r="D750" s="1">
        <v>81</v>
      </c>
      <c r="E750" s="1" t="s">
        <v>20</v>
      </c>
      <c r="F750" s="6" t="s">
        <v>21</v>
      </c>
    </row>
    <row r="751" spans="1:6" x14ac:dyDescent="0.35">
      <c r="A751" s="5" t="s">
        <v>6</v>
      </c>
      <c r="B751" s="1" t="s">
        <v>43</v>
      </c>
      <c r="C751" s="1">
        <v>22</v>
      </c>
      <c r="D751" s="1">
        <v>262</v>
      </c>
      <c r="E751" s="1" t="s">
        <v>20</v>
      </c>
      <c r="F751" s="6" t="s">
        <v>21</v>
      </c>
    </row>
    <row r="752" spans="1:6" x14ac:dyDescent="0.35">
      <c r="A752" s="5" t="s">
        <v>6</v>
      </c>
      <c r="B752" s="1" t="s">
        <v>43</v>
      </c>
      <c r="C752" s="1">
        <v>23</v>
      </c>
      <c r="D752" s="1">
        <v>204</v>
      </c>
      <c r="E752" s="1" t="s">
        <v>20</v>
      </c>
      <c r="F752" s="6" t="s">
        <v>21</v>
      </c>
    </row>
    <row r="753" spans="1:6" x14ac:dyDescent="0.35">
      <c r="A753" s="5" t="s">
        <v>6</v>
      </c>
      <c r="B753" s="1" t="s">
        <v>43</v>
      </c>
      <c r="C753" s="1">
        <v>24</v>
      </c>
      <c r="D753" s="1">
        <v>63</v>
      </c>
      <c r="E753" s="1" t="s">
        <v>20</v>
      </c>
      <c r="F753" s="6" t="s">
        <v>21</v>
      </c>
    </row>
    <row r="754" spans="1:6" x14ac:dyDescent="0.35">
      <c r="A754" s="5" t="s">
        <v>6</v>
      </c>
      <c r="B754" s="1" t="s">
        <v>43</v>
      </c>
      <c r="C754" s="1">
        <v>25</v>
      </c>
      <c r="D754" s="1">
        <v>49</v>
      </c>
      <c r="E754" s="1" t="s">
        <v>20</v>
      </c>
      <c r="F754" s="6" t="s">
        <v>21</v>
      </c>
    </row>
    <row r="755" spans="1:6" x14ac:dyDescent="0.35">
      <c r="A755" s="5" t="s">
        <v>6</v>
      </c>
      <c r="B755" s="1" t="s">
        <v>43</v>
      </c>
      <c r="C755" s="1">
        <v>26</v>
      </c>
      <c r="D755" s="1">
        <v>216</v>
      </c>
      <c r="E755" s="1" t="s">
        <v>20</v>
      </c>
      <c r="F755" s="6" t="s">
        <v>21</v>
      </c>
    </row>
    <row r="756" spans="1:6" x14ac:dyDescent="0.35">
      <c r="A756" s="5" t="s">
        <v>6</v>
      </c>
      <c r="B756" s="1" t="s">
        <v>43</v>
      </c>
      <c r="C756" s="1">
        <v>27</v>
      </c>
      <c r="D756" s="1">
        <v>71</v>
      </c>
      <c r="E756" s="1" t="s">
        <v>20</v>
      </c>
      <c r="F756" s="6" t="s">
        <v>21</v>
      </c>
    </row>
    <row r="757" spans="1:6" x14ac:dyDescent="0.35">
      <c r="A757" s="5" t="s">
        <v>6</v>
      </c>
      <c r="B757" s="1" t="s">
        <v>43</v>
      </c>
      <c r="C757" s="1">
        <v>28</v>
      </c>
      <c r="D757" s="1">
        <v>109</v>
      </c>
      <c r="E757" s="1" t="s">
        <v>20</v>
      </c>
      <c r="F757" s="6" t="s">
        <v>21</v>
      </c>
    </row>
    <row r="758" spans="1:6" x14ac:dyDescent="0.35">
      <c r="A758" s="5" t="s">
        <v>6</v>
      </c>
      <c r="B758" s="1" t="s">
        <v>43</v>
      </c>
      <c r="C758" s="1">
        <v>29</v>
      </c>
      <c r="D758" s="1">
        <v>236</v>
      </c>
      <c r="E758" s="1" t="s">
        <v>20</v>
      </c>
      <c r="F758" s="6" t="s">
        <v>21</v>
      </c>
    </row>
    <row r="759" spans="1:6" x14ac:dyDescent="0.35">
      <c r="A759" s="5" t="s">
        <v>6</v>
      </c>
      <c r="B759" s="1" t="s">
        <v>43</v>
      </c>
      <c r="C759" s="1">
        <v>30</v>
      </c>
      <c r="D759" s="1">
        <v>92</v>
      </c>
      <c r="E759" s="1" t="s">
        <v>20</v>
      </c>
      <c r="F759" s="6" t="s">
        <v>21</v>
      </c>
    </row>
    <row r="760" spans="1:6" x14ac:dyDescent="0.35">
      <c r="A760" s="5" t="s">
        <v>6</v>
      </c>
      <c r="B760" s="1" t="s">
        <v>43</v>
      </c>
      <c r="C760" s="1">
        <v>31</v>
      </c>
      <c r="D760" s="1">
        <v>159</v>
      </c>
      <c r="E760" s="1" t="s">
        <v>20</v>
      </c>
      <c r="F760" s="6" t="s">
        <v>21</v>
      </c>
    </row>
    <row r="761" spans="1:6" x14ac:dyDescent="0.35">
      <c r="A761" s="5" t="s">
        <v>6</v>
      </c>
      <c r="B761" s="1" t="s">
        <v>43</v>
      </c>
      <c r="C761" s="1">
        <v>32</v>
      </c>
      <c r="D761" s="1">
        <v>182</v>
      </c>
      <c r="E761" s="1" t="s">
        <v>20</v>
      </c>
      <c r="F761" s="6" t="s">
        <v>21</v>
      </c>
    </row>
    <row r="762" spans="1:6" x14ac:dyDescent="0.35">
      <c r="A762" s="5" t="s">
        <v>6</v>
      </c>
      <c r="B762" s="1" t="s">
        <v>43</v>
      </c>
      <c r="C762" s="1">
        <v>33</v>
      </c>
      <c r="D762" s="1">
        <v>221</v>
      </c>
      <c r="E762" s="1" t="s">
        <v>20</v>
      </c>
      <c r="F762" s="6" t="s">
        <v>21</v>
      </c>
    </row>
    <row r="763" spans="1:6" x14ac:dyDescent="0.35">
      <c r="A763" s="5" t="s">
        <v>6</v>
      </c>
      <c r="B763" s="1" t="s">
        <v>43</v>
      </c>
      <c r="C763" s="1">
        <v>34</v>
      </c>
      <c r="D763" s="1">
        <v>60</v>
      </c>
      <c r="E763" s="1" t="s">
        <v>20</v>
      </c>
      <c r="F763" s="6" t="s">
        <v>21</v>
      </c>
    </row>
    <row r="764" spans="1:6" x14ac:dyDescent="0.35">
      <c r="A764" s="5" t="s">
        <v>6</v>
      </c>
      <c r="B764" s="1" t="s">
        <v>43</v>
      </c>
      <c r="C764" s="1">
        <v>35</v>
      </c>
      <c r="D764" s="1">
        <v>219</v>
      </c>
      <c r="E764" s="1" t="s">
        <v>20</v>
      </c>
      <c r="F764" s="6" t="s">
        <v>21</v>
      </c>
    </row>
    <row r="765" spans="1:6" x14ac:dyDescent="0.35">
      <c r="A765" s="5" t="s">
        <v>6</v>
      </c>
      <c r="B765" s="1" t="s">
        <v>43</v>
      </c>
      <c r="C765" s="1">
        <v>36</v>
      </c>
      <c r="D765" s="1">
        <v>106</v>
      </c>
      <c r="E765" s="1" t="s">
        <v>20</v>
      </c>
      <c r="F765" s="6" t="s">
        <v>21</v>
      </c>
    </row>
    <row r="766" spans="1:6" x14ac:dyDescent="0.35">
      <c r="A766" s="5" t="s">
        <v>6</v>
      </c>
      <c r="B766" s="1" t="s">
        <v>43</v>
      </c>
      <c r="C766" s="1">
        <v>37</v>
      </c>
      <c r="D766" s="1">
        <v>51</v>
      </c>
      <c r="E766" s="1" t="s">
        <v>20</v>
      </c>
      <c r="F766" s="6" t="s">
        <v>21</v>
      </c>
    </row>
    <row r="767" spans="1:6" x14ac:dyDescent="0.35">
      <c r="A767" s="5" t="s">
        <v>6</v>
      </c>
      <c r="B767" s="1" t="s">
        <v>43</v>
      </c>
      <c r="C767" s="1">
        <v>38</v>
      </c>
      <c r="D767" s="1">
        <v>151</v>
      </c>
      <c r="E767" s="1" t="s">
        <v>20</v>
      </c>
      <c r="F767" s="6" t="s">
        <v>21</v>
      </c>
    </row>
    <row r="768" spans="1:6" x14ac:dyDescent="0.35">
      <c r="A768" s="5" t="s">
        <v>6</v>
      </c>
      <c r="B768" s="1" t="s">
        <v>43</v>
      </c>
      <c r="C768" s="1">
        <v>39</v>
      </c>
      <c r="D768" s="1">
        <v>82</v>
      </c>
      <c r="E768" s="1" t="s">
        <v>20</v>
      </c>
      <c r="F768" s="6" t="s">
        <v>21</v>
      </c>
    </row>
    <row r="769" spans="1:6" x14ac:dyDescent="0.35">
      <c r="A769" s="5" t="s">
        <v>6</v>
      </c>
      <c r="B769" s="1" t="s">
        <v>43</v>
      </c>
      <c r="C769" s="1">
        <v>40</v>
      </c>
      <c r="D769" s="1">
        <v>219</v>
      </c>
      <c r="E769" s="1" t="s">
        <v>20</v>
      </c>
      <c r="F769" s="6" t="s">
        <v>21</v>
      </c>
    </row>
    <row r="770" spans="1:6" x14ac:dyDescent="0.35">
      <c r="A770" s="5" t="s">
        <v>6</v>
      </c>
      <c r="B770" s="1" t="s">
        <v>43</v>
      </c>
      <c r="C770" s="1">
        <v>41</v>
      </c>
      <c r="D770" s="1">
        <v>31</v>
      </c>
      <c r="E770" s="1" t="s">
        <v>20</v>
      </c>
      <c r="F770" s="6" t="s">
        <v>21</v>
      </c>
    </row>
    <row r="771" spans="1:6" x14ac:dyDescent="0.35">
      <c r="A771" s="5" t="s">
        <v>6</v>
      </c>
      <c r="B771" s="1" t="s">
        <v>43</v>
      </c>
      <c r="C771" s="1">
        <v>42</v>
      </c>
      <c r="D771" s="1">
        <v>218</v>
      </c>
      <c r="E771" s="1" t="s">
        <v>20</v>
      </c>
      <c r="F771" s="6" t="s">
        <v>21</v>
      </c>
    </row>
    <row r="772" spans="1:6" x14ac:dyDescent="0.35">
      <c r="A772" s="5" t="s">
        <v>6</v>
      </c>
      <c r="B772" s="1" t="s">
        <v>43</v>
      </c>
      <c r="C772" s="1">
        <v>43</v>
      </c>
      <c r="D772" s="1">
        <v>137</v>
      </c>
      <c r="E772" s="1" t="s">
        <v>20</v>
      </c>
      <c r="F772" s="6" t="s">
        <v>21</v>
      </c>
    </row>
    <row r="773" spans="1:6" x14ac:dyDescent="0.35">
      <c r="A773" s="5" t="s">
        <v>6</v>
      </c>
      <c r="B773" s="1" t="s">
        <v>43</v>
      </c>
      <c r="C773" s="1">
        <v>44</v>
      </c>
      <c r="D773" s="1">
        <v>253</v>
      </c>
      <c r="E773" s="1" t="s">
        <v>20</v>
      </c>
      <c r="F773" s="6" t="s">
        <v>21</v>
      </c>
    </row>
    <row r="774" spans="1:6" x14ac:dyDescent="0.35">
      <c r="A774" s="5" t="s">
        <v>6</v>
      </c>
      <c r="B774" s="1" t="s">
        <v>43</v>
      </c>
      <c r="C774" s="1">
        <v>45</v>
      </c>
      <c r="D774" s="1">
        <v>388</v>
      </c>
      <c r="E774" s="1" t="s">
        <v>20</v>
      </c>
      <c r="F774" s="6" t="s">
        <v>21</v>
      </c>
    </row>
    <row r="775" spans="1:6" x14ac:dyDescent="0.35">
      <c r="A775" s="5" t="s">
        <v>6</v>
      </c>
      <c r="B775" s="1" t="s">
        <v>43</v>
      </c>
      <c r="C775" s="1">
        <v>46</v>
      </c>
      <c r="D775" s="1">
        <v>225</v>
      </c>
      <c r="E775" s="1" t="s">
        <v>20</v>
      </c>
      <c r="F775" s="6" t="s">
        <v>21</v>
      </c>
    </row>
    <row r="776" spans="1:6" x14ac:dyDescent="0.35">
      <c r="A776" s="5" t="s">
        <v>6</v>
      </c>
      <c r="B776" s="1" t="s">
        <v>43</v>
      </c>
      <c r="C776" s="1">
        <v>47</v>
      </c>
      <c r="D776" s="1">
        <v>28</v>
      </c>
      <c r="E776" s="1" t="s">
        <v>20</v>
      </c>
      <c r="F776" s="6" t="s">
        <v>21</v>
      </c>
    </row>
    <row r="777" spans="1:6" x14ac:dyDescent="0.35">
      <c r="A777" s="5" t="s">
        <v>6</v>
      </c>
      <c r="B777" s="1" t="s">
        <v>43</v>
      </c>
      <c r="C777" s="1">
        <v>48</v>
      </c>
      <c r="D777" s="1">
        <v>371</v>
      </c>
      <c r="E777" s="1" t="s">
        <v>20</v>
      </c>
      <c r="F777" s="6" t="s">
        <v>21</v>
      </c>
    </row>
    <row r="778" spans="1:6" x14ac:dyDescent="0.35">
      <c r="A778" s="5" t="s">
        <v>6</v>
      </c>
      <c r="B778" s="1" t="s">
        <v>43</v>
      </c>
      <c r="C778" s="1">
        <v>49</v>
      </c>
      <c r="D778" s="1">
        <v>309</v>
      </c>
      <c r="E778" s="1" t="s">
        <v>20</v>
      </c>
      <c r="F778" s="6" t="s">
        <v>21</v>
      </c>
    </row>
    <row r="779" spans="1:6" x14ac:dyDescent="0.35">
      <c r="A779" s="5" t="s">
        <v>6</v>
      </c>
      <c r="B779" s="1" t="s">
        <v>43</v>
      </c>
      <c r="C779" s="1">
        <v>50</v>
      </c>
      <c r="D779" s="1">
        <v>167</v>
      </c>
      <c r="E779" s="1" t="s">
        <v>20</v>
      </c>
      <c r="F779" s="6" t="s">
        <v>21</v>
      </c>
    </row>
    <row r="780" spans="1:6" x14ac:dyDescent="0.35">
      <c r="A780" s="5" t="s">
        <v>6</v>
      </c>
      <c r="B780" s="1" t="s">
        <v>43</v>
      </c>
      <c r="C780" s="1">
        <v>51</v>
      </c>
      <c r="D780" s="1">
        <v>141</v>
      </c>
      <c r="E780" s="1" t="s">
        <v>20</v>
      </c>
      <c r="F780" s="6" t="s">
        <v>21</v>
      </c>
    </row>
    <row r="781" spans="1:6" x14ac:dyDescent="0.35">
      <c r="A781" s="5" t="s">
        <v>6</v>
      </c>
      <c r="B781" s="1" t="s">
        <v>43</v>
      </c>
      <c r="C781" s="1">
        <v>52</v>
      </c>
      <c r="D781" s="1">
        <v>256</v>
      </c>
      <c r="E781" s="1" t="s">
        <v>20</v>
      </c>
      <c r="F781" s="6" t="s">
        <v>21</v>
      </c>
    </row>
    <row r="782" spans="1:6" x14ac:dyDescent="0.35">
      <c r="A782" s="5" t="s">
        <v>10</v>
      </c>
      <c r="B782" s="1" t="s">
        <v>43</v>
      </c>
      <c r="C782" s="1">
        <v>1</v>
      </c>
      <c r="D782" s="1">
        <v>88</v>
      </c>
      <c r="E782" s="1" t="s">
        <v>23</v>
      </c>
      <c r="F782" s="6" t="s">
        <v>24</v>
      </c>
    </row>
    <row r="783" spans="1:6" x14ac:dyDescent="0.35">
      <c r="A783" s="5" t="s">
        <v>10</v>
      </c>
      <c r="B783" s="1" t="s">
        <v>43</v>
      </c>
      <c r="C783" s="1">
        <v>2</v>
      </c>
      <c r="D783" s="1">
        <v>158</v>
      </c>
      <c r="E783" s="1" t="s">
        <v>23</v>
      </c>
      <c r="F783" s="6" t="s">
        <v>24</v>
      </c>
    </row>
    <row r="784" spans="1:6" x14ac:dyDescent="0.35">
      <c r="A784" s="5" t="s">
        <v>10</v>
      </c>
      <c r="B784" s="1" t="s">
        <v>43</v>
      </c>
      <c r="C784" s="1">
        <v>3</v>
      </c>
      <c r="D784" s="1">
        <v>122</v>
      </c>
      <c r="E784" s="1" t="s">
        <v>23</v>
      </c>
      <c r="F784" s="6" t="s">
        <v>24</v>
      </c>
    </row>
    <row r="785" spans="1:6" x14ac:dyDescent="0.35">
      <c r="A785" s="5" t="s">
        <v>10</v>
      </c>
      <c r="B785" s="1" t="s">
        <v>43</v>
      </c>
      <c r="C785" s="1">
        <v>4</v>
      </c>
      <c r="D785" s="1">
        <v>33</v>
      </c>
      <c r="E785" s="1" t="s">
        <v>23</v>
      </c>
      <c r="F785" s="6" t="s">
        <v>24</v>
      </c>
    </row>
    <row r="786" spans="1:6" x14ac:dyDescent="0.35">
      <c r="A786" s="5" t="s">
        <v>10</v>
      </c>
      <c r="B786" s="1" t="s">
        <v>43</v>
      </c>
      <c r="C786" s="1">
        <v>5</v>
      </c>
      <c r="D786" s="1">
        <v>99</v>
      </c>
      <c r="E786" s="1" t="s">
        <v>23</v>
      </c>
      <c r="F786" s="6" t="s">
        <v>24</v>
      </c>
    </row>
    <row r="787" spans="1:6" x14ac:dyDescent="0.35">
      <c r="A787" s="5" t="s">
        <v>10</v>
      </c>
      <c r="B787" s="1" t="s">
        <v>43</v>
      </c>
      <c r="C787" s="1">
        <v>6</v>
      </c>
      <c r="D787" s="1">
        <v>89</v>
      </c>
      <c r="E787" s="1" t="s">
        <v>23</v>
      </c>
      <c r="F787" s="6" t="s">
        <v>24</v>
      </c>
    </row>
    <row r="788" spans="1:6" x14ac:dyDescent="0.35">
      <c r="A788" s="5" t="s">
        <v>10</v>
      </c>
      <c r="B788" s="1" t="s">
        <v>43</v>
      </c>
      <c r="C788" s="1">
        <v>7</v>
      </c>
      <c r="D788" s="1">
        <v>134</v>
      </c>
      <c r="E788" s="1" t="s">
        <v>23</v>
      </c>
      <c r="F788" s="6" t="s">
        <v>24</v>
      </c>
    </row>
    <row r="789" spans="1:6" x14ac:dyDescent="0.35">
      <c r="A789" s="5" t="s">
        <v>10</v>
      </c>
      <c r="B789" s="1" t="s">
        <v>43</v>
      </c>
      <c r="C789" s="1">
        <v>8</v>
      </c>
      <c r="D789" s="1">
        <v>85</v>
      </c>
      <c r="E789" s="1" t="s">
        <v>23</v>
      </c>
      <c r="F789" s="6" t="s">
        <v>24</v>
      </c>
    </row>
    <row r="790" spans="1:6" x14ac:dyDescent="0.35">
      <c r="A790" s="5" t="s">
        <v>10</v>
      </c>
      <c r="B790" s="1" t="s">
        <v>43</v>
      </c>
      <c r="C790" s="1">
        <v>9</v>
      </c>
      <c r="D790" s="1">
        <v>162</v>
      </c>
      <c r="E790" s="1" t="s">
        <v>23</v>
      </c>
      <c r="F790" s="6" t="s">
        <v>24</v>
      </c>
    </row>
    <row r="791" spans="1:6" x14ac:dyDescent="0.35">
      <c r="A791" s="5" t="s">
        <v>10</v>
      </c>
      <c r="B791" s="1" t="s">
        <v>43</v>
      </c>
      <c r="C791" s="1">
        <v>10</v>
      </c>
      <c r="D791" s="1">
        <v>190</v>
      </c>
      <c r="E791" s="1" t="s">
        <v>23</v>
      </c>
      <c r="F791" s="6" t="s">
        <v>24</v>
      </c>
    </row>
    <row r="792" spans="1:6" x14ac:dyDescent="0.35">
      <c r="A792" s="5" t="s">
        <v>10</v>
      </c>
      <c r="B792" s="1" t="s">
        <v>43</v>
      </c>
      <c r="C792" s="1">
        <v>11</v>
      </c>
      <c r="D792" s="1">
        <v>157</v>
      </c>
      <c r="E792" s="1" t="s">
        <v>23</v>
      </c>
      <c r="F792" s="6" t="s">
        <v>24</v>
      </c>
    </row>
    <row r="793" spans="1:6" x14ac:dyDescent="0.35">
      <c r="A793" s="5" t="s">
        <v>10</v>
      </c>
      <c r="B793" s="1" t="s">
        <v>43</v>
      </c>
      <c r="C793" s="1">
        <v>12</v>
      </c>
      <c r="D793" s="1">
        <v>163</v>
      </c>
      <c r="E793" s="1" t="s">
        <v>23</v>
      </c>
      <c r="F793" s="6" t="s">
        <v>24</v>
      </c>
    </row>
    <row r="794" spans="1:6" x14ac:dyDescent="0.35">
      <c r="A794" s="5" t="s">
        <v>10</v>
      </c>
      <c r="B794" s="1" t="s">
        <v>43</v>
      </c>
      <c r="C794" s="1">
        <v>13</v>
      </c>
      <c r="D794" s="1">
        <v>194</v>
      </c>
      <c r="E794" s="1" t="s">
        <v>23</v>
      </c>
      <c r="F794" s="6" t="s">
        <v>24</v>
      </c>
    </row>
    <row r="795" spans="1:6" x14ac:dyDescent="0.35">
      <c r="A795" s="5" t="s">
        <v>10</v>
      </c>
      <c r="B795" s="1" t="s">
        <v>43</v>
      </c>
      <c r="C795" s="1">
        <v>14</v>
      </c>
      <c r="D795" s="1">
        <v>131</v>
      </c>
      <c r="E795" s="1" t="s">
        <v>23</v>
      </c>
      <c r="F795" s="6" t="s">
        <v>24</v>
      </c>
    </row>
    <row r="796" spans="1:6" x14ac:dyDescent="0.35">
      <c r="A796" s="5" t="s">
        <v>10</v>
      </c>
      <c r="B796" s="1" t="s">
        <v>43</v>
      </c>
      <c r="C796" s="1">
        <v>15</v>
      </c>
      <c r="D796" s="1">
        <v>226</v>
      </c>
      <c r="E796" s="1" t="s">
        <v>23</v>
      </c>
      <c r="F796" s="6" t="s">
        <v>24</v>
      </c>
    </row>
    <row r="797" spans="1:6" x14ac:dyDescent="0.35">
      <c r="A797" s="5" t="s">
        <v>10</v>
      </c>
      <c r="B797" s="1" t="s">
        <v>43</v>
      </c>
      <c r="C797" s="1">
        <v>16</v>
      </c>
      <c r="D797" s="1">
        <v>53</v>
      </c>
      <c r="E797" s="1" t="s">
        <v>23</v>
      </c>
      <c r="F797" s="6" t="s">
        <v>24</v>
      </c>
    </row>
    <row r="798" spans="1:6" x14ac:dyDescent="0.35">
      <c r="A798" s="5" t="s">
        <v>10</v>
      </c>
      <c r="B798" s="1" t="s">
        <v>43</v>
      </c>
      <c r="C798" s="1">
        <v>17</v>
      </c>
      <c r="D798" s="1">
        <v>159</v>
      </c>
      <c r="E798" s="1" t="s">
        <v>23</v>
      </c>
      <c r="F798" s="6" t="s">
        <v>24</v>
      </c>
    </row>
    <row r="799" spans="1:6" x14ac:dyDescent="0.35">
      <c r="A799" s="5" t="s">
        <v>10</v>
      </c>
      <c r="B799" s="1" t="s">
        <v>43</v>
      </c>
      <c r="C799" s="1">
        <v>18</v>
      </c>
      <c r="D799" s="1">
        <v>162</v>
      </c>
      <c r="E799" s="1" t="s">
        <v>23</v>
      </c>
      <c r="F799" s="6" t="s">
        <v>24</v>
      </c>
    </row>
    <row r="800" spans="1:6" x14ac:dyDescent="0.35">
      <c r="A800" s="5" t="s">
        <v>10</v>
      </c>
      <c r="B800" s="1" t="s">
        <v>43</v>
      </c>
      <c r="C800" s="1">
        <v>19</v>
      </c>
      <c r="D800" s="1">
        <v>77</v>
      </c>
      <c r="E800" s="1" t="s">
        <v>23</v>
      </c>
      <c r="F800" s="6" t="s">
        <v>24</v>
      </c>
    </row>
    <row r="801" spans="1:6" x14ac:dyDescent="0.35">
      <c r="A801" s="5" t="s">
        <v>10</v>
      </c>
      <c r="B801" s="1" t="s">
        <v>43</v>
      </c>
      <c r="C801" s="1">
        <v>20</v>
      </c>
      <c r="D801" s="1">
        <v>239</v>
      </c>
      <c r="E801" s="1" t="s">
        <v>23</v>
      </c>
      <c r="F801" s="6" t="s">
        <v>24</v>
      </c>
    </row>
    <row r="802" spans="1:6" x14ac:dyDescent="0.35">
      <c r="A802" s="5" t="s">
        <v>10</v>
      </c>
      <c r="B802" s="1" t="s">
        <v>43</v>
      </c>
      <c r="C802" s="1">
        <v>21</v>
      </c>
      <c r="D802" s="1">
        <v>44</v>
      </c>
      <c r="E802" s="1" t="s">
        <v>23</v>
      </c>
      <c r="F802" s="6" t="s">
        <v>24</v>
      </c>
    </row>
    <row r="803" spans="1:6" x14ac:dyDescent="0.35">
      <c r="A803" s="5" t="s">
        <v>10</v>
      </c>
      <c r="B803" s="1" t="s">
        <v>43</v>
      </c>
      <c r="C803" s="1">
        <v>22</v>
      </c>
      <c r="D803" s="1">
        <v>83</v>
      </c>
      <c r="E803" s="1" t="s">
        <v>23</v>
      </c>
      <c r="F803" s="6" t="s">
        <v>24</v>
      </c>
    </row>
    <row r="804" spans="1:6" x14ac:dyDescent="0.35">
      <c r="A804" s="5" t="s">
        <v>10</v>
      </c>
      <c r="B804" s="1" t="s">
        <v>43</v>
      </c>
      <c r="C804" s="1">
        <v>23</v>
      </c>
      <c r="D804" s="1">
        <v>357</v>
      </c>
      <c r="E804" s="1" t="s">
        <v>23</v>
      </c>
      <c r="F804" s="6" t="s">
        <v>24</v>
      </c>
    </row>
    <row r="805" spans="1:6" x14ac:dyDescent="0.35">
      <c r="A805" s="5" t="s">
        <v>10</v>
      </c>
      <c r="B805" s="1" t="s">
        <v>43</v>
      </c>
      <c r="C805" s="1">
        <v>24</v>
      </c>
      <c r="D805" s="1">
        <v>59</v>
      </c>
      <c r="E805" s="1" t="s">
        <v>23</v>
      </c>
      <c r="F805" s="6" t="s">
        <v>24</v>
      </c>
    </row>
    <row r="806" spans="1:6" x14ac:dyDescent="0.35">
      <c r="A806" s="5" t="s">
        <v>10</v>
      </c>
      <c r="B806" s="1" t="s">
        <v>43</v>
      </c>
      <c r="C806" s="1">
        <v>25</v>
      </c>
      <c r="D806" s="1">
        <v>179</v>
      </c>
      <c r="E806" s="1" t="s">
        <v>23</v>
      </c>
      <c r="F806" s="6" t="s">
        <v>24</v>
      </c>
    </row>
    <row r="807" spans="1:6" x14ac:dyDescent="0.35">
      <c r="A807" s="5" t="s">
        <v>10</v>
      </c>
      <c r="B807" s="1" t="s">
        <v>43</v>
      </c>
      <c r="C807" s="1">
        <v>26</v>
      </c>
      <c r="D807" s="1">
        <v>235</v>
      </c>
      <c r="E807" s="1" t="s">
        <v>23</v>
      </c>
      <c r="F807" s="6" t="s">
        <v>24</v>
      </c>
    </row>
    <row r="808" spans="1:6" x14ac:dyDescent="0.35">
      <c r="A808" s="5" t="s">
        <v>10</v>
      </c>
      <c r="B808" s="1" t="s">
        <v>43</v>
      </c>
      <c r="C808" s="1">
        <v>27</v>
      </c>
      <c r="D808" s="1">
        <v>243</v>
      </c>
      <c r="E808" s="1" t="s">
        <v>23</v>
      </c>
      <c r="F808" s="6" t="s">
        <v>24</v>
      </c>
    </row>
    <row r="809" spans="1:6" x14ac:dyDescent="0.35">
      <c r="A809" s="5" t="s">
        <v>10</v>
      </c>
      <c r="B809" s="1" t="s">
        <v>43</v>
      </c>
      <c r="C809" s="1">
        <v>28</v>
      </c>
      <c r="D809" s="1">
        <v>50</v>
      </c>
      <c r="E809" s="1" t="s">
        <v>23</v>
      </c>
      <c r="F809" s="6" t="s">
        <v>24</v>
      </c>
    </row>
    <row r="810" spans="1:6" x14ac:dyDescent="0.35">
      <c r="A810" s="5" t="s">
        <v>10</v>
      </c>
      <c r="B810" s="1" t="s">
        <v>43</v>
      </c>
      <c r="C810" s="1">
        <v>29</v>
      </c>
      <c r="D810" s="1">
        <v>304</v>
      </c>
      <c r="E810" s="1" t="s">
        <v>23</v>
      </c>
      <c r="F810" s="6" t="s">
        <v>24</v>
      </c>
    </row>
    <row r="811" spans="1:6" x14ac:dyDescent="0.35">
      <c r="A811" s="5" t="s">
        <v>10</v>
      </c>
      <c r="B811" s="1" t="s">
        <v>43</v>
      </c>
      <c r="C811" s="1">
        <v>30</v>
      </c>
      <c r="D811" s="1">
        <v>110</v>
      </c>
      <c r="E811" s="1" t="s">
        <v>23</v>
      </c>
      <c r="F811" s="6" t="s">
        <v>24</v>
      </c>
    </row>
    <row r="812" spans="1:6" x14ac:dyDescent="0.35">
      <c r="A812" s="5" t="s">
        <v>10</v>
      </c>
      <c r="B812" s="1" t="s">
        <v>43</v>
      </c>
      <c r="C812" s="1">
        <v>31</v>
      </c>
      <c r="D812" s="1">
        <v>327</v>
      </c>
      <c r="E812" s="1" t="s">
        <v>23</v>
      </c>
      <c r="F812" s="6" t="s">
        <v>24</v>
      </c>
    </row>
    <row r="813" spans="1:6" x14ac:dyDescent="0.35">
      <c r="A813" s="5" t="s">
        <v>10</v>
      </c>
      <c r="B813" s="1" t="s">
        <v>43</v>
      </c>
      <c r="C813" s="1">
        <v>32</v>
      </c>
      <c r="D813" s="1">
        <v>346</v>
      </c>
      <c r="E813" s="1" t="s">
        <v>23</v>
      </c>
      <c r="F813" s="6" t="s">
        <v>24</v>
      </c>
    </row>
    <row r="814" spans="1:6" x14ac:dyDescent="0.35">
      <c r="A814" s="5" t="s">
        <v>10</v>
      </c>
      <c r="B814" s="1" t="s">
        <v>43</v>
      </c>
      <c r="C814" s="1">
        <v>33</v>
      </c>
      <c r="D814" s="1">
        <v>440</v>
      </c>
      <c r="E814" s="1" t="s">
        <v>23</v>
      </c>
      <c r="F814" s="6" t="s">
        <v>24</v>
      </c>
    </row>
    <row r="815" spans="1:6" x14ac:dyDescent="0.35">
      <c r="A815" s="5" t="s">
        <v>10</v>
      </c>
      <c r="B815" s="1" t="s">
        <v>43</v>
      </c>
      <c r="C815" s="1">
        <v>34</v>
      </c>
      <c r="D815" s="1">
        <v>168</v>
      </c>
      <c r="E815" s="1" t="s">
        <v>23</v>
      </c>
      <c r="F815" s="6" t="s">
        <v>24</v>
      </c>
    </row>
    <row r="816" spans="1:6" x14ac:dyDescent="0.35">
      <c r="A816" s="5" t="s">
        <v>10</v>
      </c>
      <c r="B816" s="1" t="s">
        <v>43</v>
      </c>
      <c r="C816" s="1">
        <v>35</v>
      </c>
      <c r="D816" s="1">
        <v>303</v>
      </c>
      <c r="E816" s="1" t="s">
        <v>23</v>
      </c>
      <c r="F816" s="6" t="s">
        <v>24</v>
      </c>
    </row>
    <row r="817" spans="1:6" x14ac:dyDescent="0.35">
      <c r="A817" s="5" t="s">
        <v>10</v>
      </c>
      <c r="B817" s="1" t="s">
        <v>43</v>
      </c>
      <c r="C817" s="1">
        <v>36</v>
      </c>
      <c r="D817" s="1">
        <v>244</v>
      </c>
      <c r="E817" s="1" t="s">
        <v>23</v>
      </c>
      <c r="F817" s="6" t="s">
        <v>24</v>
      </c>
    </row>
    <row r="818" spans="1:6" x14ac:dyDescent="0.35">
      <c r="A818" s="5" t="s">
        <v>10</v>
      </c>
      <c r="B818" s="1" t="s">
        <v>43</v>
      </c>
      <c r="C818" s="1">
        <v>37</v>
      </c>
      <c r="D818" s="1">
        <v>331</v>
      </c>
      <c r="E818" s="1" t="s">
        <v>23</v>
      </c>
      <c r="F818" s="6" t="s">
        <v>24</v>
      </c>
    </row>
    <row r="819" spans="1:6" x14ac:dyDescent="0.35">
      <c r="A819" s="5" t="s">
        <v>10</v>
      </c>
      <c r="B819" s="1" t="s">
        <v>43</v>
      </c>
      <c r="C819" s="1">
        <v>38</v>
      </c>
      <c r="D819" s="1">
        <v>331</v>
      </c>
      <c r="E819" s="1" t="s">
        <v>23</v>
      </c>
      <c r="F819" s="6" t="s">
        <v>24</v>
      </c>
    </row>
    <row r="820" spans="1:6" x14ac:dyDescent="0.35">
      <c r="A820" s="5" t="s">
        <v>10</v>
      </c>
      <c r="B820" s="1" t="s">
        <v>43</v>
      </c>
      <c r="C820" s="1">
        <v>39</v>
      </c>
      <c r="D820" s="1">
        <v>153</v>
      </c>
      <c r="E820" s="1" t="s">
        <v>23</v>
      </c>
      <c r="F820" s="6" t="s">
        <v>24</v>
      </c>
    </row>
    <row r="821" spans="1:6" x14ac:dyDescent="0.35">
      <c r="A821" s="5" t="s">
        <v>10</v>
      </c>
      <c r="B821" s="1" t="s">
        <v>43</v>
      </c>
      <c r="C821" s="1">
        <v>40</v>
      </c>
      <c r="D821" s="1">
        <v>65</v>
      </c>
      <c r="E821" s="1" t="s">
        <v>23</v>
      </c>
      <c r="F821" s="6" t="s">
        <v>24</v>
      </c>
    </row>
    <row r="822" spans="1:6" x14ac:dyDescent="0.35">
      <c r="A822" s="5" t="s">
        <v>10</v>
      </c>
      <c r="B822" s="1" t="s">
        <v>43</v>
      </c>
      <c r="C822" s="1">
        <v>41</v>
      </c>
      <c r="D822" s="1">
        <v>377</v>
      </c>
      <c r="E822" s="1" t="s">
        <v>23</v>
      </c>
      <c r="F822" s="6" t="s">
        <v>24</v>
      </c>
    </row>
    <row r="823" spans="1:6" x14ac:dyDescent="0.35">
      <c r="A823" s="5" t="s">
        <v>10</v>
      </c>
      <c r="B823" s="1" t="s">
        <v>43</v>
      </c>
      <c r="C823" s="1">
        <v>42</v>
      </c>
      <c r="D823" s="1">
        <v>118</v>
      </c>
      <c r="E823" s="1" t="s">
        <v>23</v>
      </c>
      <c r="F823" s="6" t="s">
        <v>24</v>
      </c>
    </row>
    <row r="824" spans="1:6" x14ac:dyDescent="0.35">
      <c r="A824" s="5" t="s">
        <v>10</v>
      </c>
      <c r="B824" s="1" t="s">
        <v>43</v>
      </c>
      <c r="C824" s="1">
        <v>43</v>
      </c>
      <c r="D824" s="1">
        <v>252</v>
      </c>
      <c r="E824" s="1" t="s">
        <v>23</v>
      </c>
      <c r="F824" s="6" t="s">
        <v>24</v>
      </c>
    </row>
    <row r="825" spans="1:6" x14ac:dyDescent="0.35">
      <c r="A825" s="5" t="s">
        <v>10</v>
      </c>
      <c r="B825" s="1" t="s">
        <v>43</v>
      </c>
      <c r="C825" s="1">
        <v>44</v>
      </c>
      <c r="D825" s="1">
        <v>398</v>
      </c>
      <c r="E825" s="1" t="s">
        <v>23</v>
      </c>
      <c r="F825" s="6" t="s">
        <v>24</v>
      </c>
    </row>
    <row r="826" spans="1:6" x14ac:dyDescent="0.35">
      <c r="A826" s="5" t="s">
        <v>10</v>
      </c>
      <c r="B826" s="1" t="s">
        <v>43</v>
      </c>
      <c r="C826" s="1">
        <v>45</v>
      </c>
      <c r="D826" s="1">
        <v>274</v>
      </c>
      <c r="E826" s="1" t="s">
        <v>23</v>
      </c>
      <c r="F826" s="6" t="s">
        <v>24</v>
      </c>
    </row>
    <row r="827" spans="1:6" x14ac:dyDescent="0.35">
      <c r="A827" s="5" t="s">
        <v>10</v>
      </c>
      <c r="B827" s="1" t="s">
        <v>43</v>
      </c>
      <c r="C827" s="1">
        <v>46</v>
      </c>
      <c r="D827" s="1">
        <v>178</v>
      </c>
      <c r="E827" s="1" t="s">
        <v>23</v>
      </c>
      <c r="F827" s="6" t="s">
        <v>24</v>
      </c>
    </row>
    <row r="828" spans="1:6" x14ac:dyDescent="0.35">
      <c r="A828" s="5" t="s">
        <v>10</v>
      </c>
      <c r="B828" s="1" t="s">
        <v>43</v>
      </c>
      <c r="C828" s="1">
        <v>47</v>
      </c>
      <c r="D828" s="1">
        <v>88</v>
      </c>
      <c r="E828" s="1" t="s">
        <v>23</v>
      </c>
      <c r="F828" s="6" t="s">
        <v>24</v>
      </c>
    </row>
    <row r="829" spans="1:6" x14ac:dyDescent="0.35">
      <c r="A829" s="5" t="s">
        <v>10</v>
      </c>
      <c r="B829" s="1" t="s">
        <v>43</v>
      </c>
      <c r="C829" s="1">
        <v>48</v>
      </c>
      <c r="D829" s="1">
        <v>200</v>
      </c>
      <c r="E829" s="1" t="s">
        <v>23</v>
      </c>
      <c r="F829" s="6" t="s">
        <v>24</v>
      </c>
    </row>
    <row r="830" spans="1:6" x14ac:dyDescent="0.35">
      <c r="A830" s="5" t="s">
        <v>10</v>
      </c>
      <c r="B830" s="1" t="s">
        <v>43</v>
      </c>
      <c r="C830" s="1">
        <v>49</v>
      </c>
      <c r="D830" s="1">
        <v>340</v>
      </c>
      <c r="E830" s="1" t="s">
        <v>23</v>
      </c>
      <c r="F830" s="6" t="s">
        <v>24</v>
      </c>
    </row>
    <row r="831" spans="1:6" x14ac:dyDescent="0.35">
      <c r="A831" s="5" t="s">
        <v>10</v>
      </c>
      <c r="B831" s="1" t="s">
        <v>43</v>
      </c>
      <c r="C831" s="1">
        <v>50</v>
      </c>
      <c r="D831" s="1">
        <v>268</v>
      </c>
      <c r="E831" s="1" t="s">
        <v>23</v>
      </c>
      <c r="F831" s="6" t="s">
        <v>24</v>
      </c>
    </row>
    <row r="832" spans="1:6" x14ac:dyDescent="0.35">
      <c r="A832" s="5" t="s">
        <v>10</v>
      </c>
      <c r="B832" s="1" t="s">
        <v>43</v>
      </c>
      <c r="C832" s="1">
        <v>51</v>
      </c>
      <c r="D832" s="1">
        <v>179</v>
      </c>
      <c r="E832" s="1" t="s">
        <v>23</v>
      </c>
      <c r="F832" s="6" t="s">
        <v>24</v>
      </c>
    </row>
    <row r="833" spans="1:6" x14ac:dyDescent="0.35">
      <c r="A833" s="5" t="s">
        <v>10</v>
      </c>
      <c r="B833" s="1" t="s">
        <v>43</v>
      </c>
      <c r="C833" s="1">
        <v>52</v>
      </c>
      <c r="D833" s="1">
        <v>123</v>
      </c>
      <c r="E833" s="1" t="s">
        <v>23</v>
      </c>
      <c r="F833" s="6" t="s">
        <v>24</v>
      </c>
    </row>
    <row r="834" spans="1:6" x14ac:dyDescent="0.35">
      <c r="A834" s="5" t="s">
        <v>22</v>
      </c>
      <c r="B834" s="1" t="s">
        <v>7</v>
      </c>
      <c r="C834" s="1">
        <v>1</v>
      </c>
      <c r="D834" s="1">
        <v>21</v>
      </c>
      <c r="E834" s="1" t="s">
        <v>23</v>
      </c>
      <c r="F834" s="6" t="s">
        <v>24</v>
      </c>
    </row>
    <row r="835" spans="1:6" x14ac:dyDescent="0.35">
      <c r="A835" s="5" t="s">
        <v>22</v>
      </c>
      <c r="B835" s="1" t="s">
        <v>7</v>
      </c>
      <c r="C835" s="1">
        <v>2</v>
      </c>
      <c r="D835" s="1">
        <v>12</v>
      </c>
      <c r="E835" s="1" t="s">
        <v>23</v>
      </c>
      <c r="F835" s="6" t="s">
        <v>24</v>
      </c>
    </row>
    <row r="836" spans="1:6" x14ac:dyDescent="0.35">
      <c r="A836" s="5" t="s">
        <v>22</v>
      </c>
      <c r="B836" s="1" t="s">
        <v>7</v>
      </c>
      <c r="C836" s="1">
        <v>3</v>
      </c>
      <c r="D836" s="1">
        <v>25</v>
      </c>
      <c r="E836" s="1" t="s">
        <v>23</v>
      </c>
      <c r="F836" s="6" t="s">
        <v>24</v>
      </c>
    </row>
    <row r="837" spans="1:6" x14ac:dyDescent="0.35">
      <c r="A837" s="5" t="s">
        <v>22</v>
      </c>
      <c r="B837" s="1" t="s">
        <v>7</v>
      </c>
      <c r="C837" s="1">
        <v>4</v>
      </c>
      <c r="D837" s="1">
        <v>43</v>
      </c>
      <c r="E837" s="1" t="s">
        <v>23</v>
      </c>
      <c r="F837" s="6" t="s">
        <v>24</v>
      </c>
    </row>
    <row r="838" spans="1:6" x14ac:dyDescent="0.35">
      <c r="A838" s="5" t="s">
        <v>22</v>
      </c>
      <c r="B838" s="1" t="s">
        <v>7</v>
      </c>
      <c r="C838" s="1">
        <v>5</v>
      </c>
      <c r="D838" s="1">
        <v>61</v>
      </c>
      <c r="E838" s="1" t="s">
        <v>23</v>
      </c>
      <c r="F838" s="6" t="s">
        <v>24</v>
      </c>
    </row>
    <row r="839" spans="1:6" x14ac:dyDescent="0.35">
      <c r="A839" s="5" t="s">
        <v>22</v>
      </c>
      <c r="B839" s="1" t="s">
        <v>7</v>
      </c>
      <c r="C839" s="1">
        <v>6</v>
      </c>
      <c r="D839" s="1">
        <v>40</v>
      </c>
      <c r="E839" s="1" t="s">
        <v>23</v>
      </c>
      <c r="F839" s="6" t="s">
        <v>24</v>
      </c>
    </row>
    <row r="840" spans="1:6" x14ac:dyDescent="0.35">
      <c r="A840" s="5" t="s">
        <v>22</v>
      </c>
      <c r="B840" s="1" t="s">
        <v>7</v>
      </c>
      <c r="C840" s="1">
        <v>7</v>
      </c>
      <c r="D840" s="1">
        <v>23</v>
      </c>
      <c r="E840" s="1" t="s">
        <v>23</v>
      </c>
      <c r="F840" s="6" t="s">
        <v>24</v>
      </c>
    </row>
    <row r="841" spans="1:6" x14ac:dyDescent="0.35">
      <c r="A841" s="5" t="s">
        <v>22</v>
      </c>
      <c r="B841" s="1" t="s">
        <v>7</v>
      </c>
      <c r="C841" s="1">
        <v>8</v>
      </c>
      <c r="D841" s="1">
        <v>17</v>
      </c>
      <c r="E841" s="1" t="s">
        <v>23</v>
      </c>
      <c r="F841" s="6" t="s">
        <v>24</v>
      </c>
    </row>
    <row r="842" spans="1:6" x14ac:dyDescent="0.35">
      <c r="A842" s="5" t="s">
        <v>22</v>
      </c>
      <c r="B842" s="1" t="s">
        <v>7</v>
      </c>
      <c r="C842" s="1">
        <v>9</v>
      </c>
      <c r="D842" s="1">
        <v>68</v>
      </c>
      <c r="E842" s="1" t="s">
        <v>23</v>
      </c>
      <c r="F842" s="6" t="s">
        <v>24</v>
      </c>
    </row>
    <row r="843" spans="1:6" x14ac:dyDescent="0.35">
      <c r="A843" s="5" t="s">
        <v>22</v>
      </c>
      <c r="B843" s="1" t="s">
        <v>7</v>
      </c>
      <c r="C843" s="1">
        <v>10</v>
      </c>
      <c r="D843" s="1">
        <v>16</v>
      </c>
      <c r="E843" s="1" t="s">
        <v>23</v>
      </c>
      <c r="F843" s="6" t="s">
        <v>24</v>
      </c>
    </row>
    <row r="844" spans="1:6" x14ac:dyDescent="0.35">
      <c r="A844" s="5" t="s">
        <v>22</v>
      </c>
      <c r="B844" s="1" t="s">
        <v>7</v>
      </c>
      <c r="C844" s="1">
        <v>11</v>
      </c>
      <c r="D844" s="1">
        <v>38</v>
      </c>
      <c r="E844" s="1" t="s">
        <v>23</v>
      </c>
      <c r="F844" s="6" t="s">
        <v>24</v>
      </c>
    </row>
    <row r="845" spans="1:6" x14ac:dyDescent="0.35">
      <c r="A845" s="5" t="s">
        <v>22</v>
      </c>
      <c r="B845" s="1" t="s">
        <v>7</v>
      </c>
      <c r="C845" s="1">
        <v>12</v>
      </c>
      <c r="D845" s="1">
        <v>35</v>
      </c>
      <c r="E845" s="1" t="s">
        <v>23</v>
      </c>
      <c r="F845" s="6" t="s">
        <v>24</v>
      </c>
    </row>
    <row r="846" spans="1:6" x14ac:dyDescent="0.35">
      <c r="A846" s="5" t="s">
        <v>22</v>
      </c>
      <c r="B846" s="1" t="s">
        <v>7</v>
      </c>
      <c r="C846" s="1">
        <v>13</v>
      </c>
      <c r="D846" s="1">
        <v>70</v>
      </c>
      <c r="E846" s="1" t="s">
        <v>23</v>
      </c>
      <c r="F846" s="6" t="s">
        <v>24</v>
      </c>
    </row>
    <row r="847" spans="1:6" x14ac:dyDescent="0.35">
      <c r="A847" s="5" t="s">
        <v>22</v>
      </c>
      <c r="B847" s="1" t="s">
        <v>7</v>
      </c>
      <c r="C847" s="1">
        <v>14</v>
      </c>
      <c r="D847" s="1">
        <v>59</v>
      </c>
      <c r="E847" s="1" t="s">
        <v>23</v>
      </c>
      <c r="F847" s="6" t="s">
        <v>24</v>
      </c>
    </row>
    <row r="848" spans="1:6" x14ac:dyDescent="0.35">
      <c r="A848" s="5" t="s">
        <v>22</v>
      </c>
      <c r="B848" s="1" t="s">
        <v>7</v>
      </c>
      <c r="C848" s="1">
        <v>15</v>
      </c>
      <c r="D848" s="1">
        <v>54</v>
      </c>
      <c r="E848" s="1" t="s">
        <v>23</v>
      </c>
      <c r="F848" s="6" t="s">
        <v>24</v>
      </c>
    </row>
    <row r="849" spans="1:6" x14ac:dyDescent="0.35">
      <c r="A849" s="5" t="s">
        <v>22</v>
      </c>
      <c r="B849" s="1" t="s">
        <v>7</v>
      </c>
      <c r="C849" s="1">
        <v>16</v>
      </c>
      <c r="D849" s="1">
        <v>19</v>
      </c>
      <c r="E849" s="1" t="s">
        <v>23</v>
      </c>
      <c r="F849" s="6" t="s">
        <v>24</v>
      </c>
    </row>
    <row r="850" spans="1:6" x14ac:dyDescent="0.35">
      <c r="A850" s="5" t="s">
        <v>22</v>
      </c>
      <c r="B850" s="1" t="s">
        <v>7</v>
      </c>
      <c r="C850" s="1">
        <v>17</v>
      </c>
      <c r="D850" s="1">
        <v>31</v>
      </c>
      <c r="E850" s="1" t="s">
        <v>23</v>
      </c>
      <c r="F850" s="6" t="s">
        <v>24</v>
      </c>
    </row>
    <row r="851" spans="1:6" x14ac:dyDescent="0.35">
      <c r="A851" s="5" t="s">
        <v>22</v>
      </c>
      <c r="B851" s="1" t="s">
        <v>7</v>
      </c>
      <c r="C851" s="1">
        <v>18</v>
      </c>
      <c r="D851" s="1">
        <v>54</v>
      </c>
      <c r="E851" s="1" t="s">
        <v>23</v>
      </c>
      <c r="F851" s="6" t="s">
        <v>24</v>
      </c>
    </row>
    <row r="852" spans="1:6" x14ac:dyDescent="0.35">
      <c r="A852" s="5" t="s">
        <v>22</v>
      </c>
      <c r="B852" s="1" t="s">
        <v>7</v>
      </c>
      <c r="C852" s="1">
        <v>19</v>
      </c>
      <c r="D852" s="1">
        <v>49</v>
      </c>
      <c r="E852" s="1" t="s">
        <v>23</v>
      </c>
      <c r="F852" s="6" t="s">
        <v>24</v>
      </c>
    </row>
    <row r="853" spans="1:6" x14ac:dyDescent="0.35">
      <c r="A853" s="5" t="s">
        <v>22</v>
      </c>
      <c r="B853" s="1" t="s">
        <v>7</v>
      </c>
      <c r="C853" s="1">
        <v>20</v>
      </c>
      <c r="D853" s="1">
        <v>11</v>
      </c>
      <c r="E853" s="1" t="s">
        <v>23</v>
      </c>
      <c r="F853" s="6" t="s">
        <v>24</v>
      </c>
    </row>
    <row r="854" spans="1:6" x14ac:dyDescent="0.35">
      <c r="A854" s="5" t="s">
        <v>22</v>
      </c>
      <c r="B854" s="1" t="s">
        <v>7</v>
      </c>
      <c r="C854" s="1">
        <v>21</v>
      </c>
      <c r="D854" s="1">
        <v>105</v>
      </c>
      <c r="E854" s="1" t="s">
        <v>23</v>
      </c>
      <c r="F854" s="6" t="s">
        <v>24</v>
      </c>
    </row>
    <row r="855" spans="1:6" x14ac:dyDescent="0.35">
      <c r="A855" s="5" t="s">
        <v>22</v>
      </c>
      <c r="B855" s="1" t="s">
        <v>7</v>
      </c>
      <c r="C855" s="1">
        <v>22</v>
      </c>
      <c r="D855" s="1">
        <v>53</v>
      </c>
      <c r="E855" s="1" t="s">
        <v>23</v>
      </c>
      <c r="F855" s="6" t="s">
        <v>24</v>
      </c>
    </row>
    <row r="856" spans="1:6" x14ac:dyDescent="0.35">
      <c r="A856" s="5" t="s">
        <v>22</v>
      </c>
      <c r="B856" s="1" t="s">
        <v>7</v>
      </c>
      <c r="C856" s="1">
        <v>23</v>
      </c>
      <c r="D856" s="1">
        <v>102</v>
      </c>
      <c r="E856" s="1" t="s">
        <v>23</v>
      </c>
      <c r="F856" s="6" t="s">
        <v>24</v>
      </c>
    </row>
    <row r="857" spans="1:6" x14ac:dyDescent="0.35">
      <c r="A857" s="5" t="s">
        <v>22</v>
      </c>
      <c r="B857" s="1" t="s">
        <v>7</v>
      </c>
      <c r="C857" s="1">
        <v>24</v>
      </c>
      <c r="D857" s="1">
        <v>25</v>
      </c>
      <c r="E857" s="1" t="s">
        <v>23</v>
      </c>
      <c r="F857" s="6" t="s">
        <v>24</v>
      </c>
    </row>
    <row r="858" spans="1:6" x14ac:dyDescent="0.35">
      <c r="A858" s="5" t="s">
        <v>22</v>
      </c>
      <c r="B858" s="1" t="s">
        <v>7</v>
      </c>
      <c r="C858" s="1">
        <v>25</v>
      </c>
      <c r="D858" s="1">
        <v>108</v>
      </c>
      <c r="E858" s="1" t="s">
        <v>23</v>
      </c>
      <c r="F858" s="6" t="s">
        <v>24</v>
      </c>
    </row>
    <row r="859" spans="1:6" x14ac:dyDescent="0.35">
      <c r="A859" s="5" t="s">
        <v>22</v>
      </c>
      <c r="B859" s="1" t="s">
        <v>7</v>
      </c>
      <c r="C859" s="1">
        <v>26</v>
      </c>
      <c r="D859" s="1">
        <v>14</v>
      </c>
      <c r="E859" s="1" t="s">
        <v>23</v>
      </c>
      <c r="F859" s="6" t="s">
        <v>24</v>
      </c>
    </row>
    <row r="860" spans="1:6" x14ac:dyDescent="0.35">
      <c r="A860" s="5" t="s">
        <v>22</v>
      </c>
      <c r="B860" s="1" t="s">
        <v>7</v>
      </c>
      <c r="C860" s="1">
        <v>27</v>
      </c>
      <c r="D860" s="1">
        <v>19</v>
      </c>
      <c r="E860" s="1" t="s">
        <v>23</v>
      </c>
      <c r="F860" s="6" t="s">
        <v>24</v>
      </c>
    </row>
    <row r="861" spans="1:6" x14ac:dyDescent="0.35">
      <c r="A861" s="5" t="s">
        <v>22</v>
      </c>
      <c r="B861" s="1" t="s">
        <v>7</v>
      </c>
      <c r="C861" s="1">
        <v>28</v>
      </c>
      <c r="D861" s="1">
        <v>35</v>
      </c>
      <c r="E861" s="1" t="s">
        <v>23</v>
      </c>
      <c r="F861" s="6" t="s">
        <v>24</v>
      </c>
    </row>
    <row r="862" spans="1:6" x14ac:dyDescent="0.35">
      <c r="A862" s="5" t="s">
        <v>22</v>
      </c>
      <c r="B862" s="1" t="s">
        <v>7</v>
      </c>
      <c r="C862" s="1">
        <v>29</v>
      </c>
      <c r="D862" s="1">
        <v>64</v>
      </c>
      <c r="E862" s="1" t="s">
        <v>23</v>
      </c>
      <c r="F862" s="6" t="s">
        <v>24</v>
      </c>
    </row>
    <row r="863" spans="1:6" x14ac:dyDescent="0.35">
      <c r="A863" s="5" t="s">
        <v>22</v>
      </c>
      <c r="B863" s="1" t="s">
        <v>7</v>
      </c>
      <c r="C863" s="1">
        <v>30</v>
      </c>
      <c r="D863" s="1">
        <v>34</v>
      </c>
      <c r="E863" s="1" t="s">
        <v>23</v>
      </c>
      <c r="F863" s="6" t="s">
        <v>24</v>
      </c>
    </row>
    <row r="864" spans="1:6" x14ac:dyDescent="0.35">
      <c r="A864" s="5" t="s">
        <v>22</v>
      </c>
      <c r="B864" s="1" t="s">
        <v>7</v>
      </c>
      <c r="C864" s="1">
        <v>31</v>
      </c>
      <c r="D864" s="1">
        <v>84</v>
      </c>
      <c r="E864" s="1" t="s">
        <v>23</v>
      </c>
      <c r="F864" s="6" t="s">
        <v>24</v>
      </c>
    </row>
    <row r="865" spans="1:6" x14ac:dyDescent="0.35">
      <c r="A865" s="5" t="s">
        <v>22</v>
      </c>
      <c r="B865" s="1" t="s">
        <v>7</v>
      </c>
      <c r="C865" s="1">
        <v>32</v>
      </c>
      <c r="D865" s="1">
        <v>16</v>
      </c>
      <c r="E865" s="1" t="s">
        <v>23</v>
      </c>
      <c r="F865" s="6" t="s">
        <v>24</v>
      </c>
    </row>
    <row r="866" spans="1:6" x14ac:dyDescent="0.35">
      <c r="A866" s="5" t="s">
        <v>22</v>
      </c>
      <c r="B866" s="1" t="s">
        <v>7</v>
      </c>
      <c r="C866" s="1">
        <v>33</v>
      </c>
      <c r="D866" s="1">
        <v>92</v>
      </c>
      <c r="E866" s="1" t="s">
        <v>23</v>
      </c>
      <c r="F866" s="6" t="s">
        <v>24</v>
      </c>
    </row>
    <row r="867" spans="1:6" x14ac:dyDescent="0.35">
      <c r="A867" s="5" t="s">
        <v>22</v>
      </c>
      <c r="B867" s="1" t="s">
        <v>7</v>
      </c>
      <c r="C867" s="1">
        <v>34</v>
      </c>
      <c r="D867" s="1">
        <v>54</v>
      </c>
      <c r="E867" s="1" t="s">
        <v>23</v>
      </c>
      <c r="F867" s="6" t="s">
        <v>24</v>
      </c>
    </row>
    <row r="868" spans="1:6" x14ac:dyDescent="0.35">
      <c r="A868" s="5" t="s">
        <v>22</v>
      </c>
      <c r="B868" s="1" t="s">
        <v>7</v>
      </c>
      <c r="C868" s="1">
        <v>35</v>
      </c>
      <c r="D868" s="1">
        <v>128</v>
      </c>
      <c r="E868" s="1" t="s">
        <v>23</v>
      </c>
      <c r="F868" s="6" t="s">
        <v>24</v>
      </c>
    </row>
    <row r="869" spans="1:6" x14ac:dyDescent="0.35">
      <c r="A869" s="5" t="s">
        <v>22</v>
      </c>
      <c r="B869" s="1" t="s">
        <v>7</v>
      </c>
      <c r="C869" s="1">
        <v>36</v>
      </c>
      <c r="D869" s="1">
        <v>89</v>
      </c>
      <c r="E869" s="1" t="s">
        <v>23</v>
      </c>
      <c r="F869" s="6" t="s">
        <v>24</v>
      </c>
    </row>
    <row r="870" spans="1:6" x14ac:dyDescent="0.35">
      <c r="A870" s="5" t="s">
        <v>22</v>
      </c>
      <c r="B870" s="1" t="s">
        <v>7</v>
      </c>
      <c r="C870" s="1">
        <v>37</v>
      </c>
      <c r="D870" s="1">
        <v>158</v>
      </c>
      <c r="E870" s="1" t="s">
        <v>23</v>
      </c>
      <c r="F870" s="6" t="s">
        <v>24</v>
      </c>
    </row>
    <row r="871" spans="1:6" x14ac:dyDescent="0.35">
      <c r="A871" s="5" t="s">
        <v>22</v>
      </c>
      <c r="B871" s="1" t="s">
        <v>7</v>
      </c>
      <c r="C871" s="1">
        <v>38</v>
      </c>
      <c r="D871" s="1">
        <v>52</v>
      </c>
      <c r="E871" s="1" t="s">
        <v>23</v>
      </c>
      <c r="F871" s="6" t="s">
        <v>24</v>
      </c>
    </row>
    <row r="872" spans="1:6" x14ac:dyDescent="0.35">
      <c r="A872" s="5" t="s">
        <v>22</v>
      </c>
      <c r="B872" s="1" t="s">
        <v>7</v>
      </c>
      <c r="C872" s="1">
        <v>39</v>
      </c>
      <c r="D872" s="1">
        <v>34</v>
      </c>
      <c r="E872" s="1" t="s">
        <v>23</v>
      </c>
      <c r="F872" s="6" t="s">
        <v>24</v>
      </c>
    </row>
    <row r="873" spans="1:6" x14ac:dyDescent="0.35">
      <c r="A873" s="5" t="s">
        <v>22</v>
      </c>
      <c r="B873" s="1" t="s">
        <v>7</v>
      </c>
      <c r="C873" s="1">
        <v>40</v>
      </c>
      <c r="D873" s="1">
        <v>83</v>
      </c>
      <c r="E873" s="1" t="s">
        <v>23</v>
      </c>
      <c r="F873" s="6" t="s">
        <v>24</v>
      </c>
    </row>
    <row r="874" spans="1:6" x14ac:dyDescent="0.35">
      <c r="A874" s="5" t="s">
        <v>22</v>
      </c>
      <c r="B874" s="1" t="s">
        <v>7</v>
      </c>
      <c r="C874" s="1">
        <v>41</v>
      </c>
      <c r="D874" s="1">
        <v>71</v>
      </c>
      <c r="E874" s="1" t="s">
        <v>23</v>
      </c>
      <c r="F874" s="6" t="s">
        <v>24</v>
      </c>
    </row>
    <row r="875" spans="1:6" x14ac:dyDescent="0.35">
      <c r="A875" s="5" t="s">
        <v>22</v>
      </c>
      <c r="B875" s="1" t="s">
        <v>7</v>
      </c>
      <c r="C875" s="1">
        <v>42</v>
      </c>
      <c r="D875" s="1">
        <v>137</v>
      </c>
      <c r="E875" s="1" t="s">
        <v>23</v>
      </c>
      <c r="F875" s="6" t="s">
        <v>24</v>
      </c>
    </row>
    <row r="876" spans="1:6" x14ac:dyDescent="0.35">
      <c r="A876" s="5" t="s">
        <v>22</v>
      </c>
      <c r="B876" s="1" t="s">
        <v>7</v>
      </c>
      <c r="C876" s="1">
        <v>43</v>
      </c>
      <c r="D876" s="1">
        <v>29</v>
      </c>
      <c r="E876" s="1" t="s">
        <v>23</v>
      </c>
      <c r="F876" s="6" t="s">
        <v>24</v>
      </c>
    </row>
    <row r="877" spans="1:6" x14ac:dyDescent="0.35">
      <c r="A877" s="5" t="s">
        <v>22</v>
      </c>
      <c r="B877" s="1" t="s">
        <v>7</v>
      </c>
      <c r="C877" s="1">
        <v>44</v>
      </c>
      <c r="D877" s="1">
        <v>128</v>
      </c>
      <c r="E877" s="1" t="s">
        <v>23</v>
      </c>
      <c r="F877" s="6" t="s">
        <v>24</v>
      </c>
    </row>
    <row r="878" spans="1:6" x14ac:dyDescent="0.35">
      <c r="A878" s="5" t="s">
        <v>22</v>
      </c>
      <c r="B878" s="1" t="s">
        <v>7</v>
      </c>
      <c r="C878" s="1">
        <v>45</v>
      </c>
      <c r="D878" s="1">
        <v>62</v>
      </c>
      <c r="E878" s="1" t="s">
        <v>23</v>
      </c>
      <c r="F878" s="6" t="s">
        <v>24</v>
      </c>
    </row>
    <row r="879" spans="1:6" x14ac:dyDescent="0.35">
      <c r="A879" s="5" t="s">
        <v>22</v>
      </c>
      <c r="B879" s="1" t="s">
        <v>7</v>
      </c>
      <c r="C879" s="1">
        <v>46</v>
      </c>
      <c r="D879" s="1">
        <v>172</v>
      </c>
      <c r="E879" s="1" t="s">
        <v>23</v>
      </c>
      <c r="F879" s="6" t="s">
        <v>24</v>
      </c>
    </row>
    <row r="880" spans="1:6" x14ac:dyDescent="0.35">
      <c r="A880" s="5" t="s">
        <v>22</v>
      </c>
      <c r="B880" s="1" t="s">
        <v>7</v>
      </c>
      <c r="C880" s="1">
        <v>47</v>
      </c>
      <c r="D880" s="1">
        <v>130</v>
      </c>
      <c r="E880" s="1" t="s">
        <v>23</v>
      </c>
      <c r="F880" s="6" t="s">
        <v>24</v>
      </c>
    </row>
    <row r="881" spans="1:6" x14ac:dyDescent="0.35">
      <c r="A881" s="5" t="s">
        <v>22</v>
      </c>
      <c r="B881" s="1" t="s">
        <v>7</v>
      </c>
      <c r="C881" s="1">
        <v>48</v>
      </c>
      <c r="D881" s="1">
        <v>38</v>
      </c>
      <c r="E881" s="1" t="s">
        <v>23</v>
      </c>
      <c r="F881" s="6" t="s">
        <v>24</v>
      </c>
    </row>
    <row r="882" spans="1:6" x14ac:dyDescent="0.35">
      <c r="A882" s="5" t="s">
        <v>22</v>
      </c>
      <c r="B882" s="1" t="s">
        <v>7</v>
      </c>
      <c r="C882" s="1">
        <v>49</v>
      </c>
      <c r="D882" s="1">
        <v>105</v>
      </c>
      <c r="E882" s="1" t="s">
        <v>23</v>
      </c>
      <c r="F882" s="6" t="s">
        <v>24</v>
      </c>
    </row>
    <row r="883" spans="1:6" x14ac:dyDescent="0.35">
      <c r="A883" s="5" t="s">
        <v>22</v>
      </c>
      <c r="B883" s="1" t="s">
        <v>7</v>
      </c>
      <c r="C883" s="1">
        <v>50</v>
      </c>
      <c r="D883" s="1">
        <v>54</v>
      </c>
      <c r="E883" s="1" t="s">
        <v>23</v>
      </c>
      <c r="F883" s="6" t="s">
        <v>24</v>
      </c>
    </row>
    <row r="884" spans="1:6" x14ac:dyDescent="0.35">
      <c r="A884" s="5" t="s">
        <v>22</v>
      </c>
      <c r="B884" s="1" t="s">
        <v>7</v>
      </c>
      <c r="C884" s="1">
        <v>51</v>
      </c>
      <c r="D884" s="1">
        <v>70</v>
      </c>
      <c r="E884" s="1" t="s">
        <v>23</v>
      </c>
      <c r="F884" s="6" t="s">
        <v>24</v>
      </c>
    </row>
    <row r="885" spans="1:6" x14ac:dyDescent="0.35">
      <c r="A885" s="5" t="s">
        <v>22</v>
      </c>
      <c r="B885" s="1" t="s">
        <v>7</v>
      </c>
      <c r="C885" s="1">
        <v>52</v>
      </c>
      <c r="D885" s="1">
        <v>66</v>
      </c>
      <c r="E885" s="1" t="s">
        <v>23</v>
      </c>
      <c r="F885" s="6" t="s">
        <v>24</v>
      </c>
    </row>
    <row r="886" spans="1:6" x14ac:dyDescent="0.35">
      <c r="A886" s="5" t="s">
        <v>16</v>
      </c>
      <c r="B886" s="1" t="s">
        <v>45</v>
      </c>
      <c r="C886" s="1">
        <v>1</v>
      </c>
      <c r="D886" s="1">
        <v>284</v>
      </c>
      <c r="E886" s="1" t="s">
        <v>23</v>
      </c>
      <c r="F886" s="6" t="s">
        <v>24</v>
      </c>
    </row>
    <row r="887" spans="1:6" x14ac:dyDescent="0.35">
      <c r="A887" s="5" t="s">
        <v>16</v>
      </c>
      <c r="B887" s="1" t="s">
        <v>45</v>
      </c>
      <c r="C887" s="1">
        <v>2</v>
      </c>
      <c r="D887" s="1">
        <v>299</v>
      </c>
      <c r="E887" s="1" t="s">
        <v>23</v>
      </c>
      <c r="F887" s="6" t="s">
        <v>24</v>
      </c>
    </row>
    <row r="888" spans="1:6" x14ac:dyDescent="0.35">
      <c r="A888" s="5" t="s">
        <v>16</v>
      </c>
      <c r="B888" s="1" t="s">
        <v>45</v>
      </c>
      <c r="C888" s="1">
        <v>3</v>
      </c>
      <c r="D888" s="1">
        <v>249</v>
      </c>
      <c r="E888" s="1" t="s">
        <v>23</v>
      </c>
      <c r="F888" s="6" t="s">
        <v>24</v>
      </c>
    </row>
    <row r="889" spans="1:6" x14ac:dyDescent="0.35">
      <c r="A889" s="5" t="s">
        <v>16</v>
      </c>
      <c r="B889" s="1" t="s">
        <v>45</v>
      </c>
      <c r="C889" s="1">
        <v>4</v>
      </c>
      <c r="D889" s="1">
        <v>276</v>
      </c>
      <c r="E889" s="1" t="s">
        <v>23</v>
      </c>
      <c r="F889" s="6" t="s">
        <v>24</v>
      </c>
    </row>
    <row r="890" spans="1:6" x14ac:dyDescent="0.35">
      <c r="A890" s="5" t="s">
        <v>16</v>
      </c>
      <c r="B890" s="1" t="s">
        <v>45</v>
      </c>
      <c r="C890" s="1">
        <v>5</v>
      </c>
      <c r="D890" s="1">
        <v>231</v>
      </c>
      <c r="E890" s="1" t="s">
        <v>23</v>
      </c>
      <c r="F890" s="6" t="s">
        <v>24</v>
      </c>
    </row>
    <row r="891" spans="1:6" x14ac:dyDescent="0.35">
      <c r="A891" s="5" t="s">
        <v>16</v>
      </c>
      <c r="B891" s="1" t="s">
        <v>45</v>
      </c>
      <c r="C891" s="1">
        <v>6</v>
      </c>
      <c r="D891" s="1">
        <v>260</v>
      </c>
      <c r="E891" s="1" t="s">
        <v>23</v>
      </c>
      <c r="F891" s="6" t="s">
        <v>24</v>
      </c>
    </row>
    <row r="892" spans="1:6" x14ac:dyDescent="0.35">
      <c r="A892" s="5" t="s">
        <v>16</v>
      </c>
      <c r="B892" s="1" t="s">
        <v>45</v>
      </c>
      <c r="C892" s="1">
        <v>7</v>
      </c>
      <c r="D892" s="1">
        <v>165</v>
      </c>
      <c r="E892" s="1" t="s">
        <v>23</v>
      </c>
      <c r="F892" s="6" t="s">
        <v>24</v>
      </c>
    </row>
    <row r="893" spans="1:6" x14ac:dyDescent="0.35">
      <c r="A893" s="5" t="s">
        <v>16</v>
      </c>
      <c r="B893" s="1" t="s">
        <v>45</v>
      </c>
      <c r="C893" s="1">
        <v>8</v>
      </c>
      <c r="D893" s="1">
        <v>333</v>
      </c>
      <c r="E893" s="1" t="s">
        <v>23</v>
      </c>
      <c r="F893" s="6" t="s">
        <v>24</v>
      </c>
    </row>
    <row r="894" spans="1:6" x14ac:dyDescent="0.35">
      <c r="A894" s="5" t="s">
        <v>16</v>
      </c>
      <c r="B894" s="1" t="s">
        <v>45</v>
      </c>
      <c r="C894" s="1">
        <v>9</v>
      </c>
      <c r="D894" s="1">
        <v>163</v>
      </c>
      <c r="E894" s="1" t="s">
        <v>23</v>
      </c>
      <c r="F894" s="6" t="s">
        <v>24</v>
      </c>
    </row>
    <row r="895" spans="1:6" x14ac:dyDescent="0.35">
      <c r="A895" s="5" t="s">
        <v>16</v>
      </c>
      <c r="B895" s="1" t="s">
        <v>45</v>
      </c>
      <c r="C895" s="1">
        <v>10</v>
      </c>
      <c r="D895" s="1">
        <v>94</v>
      </c>
      <c r="E895" s="1" t="s">
        <v>23</v>
      </c>
      <c r="F895" s="6" t="s">
        <v>24</v>
      </c>
    </row>
    <row r="896" spans="1:6" x14ac:dyDescent="0.35">
      <c r="A896" s="5" t="s">
        <v>16</v>
      </c>
      <c r="B896" s="1" t="s">
        <v>45</v>
      </c>
      <c r="C896" s="1">
        <v>11</v>
      </c>
      <c r="D896" s="1">
        <v>210</v>
      </c>
      <c r="E896" s="1" t="s">
        <v>23</v>
      </c>
      <c r="F896" s="6" t="s">
        <v>24</v>
      </c>
    </row>
    <row r="897" spans="1:6" x14ac:dyDescent="0.35">
      <c r="A897" s="5" t="s">
        <v>16</v>
      </c>
      <c r="B897" s="1" t="s">
        <v>45</v>
      </c>
      <c r="C897" s="1">
        <v>12</v>
      </c>
      <c r="D897" s="1">
        <v>183</v>
      </c>
      <c r="E897" s="1" t="s">
        <v>23</v>
      </c>
      <c r="F897" s="6" t="s">
        <v>24</v>
      </c>
    </row>
    <row r="898" spans="1:6" x14ac:dyDescent="0.35">
      <c r="A898" s="5" t="s">
        <v>16</v>
      </c>
      <c r="B898" s="1" t="s">
        <v>45</v>
      </c>
      <c r="C898" s="1">
        <v>13</v>
      </c>
      <c r="D898" s="1">
        <v>394</v>
      </c>
      <c r="E898" s="1" t="s">
        <v>23</v>
      </c>
      <c r="F898" s="6" t="s">
        <v>24</v>
      </c>
    </row>
    <row r="899" spans="1:6" x14ac:dyDescent="0.35">
      <c r="A899" s="5" t="s">
        <v>16</v>
      </c>
      <c r="B899" s="1" t="s">
        <v>45</v>
      </c>
      <c r="C899" s="1">
        <v>14</v>
      </c>
      <c r="D899" s="1">
        <v>434</v>
      </c>
      <c r="E899" s="1" t="s">
        <v>23</v>
      </c>
      <c r="F899" s="6" t="s">
        <v>24</v>
      </c>
    </row>
    <row r="900" spans="1:6" x14ac:dyDescent="0.35">
      <c r="A900" s="5" t="s">
        <v>16</v>
      </c>
      <c r="B900" s="1" t="s">
        <v>45</v>
      </c>
      <c r="C900" s="1">
        <v>15</v>
      </c>
      <c r="D900" s="1">
        <v>428</v>
      </c>
      <c r="E900" s="1" t="s">
        <v>23</v>
      </c>
      <c r="F900" s="6" t="s">
        <v>24</v>
      </c>
    </row>
    <row r="901" spans="1:6" x14ac:dyDescent="0.35">
      <c r="A901" s="5" t="s">
        <v>16</v>
      </c>
      <c r="B901" s="1" t="s">
        <v>45</v>
      </c>
      <c r="C901" s="1">
        <v>16</v>
      </c>
      <c r="D901" s="1">
        <v>485</v>
      </c>
      <c r="E901" s="1" t="s">
        <v>23</v>
      </c>
      <c r="F901" s="6" t="s">
        <v>24</v>
      </c>
    </row>
    <row r="902" spans="1:6" x14ac:dyDescent="0.35">
      <c r="A902" s="5" t="s">
        <v>16</v>
      </c>
      <c r="B902" s="1" t="s">
        <v>45</v>
      </c>
      <c r="C902" s="1">
        <v>17</v>
      </c>
      <c r="D902" s="1">
        <v>161</v>
      </c>
      <c r="E902" s="1" t="s">
        <v>23</v>
      </c>
      <c r="F902" s="6" t="s">
        <v>24</v>
      </c>
    </row>
    <row r="903" spans="1:6" x14ac:dyDescent="0.35">
      <c r="A903" s="5" t="s">
        <v>16</v>
      </c>
      <c r="B903" s="1" t="s">
        <v>45</v>
      </c>
      <c r="C903" s="1">
        <v>18</v>
      </c>
      <c r="D903" s="1">
        <v>95</v>
      </c>
      <c r="E903" s="1" t="s">
        <v>23</v>
      </c>
      <c r="F903" s="6" t="s">
        <v>24</v>
      </c>
    </row>
    <row r="904" spans="1:6" x14ac:dyDescent="0.35">
      <c r="A904" s="5" t="s">
        <v>16</v>
      </c>
      <c r="B904" s="1" t="s">
        <v>45</v>
      </c>
      <c r="C904" s="1">
        <v>19</v>
      </c>
      <c r="D904" s="1">
        <v>477</v>
      </c>
      <c r="E904" s="1" t="s">
        <v>23</v>
      </c>
      <c r="F904" s="6" t="s">
        <v>24</v>
      </c>
    </row>
    <row r="905" spans="1:6" x14ac:dyDescent="0.35">
      <c r="A905" s="5" t="s">
        <v>16</v>
      </c>
      <c r="B905" s="1" t="s">
        <v>45</v>
      </c>
      <c r="C905" s="1">
        <v>20</v>
      </c>
      <c r="D905" s="1">
        <v>211</v>
      </c>
      <c r="E905" s="1" t="s">
        <v>23</v>
      </c>
      <c r="F905" s="6" t="s">
        <v>24</v>
      </c>
    </row>
    <row r="906" spans="1:6" x14ac:dyDescent="0.35">
      <c r="A906" s="5" t="s">
        <v>16</v>
      </c>
      <c r="B906" s="1" t="s">
        <v>45</v>
      </c>
      <c r="C906" s="1">
        <v>21</v>
      </c>
      <c r="D906" s="1">
        <v>509</v>
      </c>
      <c r="E906" s="1" t="s">
        <v>23</v>
      </c>
      <c r="F906" s="6" t="s">
        <v>24</v>
      </c>
    </row>
    <row r="907" spans="1:6" x14ac:dyDescent="0.35">
      <c r="A907" s="5" t="s">
        <v>16</v>
      </c>
      <c r="B907" s="1" t="s">
        <v>45</v>
      </c>
      <c r="C907" s="1">
        <v>22</v>
      </c>
      <c r="D907" s="1">
        <v>280</v>
      </c>
      <c r="E907" s="1" t="s">
        <v>23</v>
      </c>
      <c r="F907" s="6" t="s">
        <v>24</v>
      </c>
    </row>
    <row r="908" spans="1:6" x14ac:dyDescent="0.35">
      <c r="A908" s="5" t="s">
        <v>16</v>
      </c>
      <c r="B908" s="1" t="s">
        <v>45</v>
      </c>
      <c r="C908" s="1">
        <v>23</v>
      </c>
      <c r="D908" s="1">
        <v>175</v>
      </c>
      <c r="E908" s="1" t="s">
        <v>23</v>
      </c>
      <c r="F908" s="6" t="s">
        <v>24</v>
      </c>
    </row>
    <row r="909" spans="1:6" x14ac:dyDescent="0.35">
      <c r="A909" s="5" t="s">
        <v>16</v>
      </c>
      <c r="B909" s="1" t="s">
        <v>45</v>
      </c>
      <c r="C909" s="1">
        <v>24</v>
      </c>
      <c r="D909" s="1">
        <v>338</v>
      </c>
      <c r="E909" s="1" t="s">
        <v>23</v>
      </c>
      <c r="F909" s="6" t="s">
        <v>24</v>
      </c>
    </row>
    <row r="910" spans="1:6" x14ac:dyDescent="0.35">
      <c r="A910" s="5" t="s">
        <v>16</v>
      </c>
      <c r="B910" s="1" t="s">
        <v>45</v>
      </c>
      <c r="C910" s="1">
        <v>25</v>
      </c>
      <c r="D910" s="1">
        <v>280</v>
      </c>
      <c r="E910" s="1" t="s">
        <v>23</v>
      </c>
      <c r="F910" s="6" t="s">
        <v>24</v>
      </c>
    </row>
    <row r="911" spans="1:6" x14ac:dyDescent="0.35">
      <c r="A911" s="5" t="s">
        <v>16</v>
      </c>
      <c r="B911" s="1" t="s">
        <v>45</v>
      </c>
      <c r="C911" s="1">
        <v>26</v>
      </c>
      <c r="D911" s="1">
        <v>533</v>
      </c>
      <c r="E911" s="1" t="s">
        <v>23</v>
      </c>
      <c r="F911" s="6" t="s">
        <v>24</v>
      </c>
    </row>
    <row r="912" spans="1:6" x14ac:dyDescent="0.35">
      <c r="A912" s="5" t="s">
        <v>16</v>
      </c>
      <c r="B912" s="1" t="s">
        <v>45</v>
      </c>
      <c r="C912" s="1">
        <v>27</v>
      </c>
      <c r="D912" s="1">
        <v>96</v>
      </c>
      <c r="E912" s="1" t="s">
        <v>23</v>
      </c>
      <c r="F912" s="6" t="s">
        <v>24</v>
      </c>
    </row>
    <row r="913" spans="1:6" x14ac:dyDescent="0.35">
      <c r="A913" s="5" t="s">
        <v>16</v>
      </c>
      <c r="B913" s="1" t="s">
        <v>45</v>
      </c>
      <c r="C913" s="1">
        <v>28</v>
      </c>
      <c r="D913" s="1">
        <v>472</v>
      </c>
      <c r="E913" s="1" t="s">
        <v>23</v>
      </c>
      <c r="F913" s="6" t="s">
        <v>24</v>
      </c>
    </row>
    <row r="914" spans="1:6" x14ac:dyDescent="0.35">
      <c r="A914" s="5" t="s">
        <v>16</v>
      </c>
      <c r="B914" s="1" t="s">
        <v>45</v>
      </c>
      <c r="C914" s="1">
        <v>29</v>
      </c>
      <c r="D914" s="1">
        <v>211</v>
      </c>
      <c r="E914" s="1" t="s">
        <v>23</v>
      </c>
      <c r="F914" s="6" t="s">
        <v>24</v>
      </c>
    </row>
    <row r="915" spans="1:6" x14ac:dyDescent="0.35">
      <c r="A915" s="5" t="s">
        <v>16</v>
      </c>
      <c r="B915" s="1" t="s">
        <v>45</v>
      </c>
      <c r="C915" s="1">
        <v>30</v>
      </c>
      <c r="D915" s="1">
        <v>269</v>
      </c>
      <c r="E915" s="1" t="s">
        <v>23</v>
      </c>
      <c r="F915" s="6" t="s">
        <v>24</v>
      </c>
    </row>
    <row r="916" spans="1:6" x14ac:dyDescent="0.35">
      <c r="A916" s="5" t="s">
        <v>16</v>
      </c>
      <c r="B916" s="1" t="s">
        <v>45</v>
      </c>
      <c r="C916" s="1">
        <v>31</v>
      </c>
      <c r="D916" s="1">
        <v>223</v>
      </c>
      <c r="E916" s="1" t="s">
        <v>23</v>
      </c>
      <c r="F916" s="6" t="s">
        <v>24</v>
      </c>
    </row>
    <row r="917" spans="1:6" x14ac:dyDescent="0.35">
      <c r="A917" s="5" t="s">
        <v>16</v>
      </c>
      <c r="B917" s="1" t="s">
        <v>45</v>
      </c>
      <c r="C917" s="1">
        <v>32</v>
      </c>
      <c r="D917" s="1">
        <v>452</v>
      </c>
      <c r="E917" s="1" t="s">
        <v>23</v>
      </c>
      <c r="F917" s="6" t="s">
        <v>24</v>
      </c>
    </row>
    <row r="918" spans="1:6" x14ac:dyDescent="0.35">
      <c r="A918" s="5" t="s">
        <v>16</v>
      </c>
      <c r="B918" s="1" t="s">
        <v>45</v>
      </c>
      <c r="C918" s="1">
        <v>33</v>
      </c>
      <c r="D918" s="1">
        <v>506</v>
      </c>
      <c r="E918" s="1" t="s">
        <v>23</v>
      </c>
      <c r="F918" s="6" t="s">
        <v>24</v>
      </c>
    </row>
    <row r="919" spans="1:6" x14ac:dyDescent="0.35">
      <c r="A919" s="5" t="s">
        <v>16</v>
      </c>
      <c r="B919" s="1" t="s">
        <v>45</v>
      </c>
      <c r="C919" s="1">
        <v>34</v>
      </c>
      <c r="D919" s="1">
        <v>137</v>
      </c>
      <c r="E919" s="1" t="s">
        <v>23</v>
      </c>
      <c r="F919" s="6" t="s">
        <v>24</v>
      </c>
    </row>
    <row r="920" spans="1:6" x14ac:dyDescent="0.35">
      <c r="A920" s="5" t="s">
        <v>16</v>
      </c>
      <c r="B920" s="1" t="s">
        <v>45</v>
      </c>
      <c r="C920" s="1">
        <v>35</v>
      </c>
      <c r="D920" s="1">
        <v>370</v>
      </c>
      <c r="E920" s="1" t="s">
        <v>23</v>
      </c>
      <c r="F920" s="6" t="s">
        <v>24</v>
      </c>
    </row>
    <row r="921" spans="1:6" x14ac:dyDescent="0.35">
      <c r="A921" s="5" t="s">
        <v>16</v>
      </c>
      <c r="B921" s="1" t="s">
        <v>45</v>
      </c>
      <c r="C921" s="1">
        <v>36</v>
      </c>
      <c r="D921" s="1">
        <v>337</v>
      </c>
      <c r="E921" s="1" t="s">
        <v>23</v>
      </c>
      <c r="F921" s="6" t="s">
        <v>24</v>
      </c>
    </row>
    <row r="922" spans="1:6" x14ac:dyDescent="0.35">
      <c r="A922" s="5" t="s">
        <v>16</v>
      </c>
      <c r="B922" s="1" t="s">
        <v>45</v>
      </c>
      <c r="C922" s="1">
        <v>37</v>
      </c>
      <c r="D922" s="1">
        <v>550</v>
      </c>
      <c r="E922" s="1" t="s">
        <v>23</v>
      </c>
      <c r="F922" s="6" t="s">
        <v>24</v>
      </c>
    </row>
    <row r="923" spans="1:6" x14ac:dyDescent="0.35">
      <c r="A923" s="5" t="s">
        <v>16</v>
      </c>
      <c r="B923" s="1" t="s">
        <v>45</v>
      </c>
      <c r="C923" s="1">
        <v>38</v>
      </c>
      <c r="D923" s="1">
        <v>94</v>
      </c>
      <c r="E923" s="1" t="s">
        <v>23</v>
      </c>
      <c r="F923" s="6" t="s">
        <v>24</v>
      </c>
    </row>
    <row r="924" spans="1:6" x14ac:dyDescent="0.35">
      <c r="A924" s="5" t="s">
        <v>16</v>
      </c>
      <c r="B924" s="1" t="s">
        <v>45</v>
      </c>
      <c r="C924" s="1">
        <v>39</v>
      </c>
      <c r="D924" s="1">
        <v>253</v>
      </c>
      <c r="E924" s="1" t="s">
        <v>23</v>
      </c>
      <c r="F924" s="6" t="s">
        <v>24</v>
      </c>
    </row>
    <row r="925" spans="1:6" x14ac:dyDescent="0.35">
      <c r="A925" s="5" t="s">
        <v>16</v>
      </c>
      <c r="B925" s="1" t="s">
        <v>45</v>
      </c>
      <c r="C925" s="1">
        <v>40</v>
      </c>
      <c r="D925" s="1">
        <v>610</v>
      </c>
      <c r="E925" s="1" t="s">
        <v>23</v>
      </c>
      <c r="F925" s="6" t="s">
        <v>24</v>
      </c>
    </row>
    <row r="926" spans="1:6" x14ac:dyDescent="0.35">
      <c r="A926" s="5" t="s">
        <v>16</v>
      </c>
      <c r="B926" s="1" t="s">
        <v>45</v>
      </c>
      <c r="C926" s="1">
        <v>41</v>
      </c>
      <c r="D926" s="1">
        <v>730</v>
      </c>
      <c r="E926" s="1" t="s">
        <v>23</v>
      </c>
      <c r="F926" s="6" t="s">
        <v>24</v>
      </c>
    </row>
    <row r="927" spans="1:6" x14ac:dyDescent="0.35">
      <c r="A927" s="5" t="s">
        <v>16</v>
      </c>
      <c r="B927" s="1" t="s">
        <v>45</v>
      </c>
      <c r="C927" s="1">
        <v>42</v>
      </c>
      <c r="D927" s="1">
        <v>776</v>
      </c>
      <c r="E927" s="1" t="s">
        <v>23</v>
      </c>
      <c r="F927" s="6" t="s">
        <v>24</v>
      </c>
    </row>
    <row r="928" spans="1:6" x14ac:dyDescent="0.35">
      <c r="A928" s="5" t="s">
        <v>16</v>
      </c>
      <c r="B928" s="1" t="s">
        <v>45</v>
      </c>
      <c r="C928" s="1">
        <v>43</v>
      </c>
      <c r="D928" s="1">
        <v>355</v>
      </c>
      <c r="E928" s="1" t="s">
        <v>23</v>
      </c>
      <c r="F928" s="6" t="s">
        <v>24</v>
      </c>
    </row>
    <row r="929" spans="1:6" x14ac:dyDescent="0.35">
      <c r="A929" s="5" t="s">
        <v>16</v>
      </c>
      <c r="B929" s="1" t="s">
        <v>45</v>
      </c>
      <c r="C929" s="1">
        <v>44</v>
      </c>
      <c r="D929" s="1">
        <v>118</v>
      </c>
      <c r="E929" s="1" t="s">
        <v>23</v>
      </c>
      <c r="F929" s="6" t="s">
        <v>24</v>
      </c>
    </row>
    <row r="930" spans="1:6" x14ac:dyDescent="0.35">
      <c r="A930" s="5" t="s">
        <v>16</v>
      </c>
      <c r="B930" s="1" t="s">
        <v>45</v>
      </c>
      <c r="C930" s="1">
        <v>45</v>
      </c>
      <c r="D930" s="1">
        <v>737</v>
      </c>
      <c r="E930" s="1" t="s">
        <v>23</v>
      </c>
      <c r="F930" s="6" t="s">
        <v>24</v>
      </c>
    </row>
    <row r="931" spans="1:6" x14ac:dyDescent="0.35">
      <c r="A931" s="5" t="s">
        <v>16</v>
      </c>
      <c r="B931" s="1" t="s">
        <v>45</v>
      </c>
      <c r="C931" s="1">
        <v>46</v>
      </c>
      <c r="D931" s="1">
        <v>684</v>
      </c>
      <c r="E931" s="1" t="s">
        <v>23</v>
      </c>
      <c r="F931" s="6" t="s">
        <v>24</v>
      </c>
    </row>
    <row r="932" spans="1:6" x14ac:dyDescent="0.35">
      <c r="A932" s="5" t="s">
        <v>16</v>
      </c>
      <c r="B932" s="1" t="s">
        <v>45</v>
      </c>
      <c r="C932" s="1">
        <v>47</v>
      </c>
      <c r="D932" s="1">
        <v>217</v>
      </c>
      <c r="E932" s="1" t="s">
        <v>23</v>
      </c>
      <c r="F932" s="6" t="s">
        <v>24</v>
      </c>
    </row>
    <row r="933" spans="1:6" x14ac:dyDescent="0.35">
      <c r="A933" s="5" t="s">
        <v>16</v>
      </c>
      <c r="B933" s="1" t="s">
        <v>45</v>
      </c>
      <c r="C933" s="1">
        <v>48</v>
      </c>
      <c r="D933" s="1">
        <v>533</v>
      </c>
      <c r="E933" s="1" t="s">
        <v>23</v>
      </c>
      <c r="F933" s="6" t="s">
        <v>24</v>
      </c>
    </row>
    <row r="934" spans="1:6" x14ac:dyDescent="0.35">
      <c r="A934" s="5" t="s">
        <v>16</v>
      </c>
      <c r="B934" s="1" t="s">
        <v>45</v>
      </c>
      <c r="C934" s="1">
        <v>49</v>
      </c>
      <c r="D934" s="1">
        <v>352</v>
      </c>
      <c r="E934" s="1" t="s">
        <v>23</v>
      </c>
      <c r="F934" s="6" t="s">
        <v>24</v>
      </c>
    </row>
    <row r="935" spans="1:6" x14ac:dyDescent="0.35">
      <c r="A935" s="5" t="s">
        <v>16</v>
      </c>
      <c r="B935" s="1" t="s">
        <v>45</v>
      </c>
      <c r="C935" s="1">
        <v>50</v>
      </c>
      <c r="D935" s="1">
        <v>679</v>
      </c>
      <c r="E935" s="1" t="s">
        <v>23</v>
      </c>
      <c r="F935" s="6" t="s">
        <v>24</v>
      </c>
    </row>
    <row r="936" spans="1:6" x14ac:dyDescent="0.35">
      <c r="A936" s="5" t="s">
        <v>16</v>
      </c>
      <c r="B936" s="1" t="s">
        <v>45</v>
      </c>
      <c r="C936" s="1">
        <v>51</v>
      </c>
      <c r="D936" s="1">
        <v>249</v>
      </c>
      <c r="E936" s="1" t="s">
        <v>23</v>
      </c>
      <c r="F936" s="6" t="s">
        <v>24</v>
      </c>
    </row>
    <row r="937" spans="1:6" x14ac:dyDescent="0.35">
      <c r="A937" s="5" t="s">
        <v>16</v>
      </c>
      <c r="B937" s="1" t="s">
        <v>45</v>
      </c>
      <c r="C937" s="1">
        <v>52</v>
      </c>
      <c r="D937" s="1">
        <v>394</v>
      </c>
      <c r="E937" s="1" t="s">
        <v>23</v>
      </c>
      <c r="F937" s="6" t="s">
        <v>24</v>
      </c>
    </row>
    <row r="938" spans="1:6" x14ac:dyDescent="0.35">
      <c r="A938" s="5" t="s">
        <v>19</v>
      </c>
      <c r="B938" s="1" t="s">
        <v>45</v>
      </c>
      <c r="C938" s="1">
        <v>1</v>
      </c>
      <c r="D938" s="1">
        <v>330</v>
      </c>
      <c r="E938" s="1" t="s">
        <v>26</v>
      </c>
      <c r="F938" s="6" t="s">
        <v>27</v>
      </c>
    </row>
    <row r="939" spans="1:6" x14ac:dyDescent="0.35">
      <c r="A939" s="5" t="s">
        <v>19</v>
      </c>
      <c r="B939" s="1" t="s">
        <v>45</v>
      </c>
      <c r="C939" s="1">
        <v>2</v>
      </c>
      <c r="D939" s="1">
        <v>100</v>
      </c>
      <c r="E939" s="1" t="s">
        <v>26</v>
      </c>
      <c r="F939" s="6" t="s">
        <v>27</v>
      </c>
    </row>
    <row r="940" spans="1:6" x14ac:dyDescent="0.35">
      <c r="A940" s="5" t="s">
        <v>19</v>
      </c>
      <c r="B940" s="1" t="s">
        <v>45</v>
      </c>
      <c r="C940" s="1">
        <v>3</v>
      </c>
      <c r="D940" s="1">
        <v>279</v>
      </c>
      <c r="E940" s="1" t="s">
        <v>26</v>
      </c>
      <c r="F940" s="6" t="s">
        <v>27</v>
      </c>
    </row>
    <row r="941" spans="1:6" x14ac:dyDescent="0.35">
      <c r="A941" s="5" t="s">
        <v>19</v>
      </c>
      <c r="B941" s="1" t="s">
        <v>45</v>
      </c>
      <c r="C941" s="1">
        <v>4</v>
      </c>
      <c r="D941" s="1">
        <v>235</v>
      </c>
      <c r="E941" s="1" t="s">
        <v>26</v>
      </c>
      <c r="F941" s="6" t="s">
        <v>27</v>
      </c>
    </row>
    <row r="942" spans="1:6" x14ac:dyDescent="0.35">
      <c r="A942" s="5" t="s">
        <v>19</v>
      </c>
      <c r="B942" s="1" t="s">
        <v>45</v>
      </c>
      <c r="C942" s="1">
        <v>5</v>
      </c>
      <c r="D942" s="1">
        <v>405</v>
      </c>
      <c r="E942" s="1" t="s">
        <v>26</v>
      </c>
      <c r="F942" s="6" t="s">
        <v>27</v>
      </c>
    </row>
    <row r="943" spans="1:6" x14ac:dyDescent="0.35">
      <c r="A943" s="5" t="s">
        <v>19</v>
      </c>
      <c r="B943" s="1" t="s">
        <v>45</v>
      </c>
      <c r="C943" s="1">
        <v>6</v>
      </c>
      <c r="D943" s="1">
        <v>184</v>
      </c>
      <c r="E943" s="1" t="s">
        <v>26</v>
      </c>
      <c r="F943" s="6" t="s">
        <v>27</v>
      </c>
    </row>
    <row r="944" spans="1:6" x14ac:dyDescent="0.35">
      <c r="A944" s="5" t="s">
        <v>19</v>
      </c>
      <c r="B944" s="1" t="s">
        <v>45</v>
      </c>
      <c r="C944" s="1">
        <v>7</v>
      </c>
      <c r="D944" s="1">
        <v>252</v>
      </c>
      <c r="E944" s="1" t="s">
        <v>26</v>
      </c>
      <c r="F944" s="6" t="s">
        <v>27</v>
      </c>
    </row>
    <row r="945" spans="1:6" x14ac:dyDescent="0.35">
      <c r="A945" s="5" t="s">
        <v>19</v>
      </c>
      <c r="B945" s="1" t="s">
        <v>45</v>
      </c>
      <c r="C945" s="1">
        <v>8</v>
      </c>
      <c r="D945" s="1">
        <v>150</v>
      </c>
      <c r="E945" s="1" t="s">
        <v>26</v>
      </c>
      <c r="F945" s="6" t="s">
        <v>27</v>
      </c>
    </row>
    <row r="946" spans="1:6" x14ac:dyDescent="0.35">
      <c r="A946" s="5" t="s">
        <v>19</v>
      </c>
      <c r="B946" s="1" t="s">
        <v>45</v>
      </c>
      <c r="C946" s="1">
        <v>9</v>
      </c>
      <c r="D946" s="1">
        <v>272</v>
      </c>
      <c r="E946" s="1" t="s">
        <v>26</v>
      </c>
      <c r="F946" s="6" t="s">
        <v>27</v>
      </c>
    </row>
    <row r="947" spans="1:6" x14ac:dyDescent="0.35">
      <c r="A947" s="5" t="s">
        <v>19</v>
      </c>
      <c r="B947" s="1" t="s">
        <v>45</v>
      </c>
      <c r="C947" s="1">
        <v>10</v>
      </c>
      <c r="D947" s="1">
        <v>532</v>
      </c>
      <c r="E947" s="1" t="s">
        <v>26</v>
      </c>
      <c r="F947" s="6" t="s">
        <v>27</v>
      </c>
    </row>
    <row r="948" spans="1:6" x14ac:dyDescent="0.35">
      <c r="A948" s="5" t="s">
        <v>19</v>
      </c>
      <c r="B948" s="1" t="s">
        <v>45</v>
      </c>
      <c r="C948" s="1">
        <v>11</v>
      </c>
      <c r="D948" s="1">
        <v>414</v>
      </c>
      <c r="E948" s="1" t="s">
        <v>26</v>
      </c>
      <c r="F948" s="6" t="s">
        <v>27</v>
      </c>
    </row>
    <row r="949" spans="1:6" x14ac:dyDescent="0.35">
      <c r="A949" s="5" t="s">
        <v>19</v>
      </c>
      <c r="B949" s="1" t="s">
        <v>45</v>
      </c>
      <c r="C949" s="1">
        <v>12</v>
      </c>
      <c r="D949" s="1">
        <v>393</v>
      </c>
      <c r="E949" s="1" t="s">
        <v>26</v>
      </c>
      <c r="F949" s="6" t="s">
        <v>27</v>
      </c>
    </row>
    <row r="950" spans="1:6" x14ac:dyDescent="0.35">
      <c r="A950" s="5" t="s">
        <v>19</v>
      </c>
      <c r="B950" s="1" t="s">
        <v>45</v>
      </c>
      <c r="C950" s="1">
        <v>13</v>
      </c>
      <c r="D950" s="1">
        <v>493</v>
      </c>
      <c r="E950" s="1" t="s">
        <v>26</v>
      </c>
      <c r="F950" s="6" t="s">
        <v>27</v>
      </c>
    </row>
    <row r="951" spans="1:6" x14ac:dyDescent="0.35">
      <c r="A951" s="5" t="s">
        <v>19</v>
      </c>
      <c r="B951" s="1" t="s">
        <v>45</v>
      </c>
      <c r="C951" s="1">
        <v>14</v>
      </c>
      <c r="D951" s="1">
        <v>619</v>
      </c>
      <c r="E951" s="1" t="s">
        <v>26</v>
      </c>
      <c r="F951" s="6" t="s">
        <v>27</v>
      </c>
    </row>
    <row r="952" spans="1:6" x14ac:dyDescent="0.35">
      <c r="A952" s="5" t="s">
        <v>19</v>
      </c>
      <c r="B952" s="1" t="s">
        <v>45</v>
      </c>
      <c r="C952" s="1">
        <v>15</v>
      </c>
      <c r="D952" s="1">
        <v>201</v>
      </c>
      <c r="E952" s="1" t="s">
        <v>26</v>
      </c>
      <c r="F952" s="6" t="s">
        <v>27</v>
      </c>
    </row>
    <row r="953" spans="1:6" x14ac:dyDescent="0.35">
      <c r="A953" s="5" t="s">
        <v>19</v>
      </c>
      <c r="B953" s="1" t="s">
        <v>45</v>
      </c>
      <c r="C953" s="1">
        <v>16</v>
      </c>
      <c r="D953" s="1">
        <v>192</v>
      </c>
      <c r="E953" s="1" t="s">
        <v>26</v>
      </c>
      <c r="F953" s="6" t="s">
        <v>27</v>
      </c>
    </row>
    <row r="954" spans="1:6" x14ac:dyDescent="0.35">
      <c r="A954" s="5" t="s">
        <v>19</v>
      </c>
      <c r="B954" s="1" t="s">
        <v>45</v>
      </c>
      <c r="C954" s="1">
        <v>17</v>
      </c>
      <c r="D954" s="1">
        <v>682</v>
      </c>
      <c r="E954" s="1" t="s">
        <v>26</v>
      </c>
      <c r="F954" s="6" t="s">
        <v>27</v>
      </c>
    </row>
    <row r="955" spans="1:6" x14ac:dyDescent="0.35">
      <c r="A955" s="5" t="s">
        <v>19</v>
      </c>
      <c r="B955" s="1" t="s">
        <v>45</v>
      </c>
      <c r="C955" s="1">
        <v>18</v>
      </c>
      <c r="D955" s="1">
        <v>531</v>
      </c>
      <c r="E955" s="1" t="s">
        <v>26</v>
      </c>
      <c r="F955" s="6" t="s">
        <v>27</v>
      </c>
    </row>
    <row r="956" spans="1:6" x14ac:dyDescent="0.35">
      <c r="A956" s="5" t="s">
        <v>19</v>
      </c>
      <c r="B956" s="1" t="s">
        <v>45</v>
      </c>
      <c r="C956" s="1">
        <v>19</v>
      </c>
      <c r="D956" s="1">
        <v>589</v>
      </c>
      <c r="E956" s="1" t="s">
        <v>26</v>
      </c>
      <c r="F956" s="6" t="s">
        <v>27</v>
      </c>
    </row>
    <row r="957" spans="1:6" x14ac:dyDescent="0.35">
      <c r="A957" s="5" t="s">
        <v>19</v>
      </c>
      <c r="B957" s="1" t="s">
        <v>45</v>
      </c>
      <c r="C957" s="1">
        <v>20</v>
      </c>
      <c r="D957" s="1">
        <v>473</v>
      </c>
      <c r="E957" s="1" t="s">
        <v>26</v>
      </c>
      <c r="F957" s="6" t="s">
        <v>27</v>
      </c>
    </row>
    <row r="958" spans="1:6" x14ac:dyDescent="0.35">
      <c r="A958" s="5" t="s">
        <v>19</v>
      </c>
      <c r="B958" s="1" t="s">
        <v>45</v>
      </c>
      <c r="C958" s="1">
        <v>21</v>
      </c>
      <c r="D958" s="1">
        <v>302</v>
      </c>
      <c r="E958" s="1" t="s">
        <v>26</v>
      </c>
      <c r="F958" s="6" t="s">
        <v>27</v>
      </c>
    </row>
    <row r="959" spans="1:6" x14ac:dyDescent="0.35">
      <c r="A959" s="5" t="s">
        <v>19</v>
      </c>
      <c r="B959" s="1" t="s">
        <v>45</v>
      </c>
      <c r="C959" s="1">
        <v>22</v>
      </c>
      <c r="D959" s="1">
        <v>560</v>
      </c>
      <c r="E959" s="1" t="s">
        <v>26</v>
      </c>
      <c r="F959" s="6" t="s">
        <v>27</v>
      </c>
    </row>
    <row r="960" spans="1:6" x14ac:dyDescent="0.35">
      <c r="A960" s="5" t="s">
        <v>19</v>
      </c>
      <c r="B960" s="1" t="s">
        <v>45</v>
      </c>
      <c r="C960" s="1">
        <v>23</v>
      </c>
      <c r="D960" s="1">
        <v>692</v>
      </c>
      <c r="E960" s="1" t="s">
        <v>26</v>
      </c>
      <c r="F960" s="6" t="s">
        <v>27</v>
      </c>
    </row>
    <row r="961" spans="1:6" x14ac:dyDescent="0.35">
      <c r="A961" s="5" t="s">
        <v>19</v>
      </c>
      <c r="B961" s="1" t="s">
        <v>45</v>
      </c>
      <c r="C961" s="1">
        <v>24</v>
      </c>
      <c r="D961" s="1">
        <v>461</v>
      </c>
      <c r="E961" s="1" t="s">
        <v>26</v>
      </c>
      <c r="F961" s="6" t="s">
        <v>27</v>
      </c>
    </row>
    <row r="962" spans="1:6" x14ac:dyDescent="0.35">
      <c r="A962" s="5" t="s">
        <v>19</v>
      </c>
      <c r="B962" s="1" t="s">
        <v>45</v>
      </c>
      <c r="C962" s="1">
        <v>25</v>
      </c>
      <c r="D962" s="1">
        <v>788</v>
      </c>
      <c r="E962" s="1" t="s">
        <v>26</v>
      </c>
      <c r="F962" s="6" t="s">
        <v>27</v>
      </c>
    </row>
    <row r="963" spans="1:6" x14ac:dyDescent="0.35">
      <c r="A963" s="5" t="s">
        <v>19</v>
      </c>
      <c r="B963" s="1" t="s">
        <v>45</v>
      </c>
      <c r="C963" s="1">
        <v>26</v>
      </c>
      <c r="D963" s="1">
        <v>458</v>
      </c>
      <c r="E963" s="1" t="s">
        <v>26</v>
      </c>
      <c r="F963" s="6" t="s">
        <v>27</v>
      </c>
    </row>
    <row r="964" spans="1:6" x14ac:dyDescent="0.35">
      <c r="A964" s="5" t="s">
        <v>19</v>
      </c>
      <c r="B964" s="1" t="s">
        <v>45</v>
      </c>
      <c r="C964" s="1">
        <v>27</v>
      </c>
      <c r="D964" s="1">
        <v>488</v>
      </c>
      <c r="E964" s="1" t="s">
        <v>26</v>
      </c>
      <c r="F964" s="6" t="s">
        <v>27</v>
      </c>
    </row>
    <row r="965" spans="1:6" x14ac:dyDescent="0.35">
      <c r="A965" s="5" t="s">
        <v>19</v>
      </c>
      <c r="B965" s="1" t="s">
        <v>45</v>
      </c>
      <c r="C965" s="1">
        <v>28</v>
      </c>
      <c r="D965" s="1">
        <v>772</v>
      </c>
      <c r="E965" s="1" t="s">
        <v>26</v>
      </c>
      <c r="F965" s="6" t="s">
        <v>27</v>
      </c>
    </row>
    <row r="966" spans="1:6" x14ac:dyDescent="0.35">
      <c r="A966" s="5" t="s">
        <v>19</v>
      </c>
      <c r="B966" s="1" t="s">
        <v>45</v>
      </c>
      <c r="C966" s="1">
        <v>29</v>
      </c>
      <c r="D966" s="1">
        <v>1209</v>
      </c>
      <c r="E966" s="1" t="s">
        <v>26</v>
      </c>
      <c r="F966" s="6" t="s">
        <v>27</v>
      </c>
    </row>
    <row r="967" spans="1:6" x14ac:dyDescent="0.35">
      <c r="A967" s="5" t="s">
        <v>19</v>
      </c>
      <c r="B967" s="1" t="s">
        <v>45</v>
      </c>
      <c r="C967" s="1">
        <v>30</v>
      </c>
      <c r="D967" s="1">
        <v>140</v>
      </c>
      <c r="E967" s="1" t="s">
        <v>26</v>
      </c>
      <c r="F967" s="6" t="s">
        <v>27</v>
      </c>
    </row>
    <row r="968" spans="1:6" x14ac:dyDescent="0.35">
      <c r="A968" s="5" t="s">
        <v>19</v>
      </c>
      <c r="B968" s="1" t="s">
        <v>45</v>
      </c>
      <c r="C968" s="1">
        <v>31</v>
      </c>
      <c r="D968" s="1">
        <v>301</v>
      </c>
      <c r="E968" s="1" t="s">
        <v>26</v>
      </c>
      <c r="F968" s="6" t="s">
        <v>27</v>
      </c>
    </row>
    <row r="969" spans="1:6" x14ac:dyDescent="0.35">
      <c r="A969" s="5" t="s">
        <v>19</v>
      </c>
      <c r="B969" s="1" t="s">
        <v>45</v>
      </c>
      <c r="C969" s="1">
        <v>32</v>
      </c>
      <c r="D969" s="1">
        <v>873</v>
      </c>
      <c r="E969" s="1" t="s">
        <v>26</v>
      </c>
      <c r="F969" s="6" t="s">
        <v>27</v>
      </c>
    </row>
    <row r="970" spans="1:6" x14ac:dyDescent="0.35">
      <c r="A970" s="5" t="s">
        <v>19</v>
      </c>
      <c r="B970" s="1" t="s">
        <v>45</v>
      </c>
      <c r="C970" s="1">
        <v>33</v>
      </c>
      <c r="D970" s="1">
        <v>354</v>
      </c>
      <c r="E970" s="1" t="s">
        <v>26</v>
      </c>
      <c r="F970" s="6" t="s">
        <v>27</v>
      </c>
    </row>
    <row r="971" spans="1:6" x14ac:dyDescent="0.35">
      <c r="A971" s="5" t="s">
        <v>19</v>
      </c>
      <c r="B971" s="1" t="s">
        <v>45</v>
      </c>
      <c r="C971" s="1">
        <v>34</v>
      </c>
      <c r="D971" s="1">
        <v>733</v>
      </c>
      <c r="E971" s="1" t="s">
        <v>26</v>
      </c>
      <c r="F971" s="6" t="s">
        <v>27</v>
      </c>
    </row>
    <row r="972" spans="1:6" x14ac:dyDescent="0.35">
      <c r="A972" s="5" t="s">
        <v>19</v>
      </c>
      <c r="B972" s="1" t="s">
        <v>45</v>
      </c>
      <c r="C972" s="1">
        <v>35</v>
      </c>
      <c r="D972" s="1">
        <v>657</v>
      </c>
      <c r="E972" s="1" t="s">
        <v>26</v>
      </c>
      <c r="F972" s="6" t="s">
        <v>27</v>
      </c>
    </row>
    <row r="973" spans="1:6" x14ac:dyDescent="0.35">
      <c r="A973" s="5" t="s">
        <v>19</v>
      </c>
      <c r="B973" s="1" t="s">
        <v>45</v>
      </c>
      <c r="C973" s="1">
        <v>36</v>
      </c>
      <c r="D973" s="1">
        <v>1060</v>
      </c>
      <c r="E973" s="1" t="s">
        <v>26</v>
      </c>
      <c r="F973" s="6" t="s">
        <v>27</v>
      </c>
    </row>
    <row r="974" spans="1:6" x14ac:dyDescent="0.35">
      <c r="A974" s="5" t="s">
        <v>19</v>
      </c>
      <c r="B974" s="1" t="s">
        <v>45</v>
      </c>
      <c r="C974" s="1">
        <v>37</v>
      </c>
      <c r="D974" s="1">
        <v>873</v>
      </c>
      <c r="E974" s="1" t="s">
        <v>26</v>
      </c>
      <c r="F974" s="6" t="s">
        <v>27</v>
      </c>
    </row>
    <row r="975" spans="1:6" x14ac:dyDescent="0.35">
      <c r="A975" s="5" t="s">
        <v>19</v>
      </c>
      <c r="B975" s="1" t="s">
        <v>45</v>
      </c>
      <c r="C975" s="1">
        <v>38</v>
      </c>
      <c r="D975" s="1">
        <v>492</v>
      </c>
      <c r="E975" s="1" t="s">
        <v>26</v>
      </c>
      <c r="F975" s="6" t="s">
        <v>27</v>
      </c>
    </row>
    <row r="976" spans="1:6" x14ac:dyDescent="0.35">
      <c r="A976" s="5" t="s">
        <v>19</v>
      </c>
      <c r="B976" s="1" t="s">
        <v>45</v>
      </c>
      <c r="C976" s="1">
        <v>39</v>
      </c>
      <c r="D976" s="1">
        <v>132</v>
      </c>
      <c r="E976" s="1" t="s">
        <v>26</v>
      </c>
      <c r="F976" s="6" t="s">
        <v>27</v>
      </c>
    </row>
    <row r="977" spans="1:6" x14ac:dyDescent="0.35">
      <c r="A977" s="5" t="s">
        <v>19</v>
      </c>
      <c r="B977" s="1" t="s">
        <v>45</v>
      </c>
      <c r="C977" s="1">
        <v>40</v>
      </c>
      <c r="D977" s="1">
        <v>857</v>
      </c>
      <c r="E977" s="1" t="s">
        <v>26</v>
      </c>
      <c r="F977" s="6" t="s">
        <v>27</v>
      </c>
    </row>
    <row r="978" spans="1:6" x14ac:dyDescent="0.35">
      <c r="A978" s="5" t="s">
        <v>19</v>
      </c>
      <c r="B978" s="1" t="s">
        <v>45</v>
      </c>
      <c r="C978" s="1">
        <v>41</v>
      </c>
      <c r="D978" s="1">
        <v>661</v>
      </c>
      <c r="E978" s="1" t="s">
        <v>26</v>
      </c>
      <c r="F978" s="6" t="s">
        <v>27</v>
      </c>
    </row>
    <row r="979" spans="1:6" x14ac:dyDescent="0.35">
      <c r="A979" s="5" t="s">
        <v>19</v>
      </c>
      <c r="B979" s="1" t="s">
        <v>45</v>
      </c>
      <c r="C979" s="1">
        <v>42</v>
      </c>
      <c r="D979" s="1">
        <v>986</v>
      </c>
      <c r="E979" s="1" t="s">
        <v>26</v>
      </c>
      <c r="F979" s="6" t="s">
        <v>27</v>
      </c>
    </row>
    <row r="980" spans="1:6" x14ac:dyDescent="0.35">
      <c r="A980" s="5" t="s">
        <v>19</v>
      </c>
      <c r="B980" s="1" t="s">
        <v>45</v>
      </c>
      <c r="C980" s="1">
        <v>43</v>
      </c>
      <c r="D980" s="1">
        <v>390</v>
      </c>
      <c r="E980" s="1" t="s">
        <v>26</v>
      </c>
      <c r="F980" s="6" t="s">
        <v>27</v>
      </c>
    </row>
    <row r="981" spans="1:6" x14ac:dyDescent="0.35">
      <c r="A981" s="5" t="s">
        <v>19</v>
      </c>
      <c r="B981" s="1" t="s">
        <v>45</v>
      </c>
      <c r="C981" s="1">
        <v>44</v>
      </c>
      <c r="D981" s="1">
        <v>771</v>
      </c>
      <c r="E981" s="1" t="s">
        <v>26</v>
      </c>
      <c r="F981" s="6" t="s">
        <v>27</v>
      </c>
    </row>
    <row r="982" spans="1:6" x14ac:dyDescent="0.35">
      <c r="A982" s="5" t="s">
        <v>19</v>
      </c>
      <c r="B982" s="1" t="s">
        <v>45</v>
      </c>
      <c r="C982" s="1">
        <v>45</v>
      </c>
      <c r="D982" s="1">
        <v>1149</v>
      </c>
      <c r="E982" s="1" t="s">
        <v>26</v>
      </c>
      <c r="F982" s="6" t="s">
        <v>27</v>
      </c>
    </row>
    <row r="983" spans="1:6" x14ac:dyDescent="0.35">
      <c r="A983" s="5" t="s">
        <v>19</v>
      </c>
      <c r="B983" s="1" t="s">
        <v>45</v>
      </c>
      <c r="C983" s="1">
        <v>46</v>
      </c>
      <c r="D983" s="1">
        <v>374</v>
      </c>
      <c r="E983" s="1" t="s">
        <v>26</v>
      </c>
      <c r="F983" s="6" t="s">
        <v>27</v>
      </c>
    </row>
    <row r="984" spans="1:6" x14ac:dyDescent="0.35">
      <c r="A984" s="5" t="s">
        <v>19</v>
      </c>
      <c r="B984" s="1" t="s">
        <v>45</v>
      </c>
      <c r="C984" s="1">
        <v>47</v>
      </c>
      <c r="D984" s="1">
        <v>739</v>
      </c>
      <c r="E984" s="1" t="s">
        <v>26</v>
      </c>
      <c r="F984" s="6" t="s">
        <v>27</v>
      </c>
    </row>
    <row r="985" spans="1:6" x14ac:dyDescent="0.35">
      <c r="A985" s="5" t="s">
        <v>19</v>
      </c>
      <c r="B985" s="1" t="s">
        <v>45</v>
      </c>
      <c r="C985" s="1">
        <v>48</v>
      </c>
      <c r="D985" s="1">
        <v>640</v>
      </c>
      <c r="E985" s="1" t="s">
        <v>26</v>
      </c>
      <c r="F985" s="6" t="s">
        <v>27</v>
      </c>
    </row>
    <row r="986" spans="1:6" x14ac:dyDescent="0.35">
      <c r="A986" s="5" t="s">
        <v>19</v>
      </c>
      <c r="B986" s="1" t="s">
        <v>45</v>
      </c>
      <c r="C986" s="1">
        <v>49</v>
      </c>
      <c r="D986" s="1">
        <v>813</v>
      </c>
      <c r="E986" s="1" t="s">
        <v>26</v>
      </c>
      <c r="F986" s="6" t="s">
        <v>27</v>
      </c>
    </row>
    <row r="987" spans="1:6" x14ac:dyDescent="0.35">
      <c r="A987" s="5" t="s">
        <v>19</v>
      </c>
      <c r="B987" s="1" t="s">
        <v>45</v>
      </c>
      <c r="C987" s="1">
        <v>50</v>
      </c>
      <c r="D987" s="1">
        <v>275</v>
      </c>
      <c r="E987" s="1" t="s">
        <v>26</v>
      </c>
      <c r="F987" s="6" t="s">
        <v>27</v>
      </c>
    </row>
    <row r="988" spans="1:6" x14ac:dyDescent="0.35">
      <c r="A988" s="5" t="s">
        <v>19</v>
      </c>
      <c r="B988" s="1" t="s">
        <v>45</v>
      </c>
      <c r="C988" s="1">
        <v>51</v>
      </c>
      <c r="D988" s="1">
        <v>484</v>
      </c>
      <c r="E988" s="1" t="s">
        <v>26</v>
      </c>
      <c r="F988" s="6" t="s">
        <v>27</v>
      </c>
    </row>
    <row r="989" spans="1:6" x14ac:dyDescent="0.35">
      <c r="A989" s="5" t="s">
        <v>19</v>
      </c>
      <c r="B989" s="1" t="s">
        <v>45</v>
      </c>
      <c r="C989" s="1">
        <v>52</v>
      </c>
      <c r="D989" s="1">
        <v>904</v>
      </c>
      <c r="E989" s="1" t="s">
        <v>26</v>
      </c>
      <c r="F989" s="6" t="s">
        <v>27</v>
      </c>
    </row>
    <row r="990" spans="1:6" x14ac:dyDescent="0.35">
      <c r="A990" s="5" t="s">
        <v>13</v>
      </c>
      <c r="B990" s="1" t="s">
        <v>43</v>
      </c>
      <c r="C990" s="1">
        <v>1</v>
      </c>
      <c r="D990" s="1">
        <v>298</v>
      </c>
      <c r="E990" s="1" t="s">
        <v>26</v>
      </c>
      <c r="F990" s="6" t="s">
        <v>27</v>
      </c>
    </row>
    <row r="991" spans="1:6" x14ac:dyDescent="0.35">
      <c r="A991" s="5" t="s">
        <v>13</v>
      </c>
      <c r="B991" s="1" t="s">
        <v>43</v>
      </c>
      <c r="C991" s="1">
        <v>2</v>
      </c>
      <c r="D991" s="1">
        <v>108</v>
      </c>
      <c r="E991" s="1" t="s">
        <v>26</v>
      </c>
      <c r="F991" s="6" t="s">
        <v>27</v>
      </c>
    </row>
    <row r="992" spans="1:6" x14ac:dyDescent="0.35">
      <c r="A992" s="5" t="s">
        <v>13</v>
      </c>
      <c r="B992" s="1" t="s">
        <v>43</v>
      </c>
      <c r="C992" s="1">
        <v>3</v>
      </c>
      <c r="D992" s="1">
        <v>359</v>
      </c>
      <c r="E992" s="1" t="s">
        <v>26</v>
      </c>
      <c r="F992" s="6" t="s">
        <v>27</v>
      </c>
    </row>
    <row r="993" spans="1:6" x14ac:dyDescent="0.35">
      <c r="A993" s="5" t="s">
        <v>13</v>
      </c>
      <c r="B993" s="1" t="s">
        <v>43</v>
      </c>
      <c r="C993" s="1">
        <v>4</v>
      </c>
      <c r="D993" s="1">
        <v>576</v>
      </c>
      <c r="E993" s="1" t="s">
        <v>26</v>
      </c>
      <c r="F993" s="6" t="s">
        <v>27</v>
      </c>
    </row>
    <row r="994" spans="1:6" x14ac:dyDescent="0.35">
      <c r="A994" s="5" t="s">
        <v>13</v>
      </c>
      <c r="B994" s="1" t="s">
        <v>43</v>
      </c>
      <c r="C994" s="1">
        <v>5</v>
      </c>
      <c r="D994" s="1">
        <v>400</v>
      </c>
      <c r="E994" s="1" t="s">
        <v>26</v>
      </c>
      <c r="F994" s="6" t="s">
        <v>27</v>
      </c>
    </row>
    <row r="995" spans="1:6" x14ac:dyDescent="0.35">
      <c r="A995" s="5" t="s">
        <v>13</v>
      </c>
      <c r="B995" s="1" t="s">
        <v>43</v>
      </c>
      <c r="C995" s="1">
        <v>6</v>
      </c>
      <c r="D995" s="1">
        <v>247</v>
      </c>
      <c r="E995" s="1" t="s">
        <v>26</v>
      </c>
      <c r="F995" s="6" t="s">
        <v>27</v>
      </c>
    </row>
    <row r="996" spans="1:6" x14ac:dyDescent="0.35">
      <c r="A996" s="5" t="s">
        <v>13</v>
      </c>
      <c r="B996" s="1" t="s">
        <v>43</v>
      </c>
      <c r="C996" s="1">
        <v>7</v>
      </c>
      <c r="D996" s="1">
        <v>181</v>
      </c>
      <c r="E996" s="1" t="s">
        <v>26</v>
      </c>
      <c r="F996" s="6" t="s">
        <v>27</v>
      </c>
    </row>
    <row r="997" spans="1:6" x14ac:dyDescent="0.35">
      <c r="A997" s="5" t="s">
        <v>13</v>
      </c>
      <c r="B997" s="1" t="s">
        <v>43</v>
      </c>
      <c r="C997" s="1">
        <v>8</v>
      </c>
      <c r="D997" s="1">
        <v>262</v>
      </c>
      <c r="E997" s="1" t="s">
        <v>26</v>
      </c>
      <c r="F997" s="6" t="s">
        <v>27</v>
      </c>
    </row>
    <row r="998" spans="1:6" x14ac:dyDescent="0.35">
      <c r="A998" s="5" t="s">
        <v>13</v>
      </c>
      <c r="B998" s="1" t="s">
        <v>43</v>
      </c>
      <c r="C998" s="1">
        <v>9</v>
      </c>
      <c r="D998" s="1">
        <v>417</v>
      </c>
      <c r="E998" s="1" t="s">
        <v>26</v>
      </c>
      <c r="F998" s="6" t="s">
        <v>27</v>
      </c>
    </row>
    <row r="999" spans="1:6" x14ac:dyDescent="0.35">
      <c r="A999" s="5" t="s">
        <v>13</v>
      </c>
      <c r="B999" s="1" t="s">
        <v>43</v>
      </c>
      <c r="C999" s="1">
        <v>10</v>
      </c>
      <c r="D999" s="1">
        <v>533</v>
      </c>
      <c r="E999" s="1" t="s">
        <v>26</v>
      </c>
      <c r="F999" s="6" t="s">
        <v>27</v>
      </c>
    </row>
    <row r="1000" spans="1:6" x14ac:dyDescent="0.35">
      <c r="A1000" s="5" t="s">
        <v>13</v>
      </c>
      <c r="B1000" s="1" t="s">
        <v>43</v>
      </c>
      <c r="C1000" s="1">
        <v>11</v>
      </c>
      <c r="D1000" s="1">
        <v>239</v>
      </c>
      <c r="E1000" s="1" t="s">
        <v>26</v>
      </c>
      <c r="F1000" s="6" t="s">
        <v>27</v>
      </c>
    </row>
    <row r="1001" spans="1:6" x14ac:dyDescent="0.35">
      <c r="A1001" s="5" t="s">
        <v>13</v>
      </c>
      <c r="B1001" s="1" t="s">
        <v>43</v>
      </c>
      <c r="C1001" s="1">
        <v>12</v>
      </c>
      <c r="D1001" s="1">
        <v>425</v>
      </c>
      <c r="E1001" s="1" t="s">
        <v>26</v>
      </c>
      <c r="F1001" s="6" t="s">
        <v>27</v>
      </c>
    </row>
    <row r="1002" spans="1:6" x14ac:dyDescent="0.35">
      <c r="A1002" s="5" t="s">
        <v>13</v>
      </c>
      <c r="B1002" s="1" t="s">
        <v>43</v>
      </c>
      <c r="C1002" s="1">
        <v>13</v>
      </c>
      <c r="D1002" s="1">
        <v>476</v>
      </c>
      <c r="E1002" s="1" t="s">
        <v>26</v>
      </c>
      <c r="F1002" s="6" t="s">
        <v>27</v>
      </c>
    </row>
    <row r="1003" spans="1:6" x14ac:dyDescent="0.35">
      <c r="A1003" s="5" t="s">
        <v>13</v>
      </c>
      <c r="B1003" s="1" t="s">
        <v>43</v>
      </c>
      <c r="C1003" s="1">
        <v>14</v>
      </c>
      <c r="D1003" s="1">
        <v>309</v>
      </c>
      <c r="E1003" s="1" t="s">
        <v>26</v>
      </c>
      <c r="F1003" s="6" t="s">
        <v>27</v>
      </c>
    </row>
    <row r="1004" spans="1:6" x14ac:dyDescent="0.35">
      <c r="A1004" s="5" t="s">
        <v>13</v>
      </c>
      <c r="B1004" s="1" t="s">
        <v>43</v>
      </c>
      <c r="C1004" s="1">
        <v>15</v>
      </c>
      <c r="D1004" s="1">
        <v>499</v>
      </c>
      <c r="E1004" s="1" t="s">
        <v>26</v>
      </c>
      <c r="F1004" s="6" t="s">
        <v>27</v>
      </c>
    </row>
    <row r="1005" spans="1:6" x14ac:dyDescent="0.35">
      <c r="A1005" s="5" t="s">
        <v>13</v>
      </c>
      <c r="B1005" s="1" t="s">
        <v>43</v>
      </c>
      <c r="C1005" s="1">
        <v>16</v>
      </c>
      <c r="D1005" s="1">
        <v>494</v>
      </c>
      <c r="E1005" s="1" t="s">
        <v>26</v>
      </c>
      <c r="F1005" s="6" t="s">
        <v>27</v>
      </c>
    </row>
    <row r="1006" spans="1:6" x14ac:dyDescent="0.35">
      <c r="A1006" s="5" t="s">
        <v>13</v>
      </c>
      <c r="B1006" s="1" t="s">
        <v>43</v>
      </c>
      <c r="C1006" s="1">
        <v>17</v>
      </c>
      <c r="D1006" s="1">
        <v>294</v>
      </c>
      <c r="E1006" s="1" t="s">
        <v>26</v>
      </c>
      <c r="F1006" s="6" t="s">
        <v>27</v>
      </c>
    </row>
    <row r="1007" spans="1:6" x14ac:dyDescent="0.35">
      <c r="A1007" s="5" t="s">
        <v>13</v>
      </c>
      <c r="B1007" s="1" t="s">
        <v>43</v>
      </c>
      <c r="C1007" s="1">
        <v>18</v>
      </c>
      <c r="D1007" s="1">
        <v>511</v>
      </c>
      <c r="E1007" s="1" t="s">
        <v>26</v>
      </c>
      <c r="F1007" s="6" t="s">
        <v>27</v>
      </c>
    </row>
    <row r="1008" spans="1:6" x14ac:dyDescent="0.35">
      <c r="A1008" s="5" t="s">
        <v>13</v>
      </c>
      <c r="B1008" s="1" t="s">
        <v>43</v>
      </c>
      <c r="C1008" s="1">
        <v>19</v>
      </c>
      <c r="D1008" s="1">
        <v>648</v>
      </c>
      <c r="E1008" s="1" t="s">
        <v>26</v>
      </c>
      <c r="F1008" s="6" t="s">
        <v>27</v>
      </c>
    </row>
    <row r="1009" spans="1:6" x14ac:dyDescent="0.35">
      <c r="A1009" s="5" t="s">
        <v>13</v>
      </c>
      <c r="B1009" s="1" t="s">
        <v>43</v>
      </c>
      <c r="C1009" s="1">
        <v>20</v>
      </c>
      <c r="D1009" s="1">
        <v>796</v>
      </c>
      <c r="E1009" s="1" t="s">
        <v>26</v>
      </c>
      <c r="F1009" s="6" t="s">
        <v>27</v>
      </c>
    </row>
    <row r="1010" spans="1:6" x14ac:dyDescent="0.35">
      <c r="A1010" s="5" t="s">
        <v>13</v>
      </c>
      <c r="B1010" s="1" t="s">
        <v>43</v>
      </c>
      <c r="C1010" s="1">
        <v>21</v>
      </c>
      <c r="D1010" s="1">
        <v>673</v>
      </c>
      <c r="E1010" s="1" t="s">
        <v>26</v>
      </c>
      <c r="F1010" s="6" t="s">
        <v>27</v>
      </c>
    </row>
    <row r="1011" spans="1:6" x14ac:dyDescent="0.35">
      <c r="A1011" s="5" t="s">
        <v>13</v>
      </c>
      <c r="B1011" s="1" t="s">
        <v>43</v>
      </c>
      <c r="C1011" s="1">
        <v>22</v>
      </c>
      <c r="D1011" s="1">
        <v>544</v>
      </c>
      <c r="E1011" s="1" t="s">
        <v>26</v>
      </c>
      <c r="F1011" s="6" t="s">
        <v>27</v>
      </c>
    </row>
    <row r="1012" spans="1:6" x14ac:dyDescent="0.35">
      <c r="A1012" s="5" t="s">
        <v>13</v>
      </c>
      <c r="B1012" s="1" t="s">
        <v>43</v>
      </c>
      <c r="C1012" s="1">
        <v>23</v>
      </c>
      <c r="D1012" s="1">
        <v>315</v>
      </c>
      <c r="E1012" s="1" t="s">
        <v>26</v>
      </c>
      <c r="F1012" s="6" t="s">
        <v>27</v>
      </c>
    </row>
    <row r="1013" spans="1:6" x14ac:dyDescent="0.35">
      <c r="A1013" s="5" t="s">
        <v>13</v>
      </c>
      <c r="B1013" s="1" t="s">
        <v>43</v>
      </c>
      <c r="C1013" s="1">
        <v>24</v>
      </c>
      <c r="D1013" s="1">
        <v>138</v>
      </c>
      <c r="E1013" s="1" t="s">
        <v>26</v>
      </c>
      <c r="F1013" s="6" t="s">
        <v>27</v>
      </c>
    </row>
    <row r="1014" spans="1:6" x14ac:dyDescent="0.35">
      <c r="A1014" s="5" t="s">
        <v>13</v>
      </c>
      <c r="B1014" s="1" t="s">
        <v>43</v>
      </c>
      <c r="C1014" s="1">
        <v>25</v>
      </c>
      <c r="D1014" s="1">
        <v>369</v>
      </c>
      <c r="E1014" s="1" t="s">
        <v>26</v>
      </c>
      <c r="F1014" s="6" t="s">
        <v>27</v>
      </c>
    </row>
    <row r="1015" spans="1:6" x14ac:dyDescent="0.35">
      <c r="A1015" s="5" t="s">
        <v>13</v>
      </c>
      <c r="B1015" s="1" t="s">
        <v>43</v>
      </c>
      <c r="C1015" s="1">
        <v>26</v>
      </c>
      <c r="D1015" s="1">
        <v>679</v>
      </c>
      <c r="E1015" s="1" t="s">
        <v>26</v>
      </c>
      <c r="F1015" s="6" t="s">
        <v>27</v>
      </c>
    </row>
    <row r="1016" spans="1:6" x14ac:dyDescent="0.35">
      <c r="A1016" s="5" t="s">
        <v>13</v>
      </c>
      <c r="B1016" s="1" t="s">
        <v>43</v>
      </c>
      <c r="C1016" s="1">
        <v>27</v>
      </c>
      <c r="D1016" s="1">
        <v>466</v>
      </c>
      <c r="E1016" s="1" t="s">
        <v>26</v>
      </c>
      <c r="F1016" s="6" t="s">
        <v>27</v>
      </c>
    </row>
    <row r="1017" spans="1:6" x14ac:dyDescent="0.35">
      <c r="A1017" s="5" t="s">
        <v>13</v>
      </c>
      <c r="B1017" s="1" t="s">
        <v>43</v>
      </c>
      <c r="C1017" s="1">
        <v>28</v>
      </c>
      <c r="D1017" s="1">
        <v>465</v>
      </c>
      <c r="E1017" s="1" t="s">
        <v>26</v>
      </c>
      <c r="F1017" s="6" t="s">
        <v>27</v>
      </c>
    </row>
    <row r="1018" spans="1:6" x14ac:dyDescent="0.35">
      <c r="A1018" s="5" t="s">
        <v>13</v>
      </c>
      <c r="B1018" s="1" t="s">
        <v>43</v>
      </c>
      <c r="C1018" s="1">
        <v>29</v>
      </c>
      <c r="D1018" s="1">
        <v>235</v>
      </c>
      <c r="E1018" s="1" t="s">
        <v>26</v>
      </c>
      <c r="F1018" s="6" t="s">
        <v>27</v>
      </c>
    </row>
    <row r="1019" spans="1:6" x14ac:dyDescent="0.35">
      <c r="A1019" s="5" t="s">
        <v>13</v>
      </c>
      <c r="B1019" s="1" t="s">
        <v>43</v>
      </c>
      <c r="C1019" s="1">
        <v>30</v>
      </c>
      <c r="D1019" s="1">
        <v>558</v>
      </c>
      <c r="E1019" s="1" t="s">
        <v>26</v>
      </c>
      <c r="F1019" s="6" t="s">
        <v>27</v>
      </c>
    </row>
    <row r="1020" spans="1:6" x14ac:dyDescent="0.35">
      <c r="A1020" s="5" t="s">
        <v>13</v>
      </c>
      <c r="B1020" s="1" t="s">
        <v>43</v>
      </c>
      <c r="C1020" s="1">
        <v>31</v>
      </c>
      <c r="D1020" s="1">
        <v>505</v>
      </c>
      <c r="E1020" s="1" t="s">
        <v>26</v>
      </c>
      <c r="F1020" s="6" t="s">
        <v>27</v>
      </c>
    </row>
    <row r="1021" spans="1:6" x14ac:dyDescent="0.35">
      <c r="A1021" s="5" t="s">
        <v>13</v>
      </c>
      <c r="B1021" s="1" t="s">
        <v>43</v>
      </c>
      <c r="C1021" s="1">
        <v>32</v>
      </c>
      <c r="D1021" s="1">
        <v>291</v>
      </c>
      <c r="E1021" s="1" t="s">
        <v>26</v>
      </c>
      <c r="F1021" s="6" t="s">
        <v>27</v>
      </c>
    </row>
    <row r="1022" spans="1:6" x14ac:dyDescent="0.35">
      <c r="A1022" s="5" t="s">
        <v>13</v>
      </c>
      <c r="B1022" s="1" t="s">
        <v>43</v>
      </c>
      <c r="C1022" s="1">
        <v>33</v>
      </c>
      <c r="D1022" s="1">
        <v>333</v>
      </c>
      <c r="E1022" s="1" t="s">
        <v>26</v>
      </c>
      <c r="F1022" s="6" t="s">
        <v>27</v>
      </c>
    </row>
    <row r="1023" spans="1:6" x14ac:dyDescent="0.35">
      <c r="A1023" s="5" t="s">
        <v>13</v>
      </c>
      <c r="B1023" s="1" t="s">
        <v>43</v>
      </c>
      <c r="C1023" s="1">
        <v>34</v>
      </c>
      <c r="D1023" s="1">
        <v>313</v>
      </c>
      <c r="E1023" s="1" t="s">
        <v>26</v>
      </c>
      <c r="F1023" s="6" t="s">
        <v>27</v>
      </c>
    </row>
    <row r="1024" spans="1:6" x14ac:dyDescent="0.35">
      <c r="A1024" s="5" t="s">
        <v>13</v>
      </c>
      <c r="B1024" s="1" t="s">
        <v>43</v>
      </c>
      <c r="C1024" s="1">
        <v>35</v>
      </c>
      <c r="D1024" s="1">
        <v>545</v>
      </c>
      <c r="E1024" s="1" t="s">
        <v>26</v>
      </c>
      <c r="F1024" s="6" t="s">
        <v>27</v>
      </c>
    </row>
    <row r="1025" spans="1:6" x14ac:dyDescent="0.35">
      <c r="A1025" s="5" t="s">
        <v>13</v>
      </c>
      <c r="B1025" s="1" t="s">
        <v>43</v>
      </c>
      <c r="C1025" s="1">
        <v>36</v>
      </c>
      <c r="D1025" s="1">
        <v>845</v>
      </c>
      <c r="E1025" s="1" t="s">
        <v>26</v>
      </c>
      <c r="F1025" s="6" t="s">
        <v>27</v>
      </c>
    </row>
    <row r="1026" spans="1:6" x14ac:dyDescent="0.35">
      <c r="A1026" s="5" t="s">
        <v>13</v>
      </c>
      <c r="B1026" s="1" t="s">
        <v>43</v>
      </c>
      <c r="C1026" s="1">
        <v>37</v>
      </c>
      <c r="D1026" s="1">
        <v>210</v>
      </c>
      <c r="E1026" s="1" t="s">
        <v>26</v>
      </c>
      <c r="F1026" s="6" t="s">
        <v>27</v>
      </c>
    </row>
    <row r="1027" spans="1:6" x14ac:dyDescent="0.35">
      <c r="A1027" s="5" t="s">
        <v>13</v>
      </c>
      <c r="B1027" s="1" t="s">
        <v>43</v>
      </c>
      <c r="C1027" s="1">
        <v>38</v>
      </c>
      <c r="D1027" s="1">
        <v>921</v>
      </c>
      <c r="E1027" s="1" t="s">
        <v>26</v>
      </c>
      <c r="F1027" s="6" t="s">
        <v>27</v>
      </c>
    </row>
    <row r="1028" spans="1:6" x14ac:dyDescent="0.35">
      <c r="A1028" s="5" t="s">
        <v>13</v>
      </c>
      <c r="B1028" s="1" t="s">
        <v>43</v>
      </c>
      <c r="C1028" s="1">
        <v>39</v>
      </c>
      <c r="D1028" s="1">
        <v>1144</v>
      </c>
      <c r="E1028" s="1" t="s">
        <v>26</v>
      </c>
      <c r="F1028" s="6" t="s">
        <v>27</v>
      </c>
    </row>
    <row r="1029" spans="1:6" x14ac:dyDescent="0.35">
      <c r="A1029" s="5" t="s">
        <v>13</v>
      </c>
      <c r="B1029" s="1" t="s">
        <v>43</v>
      </c>
      <c r="C1029" s="1">
        <v>40</v>
      </c>
      <c r="D1029" s="1">
        <v>458</v>
      </c>
      <c r="E1029" s="1" t="s">
        <v>26</v>
      </c>
      <c r="F1029" s="6" t="s">
        <v>27</v>
      </c>
    </row>
    <row r="1030" spans="1:6" x14ac:dyDescent="0.35">
      <c r="A1030" s="5" t="s">
        <v>13</v>
      </c>
      <c r="B1030" s="1" t="s">
        <v>43</v>
      </c>
      <c r="C1030" s="1">
        <v>41</v>
      </c>
      <c r="D1030" s="1">
        <v>308</v>
      </c>
      <c r="E1030" s="1" t="s">
        <v>26</v>
      </c>
      <c r="F1030" s="6" t="s">
        <v>27</v>
      </c>
    </row>
    <row r="1031" spans="1:6" x14ac:dyDescent="0.35">
      <c r="A1031" s="5" t="s">
        <v>13</v>
      </c>
      <c r="B1031" s="1" t="s">
        <v>43</v>
      </c>
      <c r="C1031" s="1">
        <v>42</v>
      </c>
      <c r="D1031" s="1">
        <v>469</v>
      </c>
      <c r="E1031" s="1" t="s">
        <v>26</v>
      </c>
      <c r="F1031" s="6" t="s">
        <v>27</v>
      </c>
    </row>
    <row r="1032" spans="1:6" x14ac:dyDescent="0.35">
      <c r="A1032" s="5" t="s">
        <v>13</v>
      </c>
      <c r="B1032" s="1" t="s">
        <v>43</v>
      </c>
      <c r="C1032" s="1">
        <v>43</v>
      </c>
      <c r="D1032" s="1">
        <v>537</v>
      </c>
      <c r="E1032" s="1" t="s">
        <v>26</v>
      </c>
      <c r="F1032" s="6" t="s">
        <v>27</v>
      </c>
    </row>
    <row r="1033" spans="1:6" x14ac:dyDescent="0.35">
      <c r="A1033" s="5" t="s">
        <v>13</v>
      </c>
      <c r="B1033" s="1" t="s">
        <v>43</v>
      </c>
      <c r="C1033" s="1">
        <v>44</v>
      </c>
      <c r="D1033" s="1">
        <v>609</v>
      </c>
      <c r="E1033" s="1" t="s">
        <v>26</v>
      </c>
      <c r="F1033" s="6" t="s">
        <v>27</v>
      </c>
    </row>
    <row r="1034" spans="1:6" x14ac:dyDescent="0.35">
      <c r="A1034" s="5" t="s">
        <v>13</v>
      </c>
      <c r="B1034" s="1" t="s">
        <v>43</v>
      </c>
      <c r="C1034" s="1">
        <v>45</v>
      </c>
      <c r="D1034" s="1">
        <v>886</v>
      </c>
      <c r="E1034" s="1" t="s">
        <v>26</v>
      </c>
      <c r="F1034" s="6" t="s">
        <v>27</v>
      </c>
    </row>
    <row r="1035" spans="1:6" x14ac:dyDescent="0.35">
      <c r="A1035" s="5" t="s">
        <v>13</v>
      </c>
      <c r="B1035" s="1" t="s">
        <v>43</v>
      </c>
      <c r="C1035" s="1">
        <v>46</v>
      </c>
      <c r="D1035" s="1">
        <v>859</v>
      </c>
      <c r="E1035" s="1" t="s">
        <v>26</v>
      </c>
      <c r="F1035" s="6" t="s">
        <v>27</v>
      </c>
    </row>
    <row r="1036" spans="1:6" x14ac:dyDescent="0.35">
      <c r="A1036" s="5" t="s">
        <v>13</v>
      </c>
      <c r="B1036" s="1" t="s">
        <v>43</v>
      </c>
      <c r="C1036" s="1">
        <v>47</v>
      </c>
      <c r="D1036" s="1">
        <v>1133</v>
      </c>
      <c r="E1036" s="1" t="s">
        <v>26</v>
      </c>
      <c r="F1036" s="6" t="s">
        <v>27</v>
      </c>
    </row>
    <row r="1037" spans="1:6" x14ac:dyDescent="0.35">
      <c r="A1037" s="5" t="s">
        <v>13</v>
      </c>
      <c r="B1037" s="1" t="s">
        <v>43</v>
      </c>
      <c r="C1037" s="1">
        <v>48</v>
      </c>
      <c r="D1037" s="1">
        <v>484</v>
      </c>
      <c r="E1037" s="1" t="s">
        <v>26</v>
      </c>
      <c r="F1037" s="6" t="s">
        <v>27</v>
      </c>
    </row>
    <row r="1038" spans="1:6" x14ac:dyDescent="0.35">
      <c r="A1038" s="5" t="s">
        <v>13</v>
      </c>
      <c r="B1038" s="1" t="s">
        <v>43</v>
      </c>
      <c r="C1038" s="1">
        <v>49</v>
      </c>
      <c r="D1038" s="1">
        <v>209</v>
      </c>
      <c r="E1038" s="1" t="s">
        <v>26</v>
      </c>
      <c r="F1038" s="6" t="s">
        <v>27</v>
      </c>
    </row>
    <row r="1039" spans="1:6" x14ac:dyDescent="0.35">
      <c r="A1039" s="5" t="s">
        <v>13</v>
      </c>
      <c r="B1039" s="1" t="s">
        <v>43</v>
      </c>
      <c r="C1039" s="1">
        <v>50</v>
      </c>
      <c r="D1039" s="1">
        <v>423</v>
      </c>
      <c r="E1039" s="1" t="s">
        <v>26</v>
      </c>
      <c r="F1039" s="6" t="s">
        <v>27</v>
      </c>
    </row>
    <row r="1040" spans="1:6" x14ac:dyDescent="0.35">
      <c r="A1040" s="5" t="s">
        <v>13</v>
      </c>
      <c r="B1040" s="1" t="s">
        <v>43</v>
      </c>
      <c r="C1040" s="1">
        <v>51</v>
      </c>
      <c r="D1040" s="1">
        <v>488</v>
      </c>
      <c r="E1040" s="1" t="s">
        <v>26</v>
      </c>
      <c r="F1040" s="6" t="s">
        <v>27</v>
      </c>
    </row>
    <row r="1041" spans="1:6" x14ac:dyDescent="0.35">
      <c r="A1041" s="5" t="s">
        <v>13</v>
      </c>
      <c r="B1041" s="1" t="s">
        <v>43</v>
      </c>
      <c r="C1041" s="1">
        <v>52</v>
      </c>
      <c r="D1041" s="1">
        <v>698</v>
      </c>
      <c r="E1041" s="1" t="s">
        <v>26</v>
      </c>
      <c r="F1041" s="6" t="s">
        <v>27</v>
      </c>
    </row>
    <row r="1042" spans="1:6" x14ac:dyDescent="0.35">
      <c r="A1042" s="5" t="s">
        <v>6</v>
      </c>
      <c r="B1042" s="1" t="s">
        <v>25</v>
      </c>
      <c r="C1042" s="1">
        <v>1</v>
      </c>
      <c r="D1042" s="1">
        <v>170</v>
      </c>
      <c r="E1042" s="1" t="s">
        <v>26</v>
      </c>
      <c r="F1042" s="6" t="s">
        <v>27</v>
      </c>
    </row>
    <row r="1043" spans="1:6" x14ac:dyDescent="0.35">
      <c r="A1043" s="5" t="s">
        <v>6</v>
      </c>
      <c r="B1043" s="1" t="s">
        <v>25</v>
      </c>
      <c r="C1043" s="1">
        <v>2</v>
      </c>
      <c r="D1043" s="1">
        <v>369</v>
      </c>
      <c r="E1043" s="1" t="s">
        <v>26</v>
      </c>
      <c r="F1043" s="6" t="s">
        <v>27</v>
      </c>
    </row>
    <row r="1044" spans="1:6" x14ac:dyDescent="0.35">
      <c r="A1044" s="5" t="s">
        <v>6</v>
      </c>
      <c r="B1044" s="1" t="s">
        <v>25</v>
      </c>
      <c r="C1044" s="1">
        <v>3</v>
      </c>
      <c r="D1044" s="1">
        <v>106</v>
      </c>
      <c r="E1044" s="1" t="s">
        <v>26</v>
      </c>
      <c r="F1044" s="6" t="s">
        <v>27</v>
      </c>
    </row>
    <row r="1045" spans="1:6" x14ac:dyDescent="0.35">
      <c r="A1045" s="5" t="s">
        <v>6</v>
      </c>
      <c r="B1045" s="1" t="s">
        <v>25</v>
      </c>
      <c r="C1045" s="1">
        <v>4</v>
      </c>
      <c r="D1045" s="1">
        <v>353</v>
      </c>
      <c r="E1045" s="1" t="s">
        <v>26</v>
      </c>
      <c r="F1045" s="6" t="s">
        <v>27</v>
      </c>
    </row>
    <row r="1046" spans="1:6" x14ac:dyDescent="0.35">
      <c r="A1046" s="5" t="s">
        <v>6</v>
      </c>
      <c r="B1046" s="1" t="s">
        <v>25</v>
      </c>
      <c r="C1046" s="1">
        <v>5</v>
      </c>
      <c r="D1046" s="1">
        <v>225</v>
      </c>
      <c r="E1046" s="1" t="s">
        <v>26</v>
      </c>
      <c r="F1046" s="6" t="s">
        <v>27</v>
      </c>
    </row>
    <row r="1047" spans="1:6" x14ac:dyDescent="0.35">
      <c r="A1047" s="5" t="s">
        <v>6</v>
      </c>
      <c r="B1047" s="1" t="s">
        <v>25</v>
      </c>
      <c r="C1047" s="1">
        <v>6</v>
      </c>
      <c r="D1047" s="1">
        <v>446</v>
      </c>
      <c r="E1047" s="1" t="s">
        <v>26</v>
      </c>
      <c r="F1047" s="6" t="s">
        <v>27</v>
      </c>
    </row>
    <row r="1048" spans="1:6" x14ac:dyDescent="0.35">
      <c r="A1048" s="5" t="s">
        <v>6</v>
      </c>
      <c r="B1048" s="1" t="s">
        <v>25</v>
      </c>
      <c r="C1048" s="1">
        <v>7</v>
      </c>
      <c r="D1048" s="1">
        <v>198</v>
      </c>
      <c r="E1048" s="1" t="s">
        <v>26</v>
      </c>
      <c r="F1048" s="6" t="s">
        <v>27</v>
      </c>
    </row>
    <row r="1049" spans="1:6" x14ac:dyDescent="0.35">
      <c r="A1049" s="5" t="s">
        <v>6</v>
      </c>
      <c r="B1049" s="1" t="s">
        <v>25</v>
      </c>
      <c r="C1049" s="1">
        <v>8</v>
      </c>
      <c r="D1049" s="1">
        <v>379</v>
      </c>
      <c r="E1049" s="1" t="s">
        <v>26</v>
      </c>
      <c r="F1049" s="6" t="s">
        <v>27</v>
      </c>
    </row>
    <row r="1050" spans="1:6" x14ac:dyDescent="0.35">
      <c r="A1050" s="5" t="s">
        <v>6</v>
      </c>
      <c r="B1050" s="1" t="s">
        <v>25</v>
      </c>
      <c r="C1050" s="1">
        <v>9</v>
      </c>
      <c r="D1050" s="1">
        <v>247</v>
      </c>
      <c r="E1050" s="1" t="s">
        <v>26</v>
      </c>
      <c r="F1050" s="6" t="s">
        <v>27</v>
      </c>
    </row>
    <row r="1051" spans="1:6" x14ac:dyDescent="0.35">
      <c r="A1051" s="5" t="s">
        <v>6</v>
      </c>
      <c r="B1051" s="1" t="s">
        <v>25</v>
      </c>
      <c r="C1051" s="1">
        <v>10</v>
      </c>
      <c r="D1051" s="1">
        <v>414</v>
      </c>
      <c r="E1051" s="1" t="s">
        <v>26</v>
      </c>
      <c r="F1051" s="6" t="s">
        <v>27</v>
      </c>
    </row>
    <row r="1052" spans="1:6" x14ac:dyDescent="0.35">
      <c r="A1052" s="5" t="s">
        <v>6</v>
      </c>
      <c r="B1052" s="1" t="s">
        <v>25</v>
      </c>
      <c r="C1052" s="1">
        <v>11</v>
      </c>
      <c r="D1052" s="1">
        <v>110</v>
      </c>
      <c r="E1052" s="1" t="s">
        <v>26</v>
      </c>
      <c r="F1052" s="6" t="s">
        <v>27</v>
      </c>
    </row>
    <row r="1053" spans="1:6" x14ac:dyDescent="0.35">
      <c r="A1053" s="5" t="s">
        <v>6</v>
      </c>
      <c r="B1053" s="1" t="s">
        <v>25</v>
      </c>
      <c r="C1053" s="1">
        <v>12</v>
      </c>
      <c r="D1053" s="1">
        <v>284</v>
      </c>
      <c r="E1053" s="1" t="s">
        <v>26</v>
      </c>
      <c r="F1053" s="6" t="s">
        <v>27</v>
      </c>
    </row>
    <row r="1054" spans="1:6" x14ac:dyDescent="0.35">
      <c r="A1054" s="5" t="s">
        <v>6</v>
      </c>
      <c r="B1054" s="1" t="s">
        <v>25</v>
      </c>
      <c r="C1054" s="1">
        <v>13</v>
      </c>
      <c r="D1054" s="1">
        <v>524</v>
      </c>
      <c r="E1054" s="1" t="s">
        <v>26</v>
      </c>
      <c r="F1054" s="6" t="s">
        <v>27</v>
      </c>
    </row>
    <row r="1055" spans="1:6" x14ac:dyDescent="0.35">
      <c r="A1055" s="5" t="s">
        <v>6</v>
      </c>
      <c r="B1055" s="1" t="s">
        <v>25</v>
      </c>
      <c r="C1055" s="1">
        <v>14</v>
      </c>
      <c r="D1055" s="1">
        <v>177</v>
      </c>
      <c r="E1055" s="1" t="s">
        <v>26</v>
      </c>
      <c r="F1055" s="6" t="s">
        <v>27</v>
      </c>
    </row>
    <row r="1056" spans="1:6" x14ac:dyDescent="0.35">
      <c r="A1056" s="5" t="s">
        <v>6</v>
      </c>
      <c r="B1056" s="1" t="s">
        <v>25</v>
      </c>
      <c r="C1056" s="1">
        <v>15</v>
      </c>
      <c r="D1056" s="1">
        <v>414</v>
      </c>
      <c r="E1056" s="1" t="s">
        <v>26</v>
      </c>
      <c r="F1056" s="6" t="s">
        <v>27</v>
      </c>
    </row>
    <row r="1057" spans="1:6" x14ac:dyDescent="0.35">
      <c r="A1057" s="5" t="s">
        <v>6</v>
      </c>
      <c r="B1057" s="1" t="s">
        <v>25</v>
      </c>
      <c r="C1057" s="1">
        <v>16</v>
      </c>
      <c r="D1057" s="1">
        <v>626</v>
      </c>
      <c r="E1057" s="1" t="s">
        <v>26</v>
      </c>
      <c r="F1057" s="6" t="s">
        <v>27</v>
      </c>
    </row>
    <row r="1058" spans="1:6" x14ac:dyDescent="0.35">
      <c r="A1058" s="5" t="s">
        <v>6</v>
      </c>
      <c r="B1058" s="1" t="s">
        <v>25</v>
      </c>
      <c r="C1058" s="1">
        <v>17</v>
      </c>
      <c r="D1058" s="1">
        <v>335</v>
      </c>
      <c r="E1058" s="1" t="s">
        <v>26</v>
      </c>
      <c r="F1058" s="6" t="s">
        <v>27</v>
      </c>
    </row>
    <row r="1059" spans="1:6" x14ac:dyDescent="0.35">
      <c r="A1059" s="5" t="s">
        <v>6</v>
      </c>
      <c r="B1059" s="1" t="s">
        <v>25</v>
      </c>
      <c r="C1059" s="1">
        <v>18</v>
      </c>
      <c r="D1059" s="1">
        <v>615</v>
      </c>
      <c r="E1059" s="1" t="s">
        <v>26</v>
      </c>
      <c r="F1059" s="6" t="s">
        <v>27</v>
      </c>
    </row>
    <row r="1060" spans="1:6" x14ac:dyDescent="0.35">
      <c r="A1060" s="5" t="s">
        <v>6</v>
      </c>
      <c r="B1060" s="1" t="s">
        <v>25</v>
      </c>
      <c r="C1060" s="1">
        <v>19</v>
      </c>
      <c r="D1060" s="1">
        <v>399</v>
      </c>
      <c r="E1060" s="1" t="s">
        <v>26</v>
      </c>
      <c r="F1060" s="6" t="s">
        <v>27</v>
      </c>
    </row>
    <row r="1061" spans="1:6" x14ac:dyDescent="0.35">
      <c r="A1061" s="5" t="s">
        <v>6</v>
      </c>
      <c r="B1061" s="1" t="s">
        <v>25</v>
      </c>
      <c r="C1061" s="1">
        <v>20</v>
      </c>
      <c r="D1061" s="1">
        <v>90</v>
      </c>
      <c r="E1061" s="1" t="s">
        <v>26</v>
      </c>
      <c r="F1061" s="6" t="s">
        <v>27</v>
      </c>
    </row>
    <row r="1062" spans="1:6" x14ac:dyDescent="0.35">
      <c r="A1062" s="5" t="s">
        <v>6</v>
      </c>
      <c r="B1062" s="1" t="s">
        <v>25</v>
      </c>
      <c r="C1062" s="1">
        <v>21</v>
      </c>
      <c r="D1062" s="1">
        <v>178</v>
      </c>
      <c r="E1062" s="1" t="s">
        <v>26</v>
      </c>
      <c r="F1062" s="6" t="s">
        <v>27</v>
      </c>
    </row>
    <row r="1063" spans="1:6" x14ac:dyDescent="0.35">
      <c r="A1063" s="5" t="s">
        <v>6</v>
      </c>
      <c r="B1063" s="1" t="s">
        <v>25</v>
      </c>
      <c r="C1063" s="1">
        <v>22</v>
      </c>
      <c r="D1063" s="1">
        <v>476</v>
      </c>
      <c r="E1063" s="1" t="s">
        <v>26</v>
      </c>
      <c r="F1063" s="6" t="s">
        <v>27</v>
      </c>
    </row>
    <row r="1064" spans="1:6" x14ac:dyDescent="0.35">
      <c r="A1064" s="5" t="s">
        <v>6</v>
      </c>
      <c r="B1064" s="1" t="s">
        <v>25</v>
      </c>
      <c r="C1064" s="1">
        <v>23</v>
      </c>
      <c r="D1064" s="1">
        <v>378</v>
      </c>
      <c r="E1064" s="1" t="s">
        <v>26</v>
      </c>
      <c r="F1064" s="6" t="s">
        <v>27</v>
      </c>
    </row>
    <row r="1065" spans="1:6" x14ac:dyDescent="0.35">
      <c r="A1065" s="5" t="s">
        <v>6</v>
      </c>
      <c r="B1065" s="1" t="s">
        <v>25</v>
      </c>
      <c r="C1065" s="1">
        <v>24</v>
      </c>
      <c r="D1065" s="1">
        <v>128</v>
      </c>
      <c r="E1065" s="1" t="s">
        <v>26</v>
      </c>
      <c r="F1065" s="6" t="s">
        <v>27</v>
      </c>
    </row>
    <row r="1066" spans="1:6" x14ac:dyDescent="0.35">
      <c r="A1066" s="5" t="s">
        <v>6</v>
      </c>
      <c r="B1066" s="1" t="s">
        <v>25</v>
      </c>
      <c r="C1066" s="1">
        <v>25</v>
      </c>
      <c r="D1066" s="1">
        <v>284</v>
      </c>
      <c r="E1066" s="1" t="s">
        <v>26</v>
      </c>
      <c r="F1066" s="6" t="s">
        <v>27</v>
      </c>
    </row>
    <row r="1067" spans="1:6" x14ac:dyDescent="0.35">
      <c r="A1067" s="5" t="s">
        <v>6</v>
      </c>
      <c r="B1067" s="1" t="s">
        <v>25</v>
      </c>
      <c r="C1067" s="1">
        <v>26</v>
      </c>
      <c r="D1067" s="1">
        <v>371</v>
      </c>
      <c r="E1067" s="1" t="s">
        <v>26</v>
      </c>
      <c r="F1067" s="6" t="s">
        <v>27</v>
      </c>
    </row>
    <row r="1068" spans="1:6" x14ac:dyDescent="0.35">
      <c r="A1068" s="5" t="s">
        <v>6</v>
      </c>
      <c r="B1068" s="1" t="s">
        <v>25</v>
      </c>
      <c r="C1068" s="1">
        <v>27</v>
      </c>
      <c r="D1068" s="1">
        <v>166</v>
      </c>
      <c r="E1068" s="1" t="s">
        <v>26</v>
      </c>
      <c r="F1068" s="6" t="s">
        <v>27</v>
      </c>
    </row>
    <row r="1069" spans="1:6" x14ac:dyDescent="0.35">
      <c r="A1069" s="5" t="s">
        <v>6</v>
      </c>
      <c r="B1069" s="1" t="s">
        <v>25</v>
      </c>
      <c r="C1069" s="1">
        <v>28</v>
      </c>
      <c r="D1069" s="1">
        <v>701</v>
      </c>
      <c r="E1069" s="1" t="s">
        <v>26</v>
      </c>
      <c r="F1069" s="6" t="s">
        <v>27</v>
      </c>
    </row>
    <row r="1070" spans="1:6" x14ac:dyDescent="0.35">
      <c r="A1070" s="5" t="s">
        <v>6</v>
      </c>
      <c r="B1070" s="1" t="s">
        <v>25</v>
      </c>
      <c r="C1070" s="1">
        <v>29</v>
      </c>
      <c r="D1070" s="1">
        <v>480</v>
      </c>
      <c r="E1070" s="1" t="s">
        <v>26</v>
      </c>
      <c r="F1070" s="6" t="s">
        <v>27</v>
      </c>
    </row>
    <row r="1071" spans="1:6" x14ac:dyDescent="0.35">
      <c r="A1071" s="5" t="s">
        <v>6</v>
      </c>
      <c r="B1071" s="1" t="s">
        <v>25</v>
      </c>
      <c r="C1071" s="1">
        <v>30</v>
      </c>
      <c r="D1071" s="1">
        <v>292</v>
      </c>
      <c r="E1071" s="1" t="s">
        <v>26</v>
      </c>
      <c r="F1071" s="6" t="s">
        <v>27</v>
      </c>
    </row>
    <row r="1072" spans="1:6" x14ac:dyDescent="0.35">
      <c r="A1072" s="5" t="s">
        <v>6</v>
      </c>
      <c r="B1072" s="1" t="s">
        <v>25</v>
      </c>
      <c r="C1072" s="1">
        <v>31</v>
      </c>
      <c r="D1072" s="1">
        <v>922</v>
      </c>
      <c r="E1072" s="1" t="s">
        <v>26</v>
      </c>
      <c r="F1072" s="6" t="s">
        <v>27</v>
      </c>
    </row>
    <row r="1073" spans="1:6" x14ac:dyDescent="0.35">
      <c r="A1073" s="5" t="s">
        <v>6</v>
      </c>
      <c r="B1073" s="1" t="s">
        <v>25</v>
      </c>
      <c r="C1073" s="1">
        <v>32</v>
      </c>
      <c r="D1073" s="1">
        <v>130</v>
      </c>
      <c r="E1073" s="1" t="s">
        <v>26</v>
      </c>
      <c r="F1073" s="6" t="s">
        <v>27</v>
      </c>
    </row>
    <row r="1074" spans="1:6" x14ac:dyDescent="0.35">
      <c r="A1074" s="5" t="s">
        <v>6</v>
      </c>
      <c r="B1074" s="1" t="s">
        <v>25</v>
      </c>
      <c r="C1074" s="1">
        <v>33</v>
      </c>
      <c r="D1074" s="1">
        <v>336</v>
      </c>
      <c r="E1074" s="1" t="s">
        <v>26</v>
      </c>
      <c r="F1074" s="6" t="s">
        <v>27</v>
      </c>
    </row>
    <row r="1075" spans="1:6" x14ac:dyDescent="0.35">
      <c r="A1075" s="5" t="s">
        <v>6</v>
      </c>
      <c r="B1075" s="1" t="s">
        <v>25</v>
      </c>
      <c r="C1075" s="1">
        <v>34</v>
      </c>
      <c r="D1075" s="1">
        <v>384</v>
      </c>
      <c r="E1075" s="1" t="s">
        <v>26</v>
      </c>
      <c r="F1075" s="6" t="s">
        <v>27</v>
      </c>
    </row>
    <row r="1076" spans="1:6" x14ac:dyDescent="0.35">
      <c r="A1076" s="5" t="s">
        <v>6</v>
      </c>
      <c r="B1076" s="1" t="s">
        <v>25</v>
      </c>
      <c r="C1076" s="1">
        <v>35</v>
      </c>
      <c r="D1076" s="1">
        <v>344</v>
      </c>
      <c r="E1076" s="1" t="s">
        <v>26</v>
      </c>
      <c r="F1076" s="6" t="s">
        <v>27</v>
      </c>
    </row>
    <row r="1077" spans="1:6" x14ac:dyDescent="0.35">
      <c r="A1077" s="5" t="s">
        <v>6</v>
      </c>
      <c r="B1077" s="1" t="s">
        <v>25</v>
      </c>
      <c r="C1077" s="1">
        <v>36</v>
      </c>
      <c r="D1077" s="1">
        <v>370</v>
      </c>
      <c r="E1077" s="1" t="s">
        <v>26</v>
      </c>
      <c r="F1077" s="6" t="s">
        <v>27</v>
      </c>
    </row>
    <row r="1078" spans="1:6" x14ac:dyDescent="0.35">
      <c r="A1078" s="5" t="s">
        <v>6</v>
      </c>
      <c r="B1078" s="1" t="s">
        <v>25</v>
      </c>
      <c r="C1078" s="1">
        <v>37</v>
      </c>
      <c r="D1078" s="1">
        <v>298</v>
      </c>
      <c r="E1078" s="1" t="s">
        <v>26</v>
      </c>
      <c r="F1078" s="6" t="s">
        <v>27</v>
      </c>
    </row>
    <row r="1079" spans="1:6" x14ac:dyDescent="0.35">
      <c r="A1079" s="5" t="s">
        <v>6</v>
      </c>
      <c r="B1079" s="1" t="s">
        <v>25</v>
      </c>
      <c r="C1079" s="1">
        <v>38</v>
      </c>
      <c r="D1079" s="1">
        <v>290</v>
      </c>
      <c r="E1079" s="1" t="s">
        <v>26</v>
      </c>
      <c r="F1079" s="6" t="s">
        <v>27</v>
      </c>
    </row>
    <row r="1080" spans="1:6" x14ac:dyDescent="0.35">
      <c r="A1080" s="5" t="s">
        <v>6</v>
      </c>
      <c r="B1080" s="1" t="s">
        <v>25</v>
      </c>
      <c r="C1080" s="1">
        <v>39</v>
      </c>
      <c r="D1080" s="1">
        <v>814</v>
      </c>
      <c r="E1080" s="1" t="s">
        <v>26</v>
      </c>
      <c r="F1080" s="6" t="s">
        <v>27</v>
      </c>
    </row>
    <row r="1081" spans="1:6" x14ac:dyDescent="0.35">
      <c r="A1081" s="5" t="s">
        <v>6</v>
      </c>
      <c r="B1081" s="1" t="s">
        <v>25</v>
      </c>
      <c r="C1081" s="1">
        <v>40</v>
      </c>
      <c r="D1081" s="1">
        <v>676</v>
      </c>
      <c r="E1081" s="1" t="s">
        <v>26</v>
      </c>
      <c r="F1081" s="6" t="s">
        <v>27</v>
      </c>
    </row>
    <row r="1082" spans="1:6" x14ac:dyDescent="0.35">
      <c r="A1082" s="5" t="s">
        <v>6</v>
      </c>
      <c r="B1082" s="1" t="s">
        <v>25</v>
      </c>
      <c r="C1082" s="1">
        <v>41</v>
      </c>
      <c r="D1082" s="1">
        <v>592</v>
      </c>
      <c r="E1082" s="1" t="s">
        <v>26</v>
      </c>
      <c r="F1082" s="6" t="s">
        <v>27</v>
      </c>
    </row>
    <row r="1083" spans="1:6" x14ac:dyDescent="0.35">
      <c r="A1083" s="5" t="s">
        <v>6</v>
      </c>
      <c r="B1083" s="1" t="s">
        <v>25</v>
      </c>
      <c r="C1083" s="1">
        <v>42</v>
      </c>
      <c r="D1083" s="1">
        <v>304</v>
      </c>
      <c r="E1083" s="1" t="s">
        <v>26</v>
      </c>
      <c r="F1083" s="6" t="s">
        <v>27</v>
      </c>
    </row>
    <row r="1084" spans="1:6" x14ac:dyDescent="0.35">
      <c r="A1084" s="5" t="s">
        <v>6</v>
      </c>
      <c r="B1084" s="1" t="s">
        <v>25</v>
      </c>
      <c r="C1084" s="1">
        <v>43</v>
      </c>
      <c r="D1084" s="1">
        <v>118</v>
      </c>
      <c r="E1084" s="1" t="s">
        <v>26</v>
      </c>
      <c r="F1084" s="6" t="s">
        <v>27</v>
      </c>
    </row>
    <row r="1085" spans="1:6" x14ac:dyDescent="0.35">
      <c r="A1085" s="5" t="s">
        <v>6</v>
      </c>
      <c r="B1085" s="1" t="s">
        <v>25</v>
      </c>
      <c r="C1085" s="1">
        <v>44</v>
      </c>
      <c r="D1085" s="1">
        <v>1132</v>
      </c>
      <c r="E1085" s="1" t="s">
        <v>26</v>
      </c>
      <c r="F1085" s="6" t="s">
        <v>27</v>
      </c>
    </row>
    <row r="1086" spans="1:6" x14ac:dyDescent="0.35">
      <c r="A1086" s="5" t="s">
        <v>6</v>
      </c>
      <c r="B1086" s="1" t="s">
        <v>25</v>
      </c>
      <c r="C1086" s="1">
        <v>45</v>
      </c>
      <c r="D1086" s="1">
        <v>525</v>
      </c>
      <c r="E1086" s="1" t="s">
        <v>26</v>
      </c>
      <c r="F1086" s="6" t="s">
        <v>27</v>
      </c>
    </row>
    <row r="1087" spans="1:6" x14ac:dyDescent="0.35">
      <c r="A1087" s="5" t="s">
        <v>6</v>
      </c>
      <c r="B1087" s="1" t="s">
        <v>25</v>
      </c>
      <c r="C1087" s="1">
        <v>46</v>
      </c>
      <c r="D1087" s="1">
        <v>742</v>
      </c>
      <c r="E1087" s="1" t="s">
        <v>26</v>
      </c>
      <c r="F1087" s="6" t="s">
        <v>27</v>
      </c>
    </row>
    <row r="1088" spans="1:6" x14ac:dyDescent="0.35">
      <c r="A1088" s="5" t="s">
        <v>6</v>
      </c>
      <c r="B1088" s="1" t="s">
        <v>25</v>
      </c>
      <c r="C1088" s="1">
        <v>47</v>
      </c>
      <c r="D1088" s="1">
        <v>836</v>
      </c>
      <c r="E1088" s="1" t="s">
        <v>26</v>
      </c>
      <c r="F1088" s="6" t="s">
        <v>27</v>
      </c>
    </row>
    <row r="1089" spans="1:6" x14ac:dyDescent="0.35">
      <c r="A1089" s="5" t="s">
        <v>6</v>
      </c>
      <c r="B1089" s="1" t="s">
        <v>25</v>
      </c>
      <c r="C1089" s="1">
        <v>48</v>
      </c>
      <c r="D1089" s="1">
        <v>993</v>
      </c>
      <c r="E1089" s="1" t="s">
        <v>26</v>
      </c>
      <c r="F1089" s="6" t="s">
        <v>27</v>
      </c>
    </row>
    <row r="1090" spans="1:6" x14ac:dyDescent="0.35">
      <c r="A1090" s="5" t="s">
        <v>6</v>
      </c>
      <c r="B1090" s="1" t="s">
        <v>25</v>
      </c>
      <c r="C1090" s="1">
        <v>49</v>
      </c>
      <c r="D1090" s="1">
        <v>347</v>
      </c>
      <c r="E1090" s="1" t="s">
        <v>26</v>
      </c>
      <c r="F1090" s="6" t="s">
        <v>27</v>
      </c>
    </row>
    <row r="1091" spans="1:6" x14ac:dyDescent="0.35">
      <c r="A1091" s="5" t="s">
        <v>6</v>
      </c>
      <c r="B1091" s="1" t="s">
        <v>25</v>
      </c>
      <c r="C1091" s="1">
        <v>50</v>
      </c>
      <c r="D1091" s="1">
        <v>519</v>
      </c>
      <c r="E1091" s="1" t="s">
        <v>26</v>
      </c>
      <c r="F1091" s="6" t="s">
        <v>27</v>
      </c>
    </row>
    <row r="1092" spans="1:6" x14ac:dyDescent="0.35">
      <c r="A1092" s="5" t="s">
        <v>6</v>
      </c>
      <c r="B1092" s="1" t="s">
        <v>25</v>
      </c>
      <c r="C1092" s="1">
        <v>51</v>
      </c>
      <c r="D1092" s="1">
        <v>441</v>
      </c>
      <c r="E1092" s="1" t="s">
        <v>26</v>
      </c>
      <c r="F1092" s="6" t="s">
        <v>27</v>
      </c>
    </row>
    <row r="1093" spans="1:6" x14ac:dyDescent="0.35">
      <c r="A1093" s="5" t="s">
        <v>6</v>
      </c>
      <c r="B1093" s="1" t="s">
        <v>25</v>
      </c>
      <c r="C1093" s="1">
        <v>52</v>
      </c>
      <c r="D1093" s="1">
        <v>188</v>
      </c>
      <c r="E1093" s="1" t="s">
        <v>26</v>
      </c>
      <c r="F1093" s="6" t="s">
        <v>27</v>
      </c>
    </row>
    <row r="1094" spans="1:6" x14ac:dyDescent="0.35">
      <c r="A1094" s="5" t="s">
        <v>10</v>
      </c>
      <c r="B1094" s="1" t="s">
        <v>25</v>
      </c>
      <c r="C1094" s="1">
        <v>1</v>
      </c>
      <c r="D1094" s="1">
        <v>217</v>
      </c>
      <c r="E1094" s="1" t="s">
        <v>28</v>
      </c>
      <c r="F1094" s="6" t="s">
        <v>29</v>
      </c>
    </row>
    <row r="1095" spans="1:6" x14ac:dyDescent="0.35">
      <c r="A1095" s="5" t="s">
        <v>10</v>
      </c>
      <c r="B1095" s="1" t="s">
        <v>25</v>
      </c>
      <c r="C1095" s="1">
        <v>2</v>
      </c>
      <c r="D1095" s="1">
        <v>232</v>
      </c>
      <c r="E1095" s="1" t="s">
        <v>28</v>
      </c>
      <c r="F1095" s="6" t="s">
        <v>29</v>
      </c>
    </row>
    <row r="1096" spans="1:6" x14ac:dyDescent="0.35">
      <c r="A1096" s="5" t="s">
        <v>10</v>
      </c>
      <c r="B1096" s="1" t="s">
        <v>25</v>
      </c>
      <c r="C1096" s="1">
        <v>3</v>
      </c>
      <c r="D1096" s="1">
        <v>78</v>
      </c>
      <c r="E1096" s="1" t="s">
        <v>28</v>
      </c>
      <c r="F1096" s="6" t="s">
        <v>29</v>
      </c>
    </row>
    <row r="1097" spans="1:6" x14ac:dyDescent="0.35">
      <c r="A1097" s="5" t="s">
        <v>10</v>
      </c>
      <c r="B1097" s="1" t="s">
        <v>25</v>
      </c>
      <c r="C1097" s="1">
        <v>4</v>
      </c>
      <c r="D1097" s="1">
        <v>277</v>
      </c>
      <c r="E1097" s="1" t="s">
        <v>28</v>
      </c>
      <c r="F1097" s="6" t="s">
        <v>29</v>
      </c>
    </row>
    <row r="1098" spans="1:6" x14ac:dyDescent="0.35">
      <c r="A1098" s="5" t="s">
        <v>10</v>
      </c>
      <c r="B1098" s="1" t="s">
        <v>25</v>
      </c>
      <c r="C1098" s="1">
        <v>5</v>
      </c>
      <c r="D1098" s="1">
        <v>119</v>
      </c>
      <c r="E1098" s="1" t="s">
        <v>28</v>
      </c>
      <c r="F1098" s="6" t="s">
        <v>29</v>
      </c>
    </row>
    <row r="1099" spans="1:6" x14ac:dyDescent="0.35">
      <c r="A1099" s="5" t="s">
        <v>10</v>
      </c>
      <c r="B1099" s="1" t="s">
        <v>25</v>
      </c>
      <c r="C1099" s="1">
        <v>6</v>
      </c>
      <c r="D1099" s="1">
        <v>318</v>
      </c>
      <c r="E1099" s="1" t="s">
        <v>28</v>
      </c>
      <c r="F1099" s="6" t="s">
        <v>29</v>
      </c>
    </row>
    <row r="1100" spans="1:6" x14ac:dyDescent="0.35">
      <c r="A1100" s="5" t="s">
        <v>10</v>
      </c>
      <c r="B1100" s="1" t="s">
        <v>25</v>
      </c>
      <c r="C1100" s="1">
        <v>7</v>
      </c>
      <c r="D1100" s="1">
        <v>216</v>
      </c>
      <c r="E1100" s="1" t="s">
        <v>28</v>
      </c>
      <c r="F1100" s="6" t="s">
        <v>29</v>
      </c>
    </row>
    <row r="1101" spans="1:6" x14ac:dyDescent="0.35">
      <c r="A1101" s="5" t="s">
        <v>10</v>
      </c>
      <c r="B1101" s="1" t="s">
        <v>25</v>
      </c>
      <c r="C1101" s="1">
        <v>8</v>
      </c>
      <c r="D1101" s="1">
        <v>202</v>
      </c>
      <c r="E1101" s="1" t="s">
        <v>28</v>
      </c>
      <c r="F1101" s="6" t="s">
        <v>29</v>
      </c>
    </row>
    <row r="1102" spans="1:6" x14ac:dyDescent="0.35">
      <c r="A1102" s="5" t="s">
        <v>10</v>
      </c>
      <c r="B1102" s="1" t="s">
        <v>25</v>
      </c>
      <c r="C1102" s="1">
        <v>9</v>
      </c>
      <c r="D1102" s="1">
        <v>165</v>
      </c>
      <c r="E1102" s="1" t="s">
        <v>28</v>
      </c>
      <c r="F1102" s="6" t="s">
        <v>29</v>
      </c>
    </row>
    <row r="1103" spans="1:6" x14ac:dyDescent="0.35">
      <c r="A1103" s="5" t="s">
        <v>10</v>
      </c>
      <c r="B1103" s="1" t="s">
        <v>25</v>
      </c>
      <c r="C1103" s="1">
        <v>10</v>
      </c>
      <c r="D1103" s="1">
        <v>413</v>
      </c>
      <c r="E1103" s="1" t="s">
        <v>28</v>
      </c>
      <c r="F1103" s="6" t="s">
        <v>29</v>
      </c>
    </row>
    <row r="1104" spans="1:6" x14ac:dyDescent="0.35">
      <c r="A1104" s="5" t="s">
        <v>10</v>
      </c>
      <c r="B1104" s="1" t="s">
        <v>25</v>
      </c>
      <c r="C1104" s="1">
        <v>11</v>
      </c>
      <c r="D1104" s="1">
        <v>147</v>
      </c>
      <c r="E1104" s="1" t="s">
        <v>28</v>
      </c>
      <c r="F1104" s="6" t="s">
        <v>29</v>
      </c>
    </row>
    <row r="1105" spans="1:6" x14ac:dyDescent="0.35">
      <c r="A1105" s="5" t="s">
        <v>10</v>
      </c>
      <c r="B1105" s="1" t="s">
        <v>25</v>
      </c>
      <c r="C1105" s="1">
        <v>12</v>
      </c>
      <c r="D1105" s="1">
        <v>334</v>
      </c>
      <c r="E1105" s="1" t="s">
        <v>28</v>
      </c>
      <c r="F1105" s="6" t="s">
        <v>29</v>
      </c>
    </row>
    <row r="1106" spans="1:6" x14ac:dyDescent="0.35">
      <c r="A1106" s="5" t="s">
        <v>10</v>
      </c>
      <c r="B1106" s="1" t="s">
        <v>25</v>
      </c>
      <c r="C1106" s="1">
        <v>13</v>
      </c>
      <c r="D1106" s="1">
        <v>422</v>
      </c>
      <c r="E1106" s="1" t="s">
        <v>28</v>
      </c>
      <c r="F1106" s="6" t="s">
        <v>29</v>
      </c>
    </row>
    <row r="1107" spans="1:6" x14ac:dyDescent="0.35">
      <c r="A1107" s="5" t="s">
        <v>10</v>
      </c>
      <c r="B1107" s="1" t="s">
        <v>25</v>
      </c>
      <c r="C1107" s="1">
        <v>14</v>
      </c>
      <c r="D1107" s="1">
        <v>103</v>
      </c>
      <c r="E1107" s="1" t="s">
        <v>28</v>
      </c>
      <c r="F1107" s="6" t="s">
        <v>29</v>
      </c>
    </row>
    <row r="1108" spans="1:6" x14ac:dyDescent="0.35">
      <c r="A1108" s="5" t="s">
        <v>10</v>
      </c>
      <c r="B1108" s="1" t="s">
        <v>25</v>
      </c>
      <c r="C1108" s="1">
        <v>15</v>
      </c>
      <c r="D1108" s="1">
        <v>527</v>
      </c>
      <c r="E1108" s="1" t="s">
        <v>28</v>
      </c>
      <c r="F1108" s="6" t="s">
        <v>29</v>
      </c>
    </row>
    <row r="1109" spans="1:6" x14ac:dyDescent="0.35">
      <c r="A1109" s="5" t="s">
        <v>10</v>
      </c>
      <c r="B1109" s="1" t="s">
        <v>25</v>
      </c>
      <c r="C1109" s="1">
        <v>16</v>
      </c>
      <c r="D1109" s="1">
        <v>302</v>
      </c>
      <c r="E1109" s="1" t="s">
        <v>28</v>
      </c>
      <c r="F1109" s="6" t="s">
        <v>29</v>
      </c>
    </row>
    <row r="1110" spans="1:6" x14ac:dyDescent="0.35">
      <c r="A1110" s="5" t="s">
        <v>10</v>
      </c>
      <c r="B1110" s="1" t="s">
        <v>25</v>
      </c>
      <c r="C1110" s="1">
        <v>17</v>
      </c>
      <c r="D1110" s="1">
        <v>188</v>
      </c>
      <c r="E1110" s="1" t="s">
        <v>28</v>
      </c>
      <c r="F1110" s="6" t="s">
        <v>29</v>
      </c>
    </row>
    <row r="1111" spans="1:6" x14ac:dyDescent="0.35">
      <c r="A1111" s="5" t="s">
        <v>10</v>
      </c>
      <c r="B1111" s="1" t="s">
        <v>25</v>
      </c>
      <c r="C1111" s="1">
        <v>18</v>
      </c>
      <c r="D1111" s="1">
        <v>238</v>
      </c>
      <c r="E1111" s="1" t="s">
        <v>28</v>
      </c>
      <c r="F1111" s="6" t="s">
        <v>29</v>
      </c>
    </row>
    <row r="1112" spans="1:6" x14ac:dyDescent="0.35">
      <c r="A1112" s="5" t="s">
        <v>10</v>
      </c>
      <c r="B1112" s="1" t="s">
        <v>25</v>
      </c>
      <c r="C1112" s="1">
        <v>19</v>
      </c>
      <c r="D1112" s="1">
        <v>141</v>
      </c>
      <c r="E1112" s="1" t="s">
        <v>28</v>
      </c>
      <c r="F1112" s="6" t="s">
        <v>29</v>
      </c>
    </row>
    <row r="1113" spans="1:6" x14ac:dyDescent="0.35">
      <c r="A1113" s="5" t="s">
        <v>10</v>
      </c>
      <c r="B1113" s="1" t="s">
        <v>25</v>
      </c>
      <c r="C1113" s="1">
        <v>20</v>
      </c>
      <c r="D1113" s="1">
        <v>395</v>
      </c>
      <c r="E1113" s="1" t="s">
        <v>28</v>
      </c>
      <c r="F1113" s="6" t="s">
        <v>29</v>
      </c>
    </row>
    <row r="1114" spans="1:6" x14ac:dyDescent="0.35">
      <c r="A1114" s="5" t="s">
        <v>10</v>
      </c>
      <c r="B1114" s="1" t="s">
        <v>25</v>
      </c>
      <c r="C1114" s="1">
        <v>21</v>
      </c>
      <c r="D1114" s="1">
        <v>211</v>
      </c>
      <c r="E1114" s="1" t="s">
        <v>28</v>
      </c>
      <c r="F1114" s="6" t="s">
        <v>29</v>
      </c>
    </row>
    <row r="1115" spans="1:6" x14ac:dyDescent="0.35">
      <c r="A1115" s="5" t="s">
        <v>10</v>
      </c>
      <c r="B1115" s="1" t="s">
        <v>25</v>
      </c>
      <c r="C1115" s="1">
        <v>22</v>
      </c>
      <c r="D1115" s="1">
        <v>150</v>
      </c>
      <c r="E1115" s="1" t="s">
        <v>28</v>
      </c>
      <c r="F1115" s="6" t="s">
        <v>29</v>
      </c>
    </row>
    <row r="1116" spans="1:6" x14ac:dyDescent="0.35">
      <c r="A1116" s="5" t="s">
        <v>10</v>
      </c>
      <c r="B1116" s="1" t="s">
        <v>25</v>
      </c>
      <c r="C1116" s="1">
        <v>23</v>
      </c>
      <c r="D1116" s="1">
        <v>435</v>
      </c>
      <c r="E1116" s="1" t="s">
        <v>28</v>
      </c>
      <c r="F1116" s="6" t="s">
        <v>29</v>
      </c>
    </row>
    <row r="1117" spans="1:6" x14ac:dyDescent="0.35">
      <c r="A1117" s="5" t="s">
        <v>10</v>
      </c>
      <c r="B1117" s="1" t="s">
        <v>25</v>
      </c>
      <c r="C1117" s="1">
        <v>24</v>
      </c>
      <c r="D1117" s="1">
        <v>269</v>
      </c>
      <c r="E1117" s="1" t="s">
        <v>28</v>
      </c>
      <c r="F1117" s="6" t="s">
        <v>29</v>
      </c>
    </row>
    <row r="1118" spans="1:6" x14ac:dyDescent="0.35">
      <c r="A1118" s="5" t="s">
        <v>10</v>
      </c>
      <c r="B1118" s="1" t="s">
        <v>25</v>
      </c>
      <c r="C1118" s="1">
        <v>25</v>
      </c>
      <c r="D1118" s="1">
        <v>676</v>
      </c>
      <c r="E1118" s="1" t="s">
        <v>28</v>
      </c>
      <c r="F1118" s="6" t="s">
        <v>29</v>
      </c>
    </row>
    <row r="1119" spans="1:6" x14ac:dyDescent="0.35">
      <c r="A1119" s="5" t="s">
        <v>10</v>
      </c>
      <c r="B1119" s="1" t="s">
        <v>25</v>
      </c>
      <c r="C1119" s="1">
        <v>26</v>
      </c>
      <c r="D1119" s="1">
        <v>582</v>
      </c>
      <c r="E1119" s="1" t="s">
        <v>28</v>
      </c>
      <c r="F1119" s="6" t="s">
        <v>29</v>
      </c>
    </row>
    <row r="1120" spans="1:6" x14ac:dyDescent="0.35">
      <c r="A1120" s="5" t="s">
        <v>10</v>
      </c>
      <c r="B1120" s="1" t="s">
        <v>25</v>
      </c>
      <c r="C1120" s="1">
        <v>27</v>
      </c>
      <c r="D1120" s="1">
        <v>276</v>
      </c>
      <c r="E1120" s="1" t="s">
        <v>28</v>
      </c>
      <c r="F1120" s="6" t="s">
        <v>29</v>
      </c>
    </row>
    <row r="1121" spans="1:6" x14ac:dyDescent="0.35">
      <c r="A1121" s="5" t="s">
        <v>10</v>
      </c>
      <c r="B1121" s="1" t="s">
        <v>25</v>
      </c>
      <c r="C1121" s="1">
        <v>28</v>
      </c>
      <c r="D1121" s="1">
        <v>369</v>
      </c>
      <c r="E1121" s="1" t="s">
        <v>28</v>
      </c>
      <c r="F1121" s="6" t="s">
        <v>29</v>
      </c>
    </row>
    <row r="1122" spans="1:6" x14ac:dyDescent="0.35">
      <c r="A1122" s="5" t="s">
        <v>10</v>
      </c>
      <c r="B1122" s="1" t="s">
        <v>25</v>
      </c>
      <c r="C1122" s="1">
        <v>29</v>
      </c>
      <c r="D1122" s="1">
        <v>362</v>
      </c>
      <c r="E1122" s="1" t="s">
        <v>28</v>
      </c>
      <c r="F1122" s="6" t="s">
        <v>29</v>
      </c>
    </row>
    <row r="1123" spans="1:6" x14ac:dyDescent="0.35">
      <c r="A1123" s="5" t="s">
        <v>10</v>
      </c>
      <c r="B1123" s="1" t="s">
        <v>25</v>
      </c>
      <c r="C1123" s="1">
        <v>30</v>
      </c>
      <c r="D1123" s="1">
        <v>478</v>
      </c>
      <c r="E1123" s="1" t="s">
        <v>28</v>
      </c>
      <c r="F1123" s="6" t="s">
        <v>29</v>
      </c>
    </row>
    <row r="1124" spans="1:6" x14ac:dyDescent="0.35">
      <c r="A1124" s="5" t="s">
        <v>10</v>
      </c>
      <c r="B1124" s="1" t="s">
        <v>25</v>
      </c>
      <c r="C1124" s="1">
        <v>31</v>
      </c>
      <c r="D1124" s="1">
        <v>428</v>
      </c>
      <c r="E1124" s="1" t="s">
        <v>28</v>
      </c>
      <c r="F1124" s="6" t="s">
        <v>29</v>
      </c>
    </row>
    <row r="1125" spans="1:6" x14ac:dyDescent="0.35">
      <c r="A1125" s="5" t="s">
        <v>10</v>
      </c>
      <c r="B1125" s="1" t="s">
        <v>25</v>
      </c>
      <c r="C1125" s="1">
        <v>32</v>
      </c>
      <c r="D1125" s="1">
        <v>492</v>
      </c>
      <c r="E1125" s="1" t="s">
        <v>28</v>
      </c>
      <c r="F1125" s="6" t="s">
        <v>29</v>
      </c>
    </row>
    <row r="1126" spans="1:6" x14ac:dyDescent="0.35">
      <c r="A1126" s="5" t="s">
        <v>10</v>
      </c>
      <c r="B1126" s="1" t="s">
        <v>25</v>
      </c>
      <c r="C1126" s="1">
        <v>33</v>
      </c>
      <c r="D1126" s="1">
        <v>355</v>
      </c>
      <c r="E1126" s="1" t="s">
        <v>28</v>
      </c>
      <c r="F1126" s="6" t="s">
        <v>29</v>
      </c>
    </row>
    <row r="1127" spans="1:6" x14ac:dyDescent="0.35">
      <c r="A1127" s="5" t="s">
        <v>10</v>
      </c>
      <c r="B1127" s="1" t="s">
        <v>25</v>
      </c>
      <c r="C1127" s="1">
        <v>34</v>
      </c>
      <c r="D1127" s="1">
        <v>197</v>
      </c>
      <c r="E1127" s="1" t="s">
        <v>28</v>
      </c>
      <c r="F1127" s="6" t="s">
        <v>29</v>
      </c>
    </row>
    <row r="1128" spans="1:6" x14ac:dyDescent="0.35">
      <c r="A1128" s="5" t="s">
        <v>10</v>
      </c>
      <c r="B1128" s="1" t="s">
        <v>25</v>
      </c>
      <c r="C1128" s="1">
        <v>35</v>
      </c>
      <c r="D1128" s="1">
        <v>94</v>
      </c>
      <c r="E1128" s="1" t="s">
        <v>28</v>
      </c>
      <c r="F1128" s="6" t="s">
        <v>29</v>
      </c>
    </row>
    <row r="1129" spans="1:6" x14ac:dyDescent="0.35">
      <c r="A1129" s="5" t="s">
        <v>10</v>
      </c>
      <c r="B1129" s="1" t="s">
        <v>25</v>
      </c>
      <c r="C1129" s="1">
        <v>36</v>
      </c>
      <c r="D1129" s="1">
        <v>152</v>
      </c>
      <c r="E1129" s="1" t="s">
        <v>28</v>
      </c>
      <c r="F1129" s="6" t="s">
        <v>29</v>
      </c>
    </row>
    <row r="1130" spans="1:6" x14ac:dyDescent="0.35">
      <c r="A1130" s="5" t="s">
        <v>10</v>
      </c>
      <c r="B1130" s="1" t="s">
        <v>25</v>
      </c>
      <c r="C1130" s="1">
        <v>37</v>
      </c>
      <c r="D1130" s="1">
        <v>678</v>
      </c>
      <c r="E1130" s="1" t="s">
        <v>28</v>
      </c>
      <c r="F1130" s="6" t="s">
        <v>29</v>
      </c>
    </row>
    <row r="1131" spans="1:6" x14ac:dyDescent="0.35">
      <c r="A1131" s="5" t="s">
        <v>10</v>
      </c>
      <c r="B1131" s="1" t="s">
        <v>25</v>
      </c>
      <c r="C1131" s="1">
        <v>38</v>
      </c>
      <c r="D1131" s="1">
        <v>335</v>
      </c>
      <c r="E1131" s="1" t="s">
        <v>28</v>
      </c>
      <c r="F1131" s="6" t="s">
        <v>29</v>
      </c>
    </row>
    <row r="1132" spans="1:6" x14ac:dyDescent="0.35">
      <c r="A1132" s="5" t="s">
        <v>10</v>
      </c>
      <c r="B1132" s="1" t="s">
        <v>25</v>
      </c>
      <c r="C1132" s="1">
        <v>39</v>
      </c>
      <c r="D1132" s="1">
        <v>306</v>
      </c>
      <c r="E1132" s="1" t="s">
        <v>28</v>
      </c>
      <c r="F1132" s="6" t="s">
        <v>29</v>
      </c>
    </row>
    <row r="1133" spans="1:6" x14ac:dyDescent="0.35">
      <c r="A1133" s="5" t="s">
        <v>10</v>
      </c>
      <c r="B1133" s="1" t="s">
        <v>25</v>
      </c>
      <c r="C1133" s="1">
        <v>40</v>
      </c>
      <c r="D1133" s="1">
        <v>743</v>
      </c>
      <c r="E1133" s="1" t="s">
        <v>28</v>
      </c>
      <c r="F1133" s="6" t="s">
        <v>29</v>
      </c>
    </row>
    <row r="1134" spans="1:6" x14ac:dyDescent="0.35">
      <c r="A1134" s="5" t="s">
        <v>10</v>
      </c>
      <c r="B1134" s="1" t="s">
        <v>25</v>
      </c>
      <c r="C1134" s="1">
        <v>41</v>
      </c>
      <c r="D1134" s="1">
        <v>375</v>
      </c>
      <c r="E1134" s="1" t="s">
        <v>28</v>
      </c>
      <c r="F1134" s="6" t="s">
        <v>29</v>
      </c>
    </row>
    <row r="1135" spans="1:6" x14ac:dyDescent="0.35">
      <c r="A1135" s="5" t="s">
        <v>10</v>
      </c>
      <c r="B1135" s="1" t="s">
        <v>25</v>
      </c>
      <c r="C1135" s="1">
        <v>42</v>
      </c>
      <c r="D1135" s="1">
        <v>270</v>
      </c>
      <c r="E1135" s="1" t="s">
        <v>28</v>
      </c>
      <c r="F1135" s="6" t="s">
        <v>29</v>
      </c>
    </row>
    <row r="1136" spans="1:6" x14ac:dyDescent="0.35">
      <c r="A1136" s="5" t="s">
        <v>10</v>
      </c>
      <c r="B1136" s="1" t="s">
        <v>25</v>
      </c>
      <c r="C1136" s="1">
        <v>43</v>
      </c>
      <c r="D1136" s="1">
        <v>326</v>
      </c>
      <c r="E1136" s="1" t="s">
        <v>28</v>
      </c>
      <c r="F1136" s="6" t="s">
        <v>29</v>
      </c>
    </row>
    <row r="1137" spans="1:6" x14ac:dyDescent="0.35">
      <c r="A1137" s="5" t="s">
        <v>10</v>
      </c>
      <c r="B1137" s="1" t="s">
        <v>25</v>
      </c>
      <c r="C1137" s="1">
        <v>44</v>
      </c>
      <c r="D1137" s="1">
        <v>432</v>
      </c>
      <c r="E1137" s="1" t="s">
        <v>28</v>
      </c>
      <c r="F1137" s="6" t="s">
        <v>29</v>
      </c>
    </row>
    <row r="1138" spans="1:6" x14ac:dyDescent="0.35">
      <c r="A1138" s="5" t="s">
        <v>10</v>
      </c>
      <c r="B1138" s="1" t="s">
        <v>25</v>
      </c>
      <c r="C1138" s="1">
        <v>45</v>
      </c>
      <c r="D1138" s="1">
        <v>600</v>
      </c>
      <c r="E1138" s="1" t="s">
        <v>28</v>
      </c>
      <c r="F1138" s="6" t="s">
        <v>29</v>
      </c>
    </row>
    <row r="1139" spans="1:6" x14ac:dyDescent="0.35">
      <c r="A1139" s="5" t="s">
        <v>10</v>
      </c>
      <c r="B1139" s="1" t="s">
        <v>25</v>
      </c>
      <c r="C1139" s="1">
        <v>46</v>
      </c>
      <c r="D1139" s="1">
        <v>301</v>
      </c>
      <c r="E1139" s="1" t="s">
        <v>28</v>
      </c>
      <c r="F1139" s="6" t="s">
        <v>29</v>
      </c>
    </row>
    <row r="1140" spans="1:6" x14ac:dyDescent="0.35">
      <c r="A1140" s="5" t="s">
        <v>10</v>
      </c>
      <c r="B1140" s="1" t="s">
        <v>25</v>
      </c>
      <c r="C1140" s="1">
        <v>47</v>
      </c>
      <c r="D1140" s="1">
        <v>541</v>
      </c>
      <c r="E1140" s="1" t="s">
        <v>28</v>
      </c>
      <c r="F1140" s="6" t="s">
        <v>29</v>
      </c>
    </row>
    <row r="1141" spans="1:6" x14ac:dyDescent="0.35">
      <c r="A1141" s="5" t="s">
        <v>10</v>
      </c>
      <c r="B1141" s="1" t="s">
        <v>25</v>
      </c>
      <c r="C1141" s="1">
        <v>48</v>
      </c>
      <c r="D1141" s="1">
        <v>274</v>
      </c>
      <c r="E1141" s="1" t="s">
        <v>28</v>
      </c>
      <c r="F1141" s="6" t="s">
        <v>29</v>
      </c>
    </row>
    <row r="1142" spans="1:6" x14ac:dyDescent="0.35">
      <c r="A1142" s="5" t="s">
        <v>10</v>
      </c>
      <c r="B1142" s="1" t="s">
        <v>25</v>
      </c>
      <c r="C1142" s="1">
        <v>49</v>
      </c>
      <c r="D1142" s="1">
        <v>503</v>
      </c>
      <c r="E1142" s="1" t="s">
        <v>28</v>
      </c>
      <c r="F1142" s="6" t="s">
        <v>29</v>
      </c>
    </row>
    <row r="1143" spans="1:6" x14ac:dyDescent="0.35">
      <c r="A1143" s="5" t="s">
        <v>10</v>
      </c>
      <c r="B1143" s="1" t="s">
        <v>25</v>
      </c>
      <c r="C1143" s="1">
        <v>50</v>
      </c>
      <c r="D1143" s="1">
        <v>280</v>
      </c>
      <c r="E1143" s="1" t="s">
        <v>28</v>
      </c>
      <c r="F1143" s="6" t="s">
        <v>29</v>
      </c>
    </row>
    <row r="1144" spans="1:6" x14ac:dyDescent="0.35">
      <c r="A1144" s="5" t="s">
        <v>10</v>
      </c>
      <c r="B1144" s="1" t="s">
        <v>25</v>
      </c>
      <c r="C1144" s="1">
        <v>51</v>
      </c>
      <c r="D1144" s="1">
        <v>219</v>
      </c>
      <c r="E1144" s="1" t="s">
        <v>28</v>
      </c>
      <c r="F1144" s="6" t="s">
        <v>29</v>
      </c>
    </row>
    <row r="1145" spans="1:6" x14ac:dyDescent="0.35">
      <c r="A1145" s="5" t="s">
        <v>10</v>
      </c>
      <c r="B1145" s="1" t="s">
        <v>25</v>
      </c>
      <c r="C1145" s="1">
        <v>52</v>
      </c>
      <c r="D1145" s="1">
        <v>541</v>
      </c>
      <c r="E1145" s="1" t="s">
        <v>28</v>
      </c>
      <c r="F1145" s="6" t="s">
        <v>29</v>
      </c>
    </row>
    <row r="1146" spans="1:6" x14ac:dyDescent="0.35">
      <c r="A1146" s="5" t="s">
        <v>22</v>
      </c>
      <c r="B1146" s="1" t="s">
        <v>45</v>
      </c>
      <c r="C1146" s="1">
        <v>1</v>
      </c>
      <c r="D1146" s="1">
        <v>46</v>
      </c>
      <c r="E1146" s="1" t="s">
        <v>28</v>
      </c>
      <c r="F1146" s="6" t="s">
        <v>29</v>
      </c>
    </row>
    <row r="1147" spans="1:6" x14ac:dyDescent="0.35">
      <c r="A1147" s="5" t="s">
        <v>22</v>
      </c>
      <c r="B1147" s="1" t="s">
        <v>45</v>
      </c>
      <c r="C1147" s="1">
        <v>2</v>
      </c>
      <c r="D1147" s="1">
        <v>72</v>
      </c>
      <c r="E1147" s="1" t="s">
        <v>28</v>
      </c>
      <c r="F1147" s="6" t="s">
        <v>29</v>
      </c>
    </row>
    <row r="1148" spans="1:6" x14ac:dyDescent="0.35">
      <c r="A1148" s="5" t="s">
        <v>22</v>
      </c>
      <c r="B1148" s="1" t="s">
        <v>45</v>
      </c>
      <c r="C1148" s="1">
        <v>3</v>
      </c>
      <c r="D1148" s="1">
        <v>57</v>
      </c>
      <c r="E1148" s="1" t="s">
        <v>28</v>
      </c>
      <c r="F1148" s="6" t="s">
        <v>29</v>
      </c>
    </row>
    <row r="1149" spans="1:6" x14ac:dyDescent="0.35">
      <c r="A1149" s="5" t="s">
        <v>22</v>
      </c>
      <c r="B1149" s="1" t="s">
        <v>45</v>
      </c>
      <c r="C1149" s="1">
        <v>4</v>
      </c>
      <c r="D1149" s="1">
        <v>45</v>
      </c>
      <c r="E1149" s="1" t="s">
        <v>28</v>
      </c>
      <c r="F1149" s="6" t="s">
        <v>29</v>
      </c>
    </row>
    <row r="1150" spans="1:6" x14ac:dyDescent="0.35">
      <c r="A1150" s="5" t="s">
        <v>22</v>
      </c>
      <c r="B1150" s="1" t="s">
        <v>45</v>
      </c>
      <c r="C1150" s="1">
        <v>5</v>
      </c>
      <c r="D1150" s="1">
        <v>32</v>
      </c>
      <c r="E1150" s="1" t="s">
        <v>28</v>
      </c>
      <c r="F1150" s="6" t="s">
        <v>29</v>
      </c>
    </row>
    <row r="1151" spans="1:6" x14ac:dyDescent="0.35">
      <c r="A1151" s="5" t="s">
        <v>22</v>
      </c>
      <c r="B1151" s="1" t="s">
        <v>45</v>
      </c>
      <c r="C1151" s="1">
        <v>6</v>
      </c>
      <c r="D1151" s="1">
        <v>59</v>
      </c>
      <c r="E1151" s="1" t="s">
        <v>28</v>
      </c>
      <c r="F1151" s="6" t="s">
        <v>29</v>
      </c>
    </row>
    <row r="1152" spans="1:6" x14ac:dyDescent="0.35">
      <c r="A1152" s="5" t="s">
        <v>22</v>
      </c>
      <c r="B1152" s="1" t="s">
        <v>45</v>
      </c>
      <c r="C1152" s="1">
        <v>7</v>
      </c>
      <c r="D1152" s="1">
        <v>62</v>
      </c>
      <c r="E1152" s="1" t="s">
        <v>28</v>
      </c>
      <c r="F1152" s="6" t="s">
        <v>29</v>
      </c>
    </row>
    <row r="1153" spans="1:6" x14ac:dyDescent="0.35">
      <c r="A1153" s="5" t="s">
        <v>22</v>
      </c>
      <c r="B1153" s="1" t="s">
        <v>45</v>
      </c>
      <c r="C1153" s="1">
        <v>8</v>
      </c>
      <c r="D1153" s="1">
        <v>46</v>
      </c>
      <c r="E1153" s="1" t="s">
        <v>28</v>
      </c>
      <c r="F1153" s="6" t="s">
        <v>29</v>
      </c>
    </row>
    <row r="1154" spans="1:6" x14ac:dyDescent="0.35">
      <c r="A1154" s="5" t="s">
        <v>22</v>
      </c>
      <c r="B1154" s="1" t="s">
        <v>45</v>
      </c>
      <c r="C1154" s="1">
        <v>9</v>
      </c>
      <c r="D1154" s="1">
        <v>26</v>
      </c>
      <c r="E1154" s="1" t="s">
        <v>28</v>
      </c>
      <c r="F1154" s="6" t="s">
        <v>29</v>
      </c>
    </row>
    <row r="1155" spans="1:6" x14ac:dyDescent="0.35">
      <c r="A1155" s="5" t="s">
        <v>22</v>
      </c>
      <c r="B1155" s="1" t="s">
        <v>45</v>
      </c>
      <c r="C1155" s="1">
        <v>10</v>
      </c>
      <c r="D1155" s="1">
        <v>49</v>
      </c>
      <c r="E1155" s="1" t="s">
        <v>28</v>
      </c>
      <c r="F1155" s="6" t="s">
        <v>29</v>
      </c>
    </row>
    <row r="1156" spans="1:6" x14ac:dyDescent="0.35">
      <c r="A1156" s="5" t="s">
        <v>22</v>
      </c>
      <c r="B1156" s="1" t="s">
        <v>45</v>
      </c>
      <c r="C1156" s="1">
        <v>11</v>
      </c>
      <c r="D1156" s="1">
        <v>104</v>
      </c>
      <c r="E1156" s="1" t="s">
        <v>28</v>
      </c>
      <c r="F1156" s="6" t="s">
        <v>29</v>
      </c>
    </row>
    <row r="1157" spans="1:6" x14ac:dyDescent="0.35">
      <c r="A1157" s="5" t="s">
        <v>22</v>
      </c>
      <c r="B1157" s="1" t="s">
        <v>45</v>
      </c>
      <c r="C1157" s="1">
        <v>12</v>
      </c>
      <c r="D1157" s="1">
        <v>20</v>
      </c>
      <c r="E1157" s="1" t="s">
        <v>28</v>
      </c>
      <c r="F1157" s="6" t="s">
        <v>29</v>
      </c>
    </row>
    <row r="1158" spans="1:6" x14ac:dyDescent="0.35">
      <c r="A1158" s="5" t="s">
        <v>22</v>
      </c>
      <c r="B1158" s="1" t="s">
        <v>45</v>
      </c>
      <c r="C1158" s="1">
        <v>13</v>
      </c>
      <c r="D1158" s="1">
        <v>79</v>
      </c>
      <c r="E1158" s="1" t="s">
        <v>28</v>
      </c>
      <c r="F1158" s="6" t="s">
        <v>29</v>
      </c>
    </row>
    <row r="1159" spans="1:6" x14ac:dyDescent="0.35">
      <c r="A1159" s="5" t="s">
        <v>22</v>
      </c>
      <c r="B1159" s="1" t="s">
        <v>45</v>
      </c>
      <c r="C1159" s="1">
        <v>14</v>
      </c>
      <c r="D1159" s="1">
        <v>118</v>
      </c>
      <c r="E1159" s="1" t="s">
        <v>28</v>
      </c>
      <c r="F1159" s="6" t="s">
        <v>29</v>
      </c>
    </row>
    <row r="1160" spans="1:6" x14ac:dyDescent="0.35">
      <c r="A1160" s="5" t="s">
        <v>22</v>
      </c>
      <c r="B1160" s="1" t="s">
        <v>45</v>
      </c>
      <c r="C1160" s="1">
        <v>15</v>
      </c>
      <c r="D1160" s="1">
        <v>39</v>
      </c>
      <c r="E1160" s="1" t="s">
        <v>28</v>
      </c>
      <c r="F1160" s="6" t="s">
        <v>29</v>
      </c>
    </row>
    <row r="1161" spans="1:6" x14ac:dyDescent="0.35">
      <c r="A1161" s="5" t="s">
        <v>22</v>
      </c>
      <c r="B1161" s="1" t="s">
        <v>45</v>
      </c>
      <c r="C1161" s="1">
        <v>16</v>
      </c>
      <c r="D1161" s="1">
        <v>44</v>
      </c>
      <c r="E1161" s="1" t="s">
        <v>28</v>
      </c>
      <c r="F1161" s="6" t="s">
        <v>29</v>
      </c>
    </row>
    <row r="1162" spans="1:6" x14ac:dyDescent="0.35">
      <c r="A1162" s="5" t="s">
        <v>22</v>
      </c>
      <c r="B1162" s="1" t="s">
        <v>45</v>
      </c>
      <c r="C1162" s="1">
        <v>17</v>
      </c>
      <c r="D1162" s="1">
        <v>76</v>
      </c>
      <c r="E1162" s="1" t="s">
        <v>28</v>
      </c>
      <c r="F1162" s="6" t="s">
        <v>29</v>
      </c>
    </row>
    <row r="1163" spans="1:6" x14ac:dyDescent="0.35">
      <c r="A1163" s="5" t="s">
        <v>22</v>
      </c>
      <c r="B1163" s="1" t="s">
        <v>45</v>
      </c>
      <c r="C1163" s="1">
        <v>18</v>
      </c>
      <c r="D1163" s="1">
        <v>78</v>
      </c>
      <c r="E1163" s="1" t="s">
        <v>28</v>
      </c>
      <c r="F1163" s="6" t="s">
        <v>29</v>
      </c>
    </row>
    <row r="1164" spans="1:6" x14ac:dyDescent="0.35">
      <c r="A1164" s="5" t="s">
        <v>22</v>
      </c>
      <c r="B1164" s="1" t="s">
        <v>45</v>
      </c>
      <c r="C1164" s="1">
        <v>19</v>
      </c>
      <c r="D1164" s="1">
        <v>59</v>
      </c>
      <c r="E1164" s="1" t="s">
        <v>28</v>
      </c>
      <c r="F1164" s="6" t="s">
        <v>29</v>
      </c>
    </row>
    <row r="1165" spans="1:6" x14ac:dyDescent="0.35">
      <c r="A1165" s="5" t="s">
        <v>22</v>
      </c>
      <c r="B1165" s="1" t="s">
        <v>45</v>
      </c>
      <c r="C1165" s="1">
        <v>20</v>
      </c>
      <c r="D1165" s="1">
        <v>39</v>
      </c>
      <c r="E1165" s="1" t="s">
        <v>28</v>
      </c>
      <c r="F1165" s="6" t="s">
        <v>29</v>
      </c>
    </row>
    <row r="1166" spans="1:6" x14ac:dyDescent="0.35">
      <c r="A1166" s="5" t="s">
        <v>22</v>
      </c>
      <c r="B1166" s="1" t="s">
        <v>45</v>
      </c>
      <c r="C1166" s="1">
        <v>21</v>
      </c>
      <c r="D1166" s="1">
        <v>21</v>
      </c>
      <c r="E1166" s="1" t="s">
        <v>28</v>
      </c>
      <c r="F1166" s="6" t="s">
        <v>29</v>
      </c>
    </row>
    <row r="1167" spans="1:6" x14ac:dyDescent="0.35">
      <c r="A1167" s="5" t="s">
        <v>22</v>
      </c>
      <c r="B1167" s="1" t="s">
        <v>45</v>
      </c>
      <c r="C1167" s="1">
        <v>22</v>
      </c>
      <c r="D1167" s="1">
        <v>51</v>
      </c>
      <c r="E1167" s="1" t="s">
        <v>28</v>
      </c>
      <c r="F1167" s="6" t="s">
        <v>29</v>
      </c>
    </row>
    <row r="1168" spans="1:6" x14ac:dyDescent="0.35">
      <c r="A1168" s="5" t="s">
        <v>22</v>
      </c>
      <c r="B1168" s="1" t="s">
        <v>45</v>
      </c>
      <c r="C1168" s="1">
        <v>23</v>
      </c>
      <c r="D1168" s="1">
        <v>64</v>
      </c>
      <c r="E1168" s="1" t="s">
        <v>28</v>
      </c>
      <c r="F1168" s="6" t="s">
        <v>29</v>
      </c>
    </row>
    <row r="1169" spans="1:6" x14ac:dyDescent="0.35">
      <c r="A1169" s="5" t="s">
        <v>22</v>
      </c>
      <c r="B1169" s="1" t="s">
        <v>45</v>
      </c>
      <c r="C1169" s="1">
        <v>24</v>
      </c>
      <c r="D1169" s="1">
        <v>74</v>
      </c>
      <c r="E1169" s="1" t="s">
        <v>28</v>
      </c>
      <c r="F1169" s="6" t="s">
        <v>29</v>
      </c>
    </row>
    <row r="1170" spans="1:6" x14ac:dyDescent="0.35">
      <c r="A1170" s="5" t="s">
        <v>22</v>
      </c>
      <c r="B1170" s="1" t="s">
        <v>45</v>
      </c>
      <c r="C1170" s="1">
        <v>25</v>
      </c>
      <c r="D1170" s="1">
        <v>85</v>
      </c>
      <c r="E1170" s="1" t="s">
        <v>28</v>
      </c>
      <c r="F1170" s="6" t="s">
        <v>29</v>
      </c>
    </row>
    <row r="1171" spans="1:6" x14ac:dyDescent="0.35">
      <c r="A1171" s="5" t="s">
        <v>22</v>
      </c>
      <c r="B1171" s="1" t="s">
        <v>45</v>
      </c>
      <c r="C1171" s="1">
        <v>26</v>
      </c>
      <c r="D1171" s="1">
        <v>99</v>
      </c>
      <c r="E1171" s="1" t="s">
        <v>28</v>
      </c>
      <c r="F1171" s="6" t="s">
        <v>29</v>
      </c>
    </row>
    <row r="1172" spans="1:6" x14ac:dyDescent="0.35">
      <c r="A1172" s="5" t="s">
        <v>22</v>
      </c>
      <c r="B1172" s="1" t="s">
        <v>45</v>
      </c>
      <c r="C1172" s="1">
        <v>27</v>
      </c>
      <c r="D1172" s="1">
        <v>87</v>
      </c>
      <c r="E1172" s="1" t="s">
        <v>28</v>
      </c>
      <c r="F1172" s="6" t="s">
        <v>29</v>
      </c>
    </row>
    <row r="1173" spans="1:6" x14ac:dyDescent="0.35">
      <c r="A1173" s="5" t="s">
        <v>22</v>
      </c>
      <c r="B1173" s="1" t="s">
        <v>45</v>
      </c>
      <c r="C1173" s="1">
        <v>28</v>
      </c>
      <c r="D1173" s="1">
        <v>154</v>
      </c>
      <c r="E1173" s="1" t="s">
        <v>28</v>
      </c>
      <c r="F1173" s="6" t="s">
        <v>29</v>
      </c>
    </row>
    <row r="1174" spans="1:6" x14ac:dyDescent="0.35">
      <c r="A1174" s="5" t="s">
        <v>22</v>
      </c>
      <c r="B1174" s="1" t="s">
        <v>45</v>
      </c>
      <c r="C1174" s="1">
        <v>29</v>
      </c>
      <c r="D1174" s="1">
        <v>90</v>
      </c>
      <c r="E1174" s="1" t="s">
        <v>28</v>
      </c>
      <c r="F1174" s="6" t="s">
        <v>29</v>
      </c>
    </row>
    <row r="1175" spans="1:6" x14ac:dyDescent="0.35">
      <c r="A1175" s="5" t="s">
        <v>22</v>
      </c>
      <c r="B1175" s="1" t="s">
        <v>45</v>
      </c>
      <c r="C1175" s="1">
        <v>30</v>
      </c>
      <c r="D1175" s="1">
        <v>45</v>
      </c>
      <c r="E1175" s="1" t="s">
        <v>28</v>
      </c>
      <c r="F1175" s="6" t="s">
        <v>29</v>
      </c>
    </row>
    <row r="1176" spans="1:6" x14ac:dyDescent="0.35">
      <c r="A1176" s="5" t="s">
        <v>22</v>
      </c>
      <c r="B1176" s="1" t="s">
        <v>45</v>
      </c>
      <c r="C1176" s="1">
        <v>31</v>
      </c>
      <c r="D1176" s="1">
        <v>85</v>
      </c>
      <c r="E1176" s="1" t="s">
        <v>28</v>
      </c>
      <c r="F1176" s="6" t="s">
        <v>29</v>
      </c>
    </row>
    <row r="1177" spans="1:6" x14ac:dyDescent="0.35">
      <c r="A1177" s="5" t="s">
        <v>22</v>
      </c>
      <c r="B1177" s="1" t="s">
        <v>45</v>
      </c>
      <c r="C1177" s="1">
        <v>32</v>
      </c>
      <c r="D1177" s="1">
        <v>87</v>
      </c>
      <c r="E1177" s="1" t="s">
        <v>28</v>
      </c>
      <c r="F1177" s="6" t="s">
        <v>29</v>
      </c>
    </row>
    <row r="1178" spans="1:6" x14ac:dyDescent="0.35">
      <c r="A1178" s="5" t="s">
        <v>22</v>
      </c>
      <c r="B1178" s="1" t="s">
        <v>45</v>
      </c>
      <c r="C1178" s="1">
        <v>33</v>
      </c>
      <c r="D1178" s="1">
        <v>67</v>
      </c>
      <c r="E1178" s="1" t="s">
        <v>28</v>
      </c>
      <c r="F1178" s="6" t="s">
        <v>29</v>
      </c>
    </row>
    <row r="1179" spans="1:6" x14ac:dyDescent="0.35">
      <c r="A1179" s="5" t="s">
        <v>22</v>
      </c>
      <c r="B1179" s="1" t="s">
        <v>45</v>
      </c>
      <c r="C1179" s="1">
        <v>34</v>
      </c>
      <c r="D1179" s="1">
        <v>93</v>
      </c>
      <c r="E1179" s="1" t="s">
        <v>28</v>
      </c>
      <c r="F1179" s="6" t="s">
        <v>29</v>
      </c>
    </row>
    <row r="1180" spans="1:6" x14ac:dyDescent="0.35">
      <c r="A1180" s="5" t="s">
        <v>22</v>
      </c>
      <c r="B1180" s="1" t="s">
        <v>45</v>
      </c>
      <c r="C1180" s="1">
        <v>35</v>
      </c>
      <c r="D1180" s="1">
        <v>58</v>
      </c>
      <c r="E1180" s="1" t="s">
        <v>28</v>
      </c>
      <c r="F1180" s="6" t="s">
        <v>29</v>
      </c>
    </row>
    <row r="1181" spans="1:6" x14ac:dyDescent="0.35">
      <c r="A1181" s="5" t="s">
        <v>22</v>
      </c>
      <c r="B1181" s="1" t="s">
        <v>45</v>
      </c>
      <c r="C1181" s="1">
        <v>36</v>
      </c>
      <c r="D1181" s="1">
        <v>121</v>
      </c>
      <c r="E1181" s="1" t="s">
        <v>28</v>
      </c>
      <c r="F1181" s="6" t="s">
        <v>29</v>
      </c>
    </row>
    <row r="1182" spans="1:6" x14ac:dyDescent="0.35">
      <c r="A1182" s="5" t="s">
        <v>22</v>
      </c>
      <c r="B1182" s="1" t="s">
        <v>45</v>
      </c>
      <c r="C1182" s="1">
        <v>37</v>
      </c>
      <c r="D1182" s="1">
        <v>25</v>
      </c>
      <c r="E1182" s="1" t="s">
        <v>28</v>
      </c>
      <c r="F1182" s="6" t="s">
        <v>29</v>
      </c>
    </row>
    <row r="1183" spans="1:6" x14ac:dyDescent="0.35">
      <c r="A1183" s="5" t="s">
        <v>22</v>
      </c>
      <c r="B1183" s="1" t="s">
        <v>45</v>
      </c>
      <c r="C1183" s="1">
        <v>38</v>
      </c>
      <c r="D1183" s="1">
        <v>49</v>
      </c>
      <c r="E1183" s="1" t="s">
        <v>28</v>
      </c>
      <c r="F1183" s="6" t="s">
        <v>29</v>
      </c>
    </row>
    <row r="1184" spans="1:6" x14ac:dyDescent="0.35">
      <c r="A1184" s="5" t="s">
        <v>22</v>
      </c>
      <c r="B1184" s="1" t="s">
        <v>45</v>
      </c>
      <c r="C1184" s="1">
        <v>39</v>
      </c>
      <c r="D1184" s="1">
        <v>94</v>
      </c>
      <c r="E1184" s="1" t="s">
        <v>28</v>
      </c>
      <c r="F1184" s="6" t="s">
        <v>29</v>
      </c>
    </row>
    <row r="1185" spans="1:6" x14ac:dyDescent="0.35">
      <c r="A1185" s="5" t="s">
        <v>22</v>
      </c>
      <c r="B1185" s="1" t="s">
        <v>45</v>
      </c>
      <c r="C1185" s="1">
        <v>40</v>
      </c>
      <c r="D1185" s="1">
        <v>113</v>
      </c>
      <c r="E1185" s="1" t="s">
        <v>28</v>
      </c>
      <c r="F1185" s="6" t="s">
        <v>29</v>
      </c>
    </row>
    <row r="1186" spans="1:6" x14ac:dyDescent="0.35">
      <c r="A1186" s="5" t="s">
        <v>22</v>
      </c>
      <c r="B1186" s="1" t="s">
        <v>45</v>
      </c>
      <c r="C1186" s="1">
        <v>41</v>
      </c>
      <c r="D1186" s="1">
        <v>170</v>
      </c>
      <c r="E1186" s="1" t="s">
        <v>28</v>
      </c>
      <c r="F1186" s="6" t="s">
        <v>29</v>
      </c>
    </row>
    <row r="1187" spans="1:6" x14ac:dyDescent="0.35">
      <c r="A1187" s="5" t="s">
        <v>22</v>
      </c>
      <c r="B1187" s="1" t="s">
        <v>45</v>
      </c>
      <c r="C1187" s="1">
        <v>42</v>
      </c>
      <c r="D1187" s="1">
        <v>146</v>
      </c>
      <c r="E1187" s="1" t="s">
        <v>28</v>
      </c>
      <c r="F1187" s="6" t="s">
        <v>29</v>
      </c>
    </row>
    <row r="1188" spans="1:6" x14ac:dyDescent="0.35">
      <c r="A1188" s="5" t="s">
        <v>22</v>
      </c>
      <c r="B1188" s="1" t="s">
        <v>45</v>
      </c>
      <c r="C1188" s="1">
        <v>43</v>
      </c>
      <c r="D1188" s="1">
        <v>81</v>
      </c>
      <c r="E1188" s="1" t="s">
        <v>28</v>
      </c>
      <c r="F1188" s="6" t="s">
        <v>29</v>
      </c>
    </row>
    <row r="1189" spans="1:6" x14ac:dyDescent="0.35">
      <c r="A1189" s="5" t="s">
        <v>22</v>
      </c>
      <c r="B1189" s="1" t="s">
        <v>45</v>
      </c>
      <c r="C1189" s="1">
        <v>44</v>
      </c>
      <c r="D1189" s="1">
        <v>73</v>
      </c>
      <c r="E1189" s="1" t="s">
        <v>28</v>
      </c>
      <c r="F1189" s="6" t="s">
        <v>29</v>
      </c>
    </row>
    <row r="1190" spans="1:6" x14ac:dyDescent="0.35">
      <c r="A1190" s="5" t="s">
        <v>22</v>
      </c>
      <c r="B1190" s="1" t="s">
        <v>45</v>
      </c>
      <c r="C1190" s="1">
        <v>45</v>
      </c>
      <c r="D1190" s="1">
        <v>114</v>
      </c>
      <c r="E1190" s="1" t="s">
        <v>28</v>
      </c>
      <c r="F1190" s="6" t="s">
        <v>29</v>
      </c>
    </row>
    <row r="1191" spans="1:6" x14ac:dyDescent="0.35">
      <c r="A1191" s="5" t="s">
        <v>22</v>
      </c>
      <c r="B1191" s="1" t="s">
        <v>45</v>
      </c>
      <c r="C1191" s="1">
        <v>46</v>
      </c>
      <c r="D1191" s="1">
        <v>38</v>
      </c>
      <c r="E1191" s="1" t="s">
        <v>28</v>
      </c>
      <c r="F1191" s="6" t="s">
        <v>29</v>
      </c>
    </row>
    <row r="1192" spans="1:6" x14ac:dyDescent="0.35">
      <c r="A1192" s="5" t="s">
        <v>22</v>
      </c>
      <c r="B1192" s="1" t="s">
        <v>45</v>
      </c>
      <c r="C1192" s="1">
        <v>47</v>
      </c>
      <c r="D1192" s="1">
        <v>50</v>
      </c>
      <c r="E1192" s="1" t="s">
        <v>28</v>
      </c>
      <c r="F1192" s="6" t="s">
        <v>29</v>
      </c>
    </row>
    <row r="1193" spans="1:6" x14ac:dyDescent="0.35">
      <c r="A1193" s="5" t="s">
        <v>22</v>
      </c>
      <c r="B1193" s="1" t="s">
        <v>45</v>
      </c>
      <c r="C1193" s="1">
        <v>48</v>
      </c>
      <c r="D1193" s="1">
        <v>46</v>
      </c>
      <c r="E1193" s="1" t="s">
        <v>28</v>
      </c>
      <c r="F1193" s="6" t="s">
        <v>29</v>
      </c>
    </row>
    <row r="1194" spans="1:6" x14ac:dyDescent="0.35">
      <c r="A1194" s="5" t="s">
        <v>22</v>
      </c>
      <c r="B1194" s="1" t="s">
        <v>45</v>
      </c>
      <c r="C1194" s="1">
        <v>49</v>
      </c>
      <c r="D1194" s="1">
        <v>52</v>
      </c>
      <c r="E1194" s="1" t="s">
        <v>28</v>
      </c>
      <c r="F1194" s="6" t="s">
        <v>29</v>
      </c>
    </row>
    <row r="1195" spans="1:6" x14ac:dyDescent="0.35">
      <c r="A1195" s="5" t="s">
        <v>22</v>
      </c>
      <c r="B1195" s="1" t="s">
        <v>45</v>
      </c>
      <c r="C1195" s="1">
        <v>50</v>
      </c>
      <c r="D1195" s="1">
        <v>129</v>
      </c>
      <c r="E1195" s="1" t="s">
        <v>28</v>
      </c>
      <c r="F1195" s="6" t="s">
        <v>29</v>
      </c>
    </row>
    <row r="1196" spans="1:6" x14ac:dyDescent="0.35">
      <c r="A1196" s="5" t="s">
        <v>22</v>
      </c>
      <c r="B1196" s="1" t="s">
        <v>45</v>
      </c>
      <c r="C1196" s="1">
        <v>51</v>
      </c>
      <c r="D1196" s="1">
        <v>196</v>
      </c>
      <c r="E1196" s="1" t="s">
        <v>28</v>
      </c>
      <c r="F1196" s="6" t="s">
        <v>29</v>
      </c>
    </row>
    <row r="1197" spans="1:6" x14ac:dyDescent="0.35">
      <c r="A1197" s="5" t="s">
        <v>22</v>
      </c>
      <c r="B1197" s="1" t="s">
        <v>45</v>
      </c>
      <c r="C1197" s="1">
        <v>52</v>
      </c>
      <c r="D1197" s="1">
        <v>96</v>
      </c>
      <c r="E1197" s="1" t="s">
        <v>28</v>
      </c>
      <c r="F1197" s="6" t="s">
        <v>29</v>
      </c>
    </row>
    <row r="1198" spans="1:6" x14ac:dyDescent="0.35">
      <c r="A1198" s="5" t="s">
        <v>16</v>
      </c>
      <c r="B1198" s="1" t="s">
        <v>43</v>
      </c>
      <c r="C1198" s="1">
        <v>1</v>
      </c>
      <c r="D1198" s="1">
        <v>36</v>
      </c>
      <c r="E1198" s="1" t="s">
        <v>28</v>
      </c>
      <c r="F1198" s="6" t="s">
        <v>29</v>
      </c>
    </row>
    <row r="1199" spans="1:6" x14ac:dyDescent="0.35">
      <c r="A1199" s="5" t="s">
        <v>16</v>
      </c>
      <c r="B1199" s="1" t="s">
        <v>43</v>
      </c>
      <c r="C1199" s="1">
        <v>2</v>
      </c>
      <c r="D1199" s="1">
        <v>20</v>
      </c>
      <c r="E1199" s="1" t="s">
        <v>28</v>
      </c>
      <c r="F1199" s="6" t="s">
        <v>29</v>
      </c>
    </row>
    <row r="1200" spans="1:6" x14ac:dyDescent="0.35">
      <c r="A1200" s="5" t="s">
        <v>16</v>
      </c>
      <c r="B1200" s="1" t="s">
        <v>43</v>
      </c>
      <c r="C1200" s="1">
        <v>3</v>
      </c>
      <c r="D1200" s="1">
        <v>30</v>
      </c>
      <c r="E1200" s="1" t="s">
        <v>28</v>
      </c>
      <c r="F1200" s="6" t="s">
        <v>29</v>
      </c>
    </row>
    <row r="1201" spans="1:6" x14ac:dyDescent="0.35">
      <c r="A1201" s="5" t="s">
        <v>16</v>
      </c>
      <c r="B1201" s="1" t="s">
        <v>43</v>
      </c>
      <c r="C1201" s="1">
        <v>4</v>
      </c>
      <c r="D1201" s="1">
        <v>25</v>
      </c>
      <c r="E1201" s="1" t="s">
        <v>28</v>
      </c>
      <c r="F1201" s="6" t="s">
        <v>29</v>
      </c>
    </row>
    <row r="1202" spans="1:6" x14ac:dyDescent="0.35">
      <c r="A1202" s="5" t="s">
        <v>16</v>
      </c>
      <c r="B1202" s="1" t="s">
        <v>43</v>
      </c>
      <c r="C1202" s="1">
        <v>5</v>
      </c>
      <c r="D1202" s="1">
        <v>15</v>
      </c>
      <c r="E1202" s="1" t="s">
        <v>28</v>
      </c>
      <c r="F1202" s="6" t="s">
        <v>29</v>
      </c>
    </row>
    <row r="1203" spans="1:6" x14ac:dyDescent="0.35">
      <c r="A1203" s="5" t="s">
        <v>16</v>
      </c>
      <c r="B1203" s="1" t="s">
        <v>43</v>
      </c>
      <c r="C1203" s="1">
        <v>6</v>
      </c>
      <c r="D1203" s="1">
        <v>15</v>
      </c>
      <c r="E1203" s="1" t="s">
        <v>28</v>
      </c>
      <c r="F1203" s="6" t="s">
        <v>29</v>
      </c>
    </row>
    <row r="1204" spans="1:6" x14ac:dyDescent="0.35">
      <c r="A1204" s="5" t="s">
        <v>16</v>
      </c>
      <c r="B1204" s="1" t="s">
        <v>43</v>
      </c>
      <c r="C1204" s="1">
        <v>7</v>
      </c>
      <c r="D1204" s="1">
        <v>34</v>
      </c>
      <c r="E1204" s="1" t="s">
        <v>28</v>
      </c>
      <c r="F1204" s="6" t="s">
        <v>29</v>
      </c>
    </row>
    <row r="1205" spans="1:6" x14ac:dyDescent="0.35">
      <c r="A1205" s="5" t="s">
        <v>16</v>
      </c>
      <c r="B1205" s="1" t="s">
        <v>43</v>
      </c>
      <c r="C1205" s="1">
        <v>8</v>
      </c>
      <c r="D1205" s="1">
        <v>30</v>
      </c>
      <c r="E1205" s="1" t="s">
        <v>28</v>
      </c>
      <c r="F1205" s="6" t="s">
        <v>29</v>
      </c>
    </row>
    <row r="1206" spans="1:6" x14ac:dyDescent="0.35">
      <c r="A1206" s="5" t="s">
        <v>16</v>
      </c>
      <c r="B1206" s="1" t="s">
        <v>43</v>
      </c>
      <c r="C1206" s="1">
        <v>9</v>
      </c>
      <c r="D1206" s="1">
        <v>29</v>
      </c>
      <c r="E1206" s="1" t="s">
        <v>28</v>
      </c>
      <c r="F1206" s="6" t="s">
        <v>29</v>
      </c>
    </row>
    <row r="1207" spans="1:6" x14ac:dyDescent="0.35">
      <c r="A1207" s="5" t="s">
        <v>16</v>
      </c>
      <c r="B1207" s="1" t="s">
        <v>43</v>
      </c>
      <c r="C1207" s="1">
        <v>10</v>
      </c>
      <c r="D1207" s="1">
        <v>11</v>
      </c>
      <c r="E1207" s="1" t="s">
        <v>28</v>
      </c>
      <c r="F1207" s="6" t="s">
        <v>29</v>
      </c>
    </row>
    <row r="1208" spans="1:6" x14ac:dyDescent="0.35">
      <c r="A1208" s="5" t="s">
        <v>16</v>
      </c>
      <c r="B1208" s="1" t="s">
        <v>43</v>
      </c>
      <c r="C1208" s="1">
        <v>11</v>
      </c>
      <c r="D1208" s="1">
        <v>49</v>
      </c>
      <c r="E1208" s="1" t="s">
        <v>28</v>
      </c>
      <c r="F1208" s="6" t="s">
        <v>29</v>
      </c>
    </row>
    <row r="1209" spans="1:6" x14ac:dyDescent="0.35">
      <c r="A1209" s="5" t="s">
        <v>16</v>
      </c>
      <c r="B1209" s="1" t="s">
        <v>43</v>
      </c>
      <c r="C1209" s="1">
        <v>12</v>
      </c>
      <c r="D1209" s="1">
        <v>11</v>
      </c>
      <c r="E1209" s="1" t="s">
        <v>28</v>
      </c>
      <c r="F1209" s="6" t="s">
        <v>29</v>
      </c>
    </row>
    <row r="1210" spans="1:6" x14ac:dyDescent="0.35">
      <c r="A1210" s="5" t="s">
        <v>16</v>
      </c>
      <c r="B1210" s="1" t="s">
        <v>43</v>
      </c>
      <c r="C1210" s="1">
        <v>13</v>
      </c>
      <c r="D1210" s="1">
        <v>14</v>
      </c>
      <c r="E1210" s="1" t="s">
        <v>28</v>
      </c>
      <c r="F1210" s="6" t="s">
        <v>29</v>
      </c>
    </row>
    <row r="1211" spans="1:6" x14ac:dyDescent="0.35">
      <c r="A1211" s="5" t="s">
        <v>16</v>
      </c>
      <c r="B1211" s="1" t="s">
        <v>43</v>
      </c>
      <c r="C1211" s="1">
        <v>14</v>
      </c>
      <c r="D1211" s="1">
        <v>34</v>
      </c>
      <c r="E1211" s="1" t="s">
        <v>28</v>
      </c>
      <c r="F1211" s="6" t="s">
        <v>29</v>
      </c>
    </row>
    <row r="1212" spans="1:6" x14ac:dyDescent="0.35">
      <c r="A1212" s="5" t="s">
        <v>16</v>
      </c>
      <c r="B1212" s="1" t="s">
        <v>43</v>
      </c>
      <c r="C1212" s="1">
        <v>15</v>
      </c>
      <c r="D1212" s="1">
        <v>49</v>
      </c>
      <c r="E1212" s="1" t="s">
        <v>28</v>
      </c>
      <c r="F1212" s="6" t="s">
        <v>29</v>
      </c>
    </row>
    <row r="1213" spans="1:6" x14ac:dyDescent="0.35">
      <c r="A1213" s="5" t="s">
        <v>16</v>
      </c>
      <c r="B1213" s="1" t="s">
        <v>43</v>
      </c>
      <c r="C1213" s="1">
        <v>16</v>
      </c>
      <c r="D1213" s="1">
        <v>41</v>
      </c>
      <c r="E1213" s="1" t="s">
        <v>28</v>
      </c>
      <c r="F1213" s="6" t="s">
        <v>29</v>
      </c>
    </row>
    <row r="1214" spans="1:6" x14ac:dyDescent="0.35">
      <c r="A1214" s="5" t="s">
        <v>16</v>
      </c>
      <c r="B1214" s="1" t="s">
        <v>43</v>
      </c>
      <c r="C1214" s="1">
        <v>17</v>
      </c>
      <c r="D1214" s="1">
        <v>25</v>
      </c>
      <c r="E1214" s="1" t="s">
        <v>28</v>
      </c>
      <c r="F1214" s="6" t="s">
        <v>29</v>
      </c>
    </row>
    <row r="1215" spans="1:6" x14ac:dyDescent="0.35">
      <c r="A1215" s="5" t="s">
        <v>16</v>
      </c>
      <c r="B1215" s="1" t="s">
        <v>43</v>
      </c>
      <c r="C1215" s="1">
        <v>18</v>
      </c>
      <c r="D1215" s="1">
        <v>15</v>
      </c>
      <c r="E1215" s="1" t="s">
        <v>28</v>
      </c>
      <c r="F1215" s="6" t="s">
        <v>29</v>
      </c>
    </row>
    <row r="1216" spans="1:6" x14ac:dyDescent="0.35">
      <c r="A1216" s="5" t="s">
        <v>16</v>
      </c>
      <c r="B1216" s="1" t="s">
        <v>43</v>
      </c>
      <c r="C1216" s="1">
        <v>19</v>
      </c>
      <c r="D1216" s="1">
        <v>55</v>
      </c>
      <c r="E1216" s="1" t="s">
        <v>28</v>
      </c>
      <c r="F1216" s="6" t="s">
        <v>29</v>
      </c>
    </row>
    <row r="1217" spans="1:6" x14ac:dyDescent="0.35">
      <c r="A1217" s="5" t="s">
        <v>16</v>
      </c>
      <c r="B1217" s="1" t="s">
        <v>43</v>
      </c>
      <c r="C1217" s="1">
        <v>20</v>
      </c>
      <c r="D1217" s="1">
        <v>25</v>
      </c>
      <c r="E1217" s="1" t="s">
        <v>28</v>
      </c>
      <c r="F1217" s="6" t="s">
        <v>29</v>
      </c>
    </row>
    <row r="1218" spans="1:6" x14ac:dyDescent="0.35">
      <c r="A1218" s="5" t="s">
        <v>16</v>
      </c>
      <c r="B1218" s="1" t="s">
        <v>43</v>
      </c>
      <c r="C1218" s="1">
        <v>21</v>
      </c>
      <c r="D1218" s="1">
        <v>53</v>
      </c>
      <c r="E1218" s="1" t="s">
        <v>28</v>
      </c>
      <c r="F1218" s="6" t="s">
        <v>29</v>
      </c>
    </row>
    <row r="1219" spans="1:6" x14ac:dyDescent="0.35">
      <c r="A1219" s="5" t="s">
        <v>16</v>
      </c>
      <c r="B1219" s="1" t="s">
        <v>43</v>
      </c>
      <c r="C1219" s="1">
        <v>22</v>
      </c>
      <c r="D1219" s="1">
        <v>13</v>
      </c>
      <c r="E1219" s="1" t="s">
        <v>28</v>
      </c>
      <c r="F1219" s="6" t="s">
        <v>29</v>
      </c>
    </row>
    <row r="1220" spans="1:6" x14ac:dyDescent="0.35">
      <c r="A1220" s="5" t="s">
        <v>16</v>
      </c>
      <c r="B1220" s="1" t="s">
        <v>43</v>
      </c>
      <c r="C1220" s="1">
        <v>23</v>
      </c>
      <c r="D1220" s="1">
        <v>17</v>
      </c>
      <c r="E1220" s="1" t="s">
        <v>28</v>
      </c>
      <c r="F1220" s="6" t="s">
        <v>29</v>
      </c>
    </row>
    <row r="1221" spans="1:6" x14ac:dyDescent="0.35">
      <c r="A1221" s="5" t="s">
        <v>16</v>
      </c>
      <c r="B1221" s="1" t="s">
        <v>43</v>
      </c>
      <c r="C1221" s="1">
        <v>24</v>
      </c>
      <c r="D1221" s="1">
        <v>23</v>
      </c>
      <c r="E1221" s="1" t="s">
        <v>28</v>
      </c>
      <c r="F1221" s="6" t="s">
        <v>29</v>
      </c>
    </row>
    <row r="1222" spans="1:6" x14ac:dyDescent="0.35">
      <c r="A1222" s="5" t="s">
        <v>16</v>
      </c>
      <c r="B1222" s="1" t="s">
        <v>43</v>
      </c>
      <c r="C1222" s="1">
        <v>25</v>
      </c>
      <c r="D1222" s="1">
        <v>43</v>
      </c>
      <c r="E1222" s="1" t="s">
        <v>28</v>
      </c>
      <c r="F1222" s="6" t="s">
        <v>29</v>
      </c>
    </row>
    <row r="1223" spans="1:6" x14ac:dyDescent="0.35">
      <c r="A1223" s="5" t="s">
        <v>16</v>
      </c>
      <c r="B1223" s="1" t="s">
        <v>43</v>
      </c>
      <c r="C1223" s="1">
        <v>26</v>
      </c>
      <c r="D1223" s="1">
        <v>39</v>
      </c>
      <c r="E1223" s="1" t="s">
        <v>28</v>
      </c>
      <c r="F1223" s="6" t="s">
        <v>29</v>
      </c>
    </row>
    <row r="1224" spans="1:6" x14ac:dyDescent="0.35">
      <c r="A1224" s="5" t="s">
        <v>16</v>
      </c>
      <c r="B1224" s="1" t="s">
        <v>43</v>
      </c>
      <c r="C1224" s="1">
        <v>27</v>
      </c>
      <c r="D1224" s="1">
        <v>14</v>
      </c>
      <c r="E1224" s="1" t="s">
        <v>28</v>
      </c>
      <c r="F1224" s="6" t="s">
        <v>29</v>
      </c>
    </row>
    <row r="1225" spans="1:6" x14ac:dyDescent="0.35">
      <c r="A1225" s="5" t="s">
        <v>16</v>
      </c>
      <c r="B1225" s="1" t="s">
        <v>43</v>
      </c>
      <c r="C1225" s="1">
        <v>28</v>
      </c>
      <c r="D1225" s="1">
        <v>33</v>
      </c>
      <c r="E1225" s="1" t="s">
        <v>28</v>
      </c>
      <c r="F1225" s="6" t="s">
        <v>29</v>
      </c>
    </row>
    <row r="1226" spans="1:6" x14ac:dyDescent="0.35">
      <c r="A1226" s="5" t="s">
        <v>16</v>
      </c>
      <c r="B1226" s="1" t="s">
        <v>43</v>
      </c>
      <c r="C1226" s="1">
        <v>29</v>
      </c>
      <c r="D1226" s="1">
        <v>30</v>
      </c>
      <c r="E1226" s="1" t="s">
        <v>28</v>
      </c>
      <c r="F1226" s="6" t="s">
        <v>29</v>
      </c>
    </row>
    <row r="1227" spans="1:6" x14ac:dyDescent="0.35">
      <c r="A1227" s="5" t="s">
        <v>16</v>
      </c>
      <c r="B1227" s="1" t="s">
        <v>43</v>
      </c>
      <c r="C1227" s="1">
        <v>30</v>
      </c>
      <c r="D1227" s="1">
        <v>51</v>
      </c>
      <c r="E1227" s="1" t="s">
        <v>28</v>
      </c>
      <c r="F1227" s="6" t="s">
        <v>29</v>
      </c>
    </row>
    <row r="1228" spans="1:6" x14ac:dyDescent="0.35">
      <c r="A1228" s="5" t="s">
        <v>16</v>
      </c>
      <c r="B1228" s="1" t="s">
        <v>43</v>
      </c>
      <c r="C1228" s="1">
        <v>31</v>
      </c>
      <c r="D1228" s="1">
        <v>18</v>
      </c>
      <c r="E1228" s="1" t="s">
        <v>28</v>
      </c>
      <c r="F1228" s="6" t="s">
        <v>29</v>
      </c>
    </row>
    <row r="1229" spans="1:6" x14ac:dyDescent="0.35">
      <c r="A1229" s="5" t="s">
        <v>16</v>
      </c>
      <c r="B1229" s="1" t="s">
        <v>43</v>
      </c>
      <c r="C1229" s="1">
        <v>32</v>
      </c>
      <c r="D1229" s="1">
        <v>17</v>
      </c>
      <c r="E1229" s="1" t="s">
        <v>28</v>
      </c>
      <c r="F1229" s="6" t="s">
        <v>29</v>
      </c>
    </row>
    <row r="1230" spans="1:6" x14ac:dyDescent="0.35">
      <c r="A1230" s="5" t="s">
        <v>16</v>
      </c>
      <c r="B1230" s="1" t="s">
        <v>43</v>
      </c>
      <c r="C1230" s="1">
        <v>33</v>
      </c>
      <c r="D1230" s="1">
        <v>15</v>
      </c>
      <c r="E1230" s="1" t="s">
        <v>28</v>
      </c>
      <c r="F1230" s="6" t="s">
        <v>29</v>
      </c>
    </row>
    <row r="1231" spans="1:6" x14ac:dyDescent="0.35">
      <c r="A1231" s="5" t="s">
        <v>16</v>
      </c>
      <c r="B1231" s="1" t="s">
        <v>43</v>
      </c>
      <c r="C1231" s="1">
        <v>34</v>
      </c>
      <c r="D1231" s="1">
        <v>49</v>
      </c>
      <c r="E1231" s="1" t="s">
        <v>28</v>
      </c>
      <c r="F1231" s="6" t="s">
        <v>29</v>
      </c>
    </row>
    <row r="1232" spans="1:6" x14ac:dyDescent="0.35">
      <c r="A1232" s="5" t="s">
        <v>16</v>
      </c>
      <c r="B1232" s="1" t="s">
        <v>43</v>
      </c>
      <c r="C1232" s="1">
        <v>35</v>
      </c>
      <c r="D1232" s="1">
        <v>75</v>
      </c>
      <c r="E1232" s="1" t="s">
        <v>28</v>
      </c>
      <c r="F1232" s="6" t="s">
        <v>29</v>
      </c>
    </row>
    <row r="1233" spans="1:6" x14ac:dyDescent="0.35">
      <c r="A1233" s="5" t="s">
        <v>16</v>
      </c>
      <c r="B1233" s="1" t="s">
        <v>43</v>
      </c>
      <c r="C1233" s="1">
        <v>36</v>
      </c>
      <c r="D1233" s="1">
        <v>40</v>
      </c>
      <c r="E1233" s="1" t="s">
        <v>28</v>
      </c>
      <c r="F1233" s="6" t="s">
        <v>29</v>
      </c>
    </row>
    <row r="1234" spans="1:6" x14ac:dyDescent="0.35">
      <c r="A1234" s="5" t="s">
        <v>16</v>
      </c>
      <c r="B1234" s="1" t="s">
        <v>43</v>
      </c>
      <c r="C1234" s="1">
        <v>37</v>
      </c>
      <c r="D1234" s="1">
        <v>31</v>
      </c>
      <c r="E1234" s="1" t="s">
        <v>28</v>
      </c>
      <c r="F1234" s="6" t="s">
        <v>29</v>
      </c>
    </row>
    <row r="1235" spans="1:6" x14ac:dyDescent="0.35">
      <c r="A1235" s="5" t="s">
        <v>16</v>
      </c>
      <c r="B1235" s="1" t="s">
        <v>43</v>
      </c>
      <c r="C1235" s="1">
        <v>38</v>
      </c>
      <c r="D1235" s="1">
        <v>15</v>
      </c>
      <c r="E1235" s="1" t="s">
        <v>28</v>
      </c>
      <c r="F1235" s="6" t="s">
        <v>29</v>
      </c>
    </row>
    <row r="1236" spans="1:6" x14ac:dyDescent="0.35">
      <c r="A1236" s="5" t="s">
        <v>16</v>
      </c>
      <c r="B1236" s="1" t="s">
        <v>43</v>
      </c>
      <c r="C1236" s="1">
        <v>39</v>
      </c>
      <c r="D1236" s="1">
        <v>16</v>
      </c>
      <c r="E1236" s="1" t="s">
        <v>28</v>
      </c>
      <c r="F1236" s="6" t="s">
        <v>29</v>
      </c>
    </row>
    <row r="1237" spans="1:6" x14ac:dyDescent="0.35">
      <c r="A1237" s="5" t="s">
        <v>16</v>
      </c>
      <c r="B1237" s="1" t="s">
        <v>43</v>
      </c>
      <c r="C1237" s="1">
        <v>40</v>
      </c>
      <c r="D1237" s="1">
        <v>44</v>
      </c>
      <c r="E1237" s="1" t="s">
        <v>28</v>
      </c>
      <c r="F1237" s="6" t="s">
        <v>29</v>
      </c>
    </row>
    <row r="1238" spans="1:6" x14ac:dyDescent="0.35">
      <c r="A1238" s="5" t="s">
        <v>16</v>
      </c>
      <c r="B1238" s="1" t="s">
        <v>43</v>
      </c>
      <c r="C1238" s="1">
        <v>41</v>
      </c>
      <c r="D1238" s="1">
        <v>51</v>
      </c>
      <c r="E1238" s="1" t="s">
        <v>28</v>
      </c>
      <c r="F1238" s="6" t="s">
        <v>29</v>
      </c>
    </row>
    <row r="1239" spans="1:6" x14ac:dyDescent="0.35">
      <c r="A1239" s="5" t="s">
        <v>16</v>
      </c>
      <c r="B1239" s="1" t="s">
        <v>43</v>
      </c>
      <c r="C1239" s="1">
        <v>42</v>
      </c>
      <c r="D1239" s="1">
        <v>27</v>
      </c>
      <c r="E1239" s="1" t="s">
        <v>28</v>
      </c>
      <c r="F1239" s="6" t="s">
        <v>29</v>
      </c>
    </row>
    <row r="1240" spans="1:6" x14ac:dyDescent="0.35">
      <c r="A1240" s="5" t="s">
        <v>16</v>
      </c>
      <c r="B1240" s="1" t="s">
        <v>43</v>
      </c>
      <c r="C1240" s="1">
        <v>43</v>
      </c>
      <c r="D1240" s="1">
        <v>40</v>
      </c>
      <c r="E1240" s="1" t="s">
        <v>28</v>
      </c>
      <c r="F1240" s="6" t="s">
        <v>29</v>
      </c>
    </row>
    <row r="1241" spans="1:6" x14ac:dyDescent="0.35">
      <c r="A1241" s="5" t="s">
        <v>16</v>
      </c>
      <c r="B1241" s="1" t="s">
        <v>43</v>
      </c>
      <c r="C1241" s="1">
        <v>44</v>
      </c>
      <c r="D1241" s="1">
        <v>85</v>
      </c>
      <c r="E1241" s="1" t="s">
        <v>28</v>
      </c>
      <c r="F1241" s="6" t="s">
        <v>29</v>
      </c>
    </row>
    <row r="1242" spans="1:6" x14ac:dyDescent="0.35">
      <c r="A1242" s="5" t="s">
        <v>16</v>
      </c>
      <c r="B1242" s="1" t="s">
        <v>43</v>
      </c>
      <c r="C1242" s="1">
        <v>45</v>
      </c>
      <c r="D1242" s="1">
        <v>48</v>
      </c>
      <c r="E1242" s="1" t="s">
        <v>28</v>
      </c>
      <c r="F1242" s="6" t="s">
        <v>29</v>
      </c>
    </row>
    <row r="1243" spans="1:6" x14ac:dyDescent="0.35">
      <c r="A1243" s="5" t="s">
        <v>16</v>
      </c>
      <c r="B1243" s="1" t="s">
        <v>43</v>
      </c>
      <c r="C1243" s="1">
        <v>46</v>
      </c>
      <c r="D1243" s="1">
        <v>77</v>
      </c>
      <c r="E1243" s="1" t="s">
        <v>28</v>
      </c>
      <c r="F1243" s="6" t="s">
        <v>29</v>
      </c>
    </row>
    <row r="1244" spans="1:6" x14ac:dyDescent="0.35">
      <c r="A1244" s="5" t="s">
        <v>16</v>
      </c>
      <c r="B1244" s="1" t="s">
        <v>43</v>
      </c>
      <c r="C1244" s="1">
        <v>47</v>
      </c>
      <c r="D1244" s="1">
        <v>60</v>
      </c>
      <c r="E1244" s="1" t="s">
        <v>28</v>
      </c>
      <c r="F1244" s="6" t="s">
        <v>29</v>
      </c>
    </row>
    <row r="1245" spans="1:6" x14ac:dyDescent="0.35">
      <c r="A1245" s="5" t="s">
        <v>16</v>
      </c>
      <c r="B1245" s="1" t="s">
        <v>43</v>
      </c>
      <c r="C1245" s="1">
        <v>48</v>
      </c>
      <c r="D1245" s="1">
        <v>39</v>
      </c>
      <c r="E1245" s="1" t="s">
        <v>28</v>
      </c>
      <c r="F1245" s="6" t="s">
        <v>29</v>
      </c>
    </row>
    <row r="1246" spans="1:6" x14ac:dyDescent="0.35">
      <c r="A1246" s="5" t="s">
        <v>16</v>
      </c>
      <c r="B1246" s="1" t="s">
        <v>43</v>
      </c>
      <c r="C1246" s="1">
        <v>49</v>
      </c>
      <c r="D1246" s="1">
        <v>31</v>
      </c>
      <c r="E1246" s="1" t="s">
        <v>28</v>
      </c>
      <c r="F1246" s="6" t="s">
        <v>29</v>
      </c>
    </row>
    <row r="1247" spans="1:6" x14ac:dyDescent="0.35">
      <c r="A1247" s="5" t="s">
        <v>16</v>
      </c>
      <c r="B1247" s="1" t="s">
        <v>43</v>
      </c>
      <c r="C1247" s="1">
        <v>50</v>
      </c>
      <c r="D1247" s="1">
        <v>14</v>
      </c>
      <c r="E1247" s="1" t="s">
        <v>28</v>
      </c>
      <c r="F1247" s="6" t="s">
        <v>29</v>
      </c>
    </row>
    <row r="1248" spans="1:6" x14ac:dyDescent="0.35">
      <c r="A1248" s="5" t="s">
        <v>16</v>
      </c>
      <c r="B1248" s="1" t="s">
        <v>43</v>
      </c>
      <c r="C1248" s="1">
        <v>51</v>
      </c>
      <c r="D1248" s="1">
        <v>28</v>
      </c>
      <c r="E1248" s="1" t="s">
        <v>28</v>
      </c>
      <c r="F1248" s="6" t="s">
        <v>29</v>
      </c>
    </row>
    <row r="1249" spans="1:6" x14ac:dyDescent="0.35">
      <c r="A1249" s="5" t="s">
        <v>16</v>
      </c>
      <c r="B1249" s="1" t="s">
        <v>43</v>
      </c>
      <c r="C1249" s="1">
        <v>52</v>
      </c>
      <c r="D1249" s="1">
        <v>33</v>
      </c>
      <c r="E1249" s="1" t="s">
        <v>28</v>
      </c>
      <c r="F1249" s="6" t="s">
        <v>29</v>
      </c>
    </row>
    <row r="1250" spans="1:6" x14ac:dyDescent="0.35">
      <c r="A1250" s="5" t="s">
        <v>19</v>
      </c>
      <c r="B1250" s="1" t="s">
        <v>43</v>
      </c>
      <c r="C1250" s="1">
        <v>1</v>
      </c>
      <c r="D1250" s="1">
        <v>238</v>
      </c>
      <c r="E1250" s="1" t="s">
        <v>30</v>
      </c>
      <c r="F1250" s="6" t="s">
        <v>31</v>
      </c>
    </row>
    <row r="1251" spans="1:6" x14ac:dyDescent="0.35">
      <c r="A1251" s="5" t="s">
        <v>19</v>
      </c>
      <c r="B1251" s="1" t="s">
        <v>43</v>
      </c>
      <c r="C1251" s="1">
        <v>2</v>
      </c>
      <c r="D1251" s="1">
        <v>268</v>
      </c>
      <c r="E1251" s="1" t="s">
        <v>30</v>
      </c>
      <c r="F1251" s="6" t="s">
        <v>31</v>
      </c>
    </row>
    <row r="1252" spans="1:6" x14ac:dyDescent="0.35">
      <c r="A1252" s="5" t="s">
        <v>19</v>
      </c>
      <c r="B1252" s="1" t="s">
        <v>43</v>
      </c>
      <c r="C1252" s="1">
        <v>3</v>
      </c>
      <c r="D1252" s="1">
        <v>169</v>
      </c>
      <c r="E1252" s="1" t="s">
        <v>30</v>
      </c>
      <c r="F1252" s="6" t="s">
        <v>31</v>
      </c>
    </row>
    <row r="1253" spans="1:6" x14ac:dyDescent="0.35">
      <c r="A1253" s="5" t="s">
        <v>19</v>
      </c>
      <c r="B1253" s="1" t="s">
        <v>43</v>
      </c>
      <c r="C1253" s="1">
        <v>4</v>
      </c>
      <c r="D1253" s="1">
        <v>319</v>
      </c>
      <c r="E1253" s="1" t="s">
        <v>30</v>
      </c>
      <c r="F1253" s="6" t="s">
        <v>31</v>
      </c>
    </row>
    <row r="1254" spans="1:6" x14ac:dyDescent="0.35">
      <c r="A1254" s="5" t="s">
        <v>19</v>
      </c>
      <c r="B1254" s="1" t="s">
        <v>43</v>
      </c>
      <c r="C1254" s="1">
        <v>5</v>
      </c>
      <c r="D1254" s="1">
        <v>209</v>
      </c>
      <c r="E1254" s="1" t="s">
        <v>30</v>
      </c>
      <c r="F1254" s="6" t="s">
        <v>31</v>
      </c>
    </row>
    <row r="1255" spans="1:6" x14ac:dyDescent="0.35">
      <c r="A1255" s="5" t="s">
        <v>19</v>
      </c>
      <c r="B1255" s="1" t="s">
        <v>43</v>
      </c>
      <c r="C1255" s="1">
        <v>6</v>
      </c>
      <c r="D1255" s="1">
        <v>433</v>
      </c>
      <c r="E1255" s="1" t="s">
        <v>30</v>
      </c>
      <c r="F1255" s="6" t="s">
        <v>31</v>
      </c>
    </row>
    <row r="1256" spans="1:6" x14ac:dyDescent="0.35">
      <c r="A1256" s="5" t="s">
        <v>19</v>
      </c>
      <c r="B1256" s="1" t="s">
        <v>43</v>
      </c>
      <c r="C1256" s="1">
        <v>7</v>
      </c>
      <c r="D1256" s="1">
        <v>76</v>
      </c>
      <c r="E1256" s="1" t="s">
        <v>30</v>
      </c>
      <c r="F1256" s="6" t="s">
        <v>31</v>
      </c>
    </row>
    <row r="1257" spans="1:6" x14ac:dyDescent="0.35">
      <c r="A1257" s="5" t="s">
        <v>19</v>
      </c>
      <c r="B1257" s="1" t="s">
        <v>43</v>
      </c>
      <c r="C1257" s="1">
        <v>8</v>
      </c>
      <c r="D1257" s="1">
        <v>163</v>
      </c>
      <c r="E1257" s="1" t="s">
        <v>30</v>
      </c>
      <c r="F1257" s="6" t="s">
        <v>31</v>
      </c>
    </row>
    <row r="1258" spans="1:6" x14ac:dyDescent="0.35">
      <c r="A1258" s="5" t="s">
        <v>19</v>
      </c>
      <c r="B1258" s="1" t="s">
        <v>43</v>
      </c>
      <c r="C1258" s="1">
        <v>9</v>
      </c>
      <c r="D1258" s="1">
        <v>302</v>
      </c>
      <c r="E1258" s="1" t="s">
        <v>30</v>
      </c>
      <c r="F1258" s="6" t="s">
        <v>31</v>
      </c>
    </row>
    <row r="1259" spans="1:6" x14ac:dyDescent="0.35">
      <c r="A1259" s="5" t="s">
        <v>19</v>
      </c>
      <c r="B1259" s="1" t="s">
        <v>43</v>
      </c>
      <c r="C1259" s="1">
        <v>10</v>
      </c>
      <c r="D1259" s="1">
        <v>369</v>
      </c>
      <c r="E1259" s="1" t="s">
        <v>30</v>
      </c>
      <c r="F1259" s="6" t="s">
        <v>31</v>
      </c>
    </row>
    <row r="1260" spans="1:6" x14ac:dyDescent="0.35">
      <c r="A1260" s="5" t="s">
        <v>19</v>
      </c>
      <c r="B1260" s="1" t="s">
        <v>43</v>
      </c>
      <c r="C1260" s="1">
        <v>11</v>
      </c>
      <c r="D1260" s="1">
        <v>112</v>
      </c>
      <c r="E1260" s="1" t="s">
        <v>30</v>
      </c>
      <c r="F1260" s="6" t="s">
        <v>31</v>
      </c>
    </row>
    <row r="1261" spans="1:6" x14ac:dyDescent="0.35">
      <c r="A1261" s="5" t="s">
        <v>19</v>
      </c>
      <c r="B1261" s="1" t="s">
        <v>43</v>
      </c>
      <c r="C1261" s="1">
        <v>12</v>
      </c>
      <c r="D1261" s="1">
        <v>299</v>
      </c>
      <c r="E1261" s="1" t="s">
        <v>30</v>
      </c>
      <c r="F1261" s="6" t="s">
        <v>31</v>
      </c>
    </row>
    <row r="1262" spans="1:6" x14ac:dyDescent="0.35">
      <c r="A1262" s="5" t="s">
        <v>19</v>
      </c>
      <c r="B1262" s="1" t="s">
        <v>43</v>
      </c>
      <c r="C1262" s="1">
        <v>13</v>
      </c>
      <c r="D1262" s="1">
        <v>103</v>
      </c>
      <c r="E1262" s="1" t="s">
        <v>30</v>
      </c>
      <c r="F1262" s="6" t="s">
        <v>31</v>
      </c>
    </row>
    <row r="1263" spans="1:6" x14ac:dyDescent="0.35">
      <c r="A1263" s="5" t="s">
        <v>19</v>
      </c>
      <c r="B1263" s="1" t="s">
        <v>43</v>
      </c>
      <c r="C1263" s="1">
        <v>14</v>
      </c>
      <c r="D1263" s="1">
        <v>166</v>
      </c>
      <c r="E1263" s="1" t="s">
        <v>30</v>
      </c>
      <c r="F1263" s="6" t="s">
        <v>31</v>
      </c>
    </row>
    <row r="1264" spans="1:6" x14ac:dyDescent="0.35">
      <c r="A1264" s="5" t="s">
        <v>19</v>
      </c>
      <c r="B1264" s="1" t="s">
        <v>43</v>
      </c>
      <c r="C1264" s="1">
        <v>15</v>
      </c>
      <c r="D1264" s="1">
        <v>462</v>
      </c>
      <c r="E1264" s="1" t="s">
        <v>30</v>
      </c>
      <c r="F1264" s="6" t="s">
        <v>31</v>
      </c>
    </row>
    <row r="1265" spans="1:6" x14ac:dyDescent="0.35">
      <c r="A1265" s="5" t="s">
        <v>19</v>
      </c>
      <c r="B1265" s="1" t="s">
        <v>43</v>
      </c>
      <c r="C1265" s="1">
        <v>16</v>
      </c>
      <c r="D1265" s="1">
        <v>267</v>
      </c>
      <c r="E1265" s="1" t="s">
        <v>30</v>
      </c>
      <c r="F1265" s="6" t="s">
        <v>31</v>
      </c>
    </row>
    <row r="1266" spans="1:6" x14ac:dyDescent="0.35">
      <c r="A1266" s="5" t="s">
        <v>19</v>
      </c>
      <c r="B1266" s="1" t="s">
        <v>43</v>
      </c>
      <c r="C1266" s="1">
        <v>17</v>
      </c>
      <c r="D1266" s="1">
        <v>537</v>
      </c>
      <c r="E1266" s="1" t="s">
        <v>30</v>
      </c>
      <c r="F1266" s="6" t="s">
        <v>31</v>
      </c>
    </row>
    <row r="1267" spans="1:6" x14ac:dyDescent="0.35">
      <c r="A1267" s="5" t="s">
        <v>19</v>
      </c>
      <c r="B1267" s="1" t="s">
        <v>43</v>
      </c>
      <c r="C1267" s="1">
        <v>18</v>
      </c>
      <c r="D1267" s="1">
        <v>160</v>
      </c>
      <c r="E1267" s="1" t="s">
        <v>30</v>
      </c>
      <c r="F1267" s="6" t="s">
        <v>31</v>
      </c>
    </row>
    <row r="1268" spans="1:6" x14ac:dyDescent="0.35">
      <c r="A1268" s="5" t="s">
        <v>19</v>
      </c>
      <c r="B1268" s="1" t="s">
        <v>43</v>
      </c>
      <c r="C1268" s="1">
        <v>19</v>
      </c>
      <c r="D1268" s="1">
        <v>462</v>
      </c>
      <c r="E1268" s="1" t="s">
        <v>30</v>
      </c>
      <c r="F1268" s="6" t="s">
        <v>31</v>
      </c>
    </row>
    <row r="1269" spans="1:6" x14ac:dyDescent="0.35">
      <c r="A1269" s="5" t="s">
        <v>19</v>
      </c>
      <c r="B1269" s="1" t="s">
        <v>43</v>
      </c>
      <c r="C1269" s="1">
        <v>20</v>
      </c>
      <c r="D1269" s="1">
        <v>594</v>
      </c>
      <c r="E1269" s="1" t="s">
        <v>30</v>
      </c>
      <c r="F1269" s="6" t="s">
        <v>31</v>
      </c>
    </row>
    <row r="1270" spans="1:6" x14ac:dyDescent="0.35">
      <c r="A1270" s="5" t="s">
        <v>19</v>
      </c>
      <c r="B1270" s="1" t="s">
        <v>43</v>
      </c>
      <c r="C1270" s="1">
        <v>21</v>
      </c>
      <c r="D1270" s="1">
        <v>262</v>
      </c>
      <c r="E1270" s="1" t="s">
        <v>30</v>
      </c>
      <c r="F1270" s="6" t="s">
        <v>31</v>
      </c>
    </row>
    <row r="1271" spans="1:6" x14ac:dyDescent="0.35">
      <c r="A1271" s="5" t="s">
        <v>19</v>
      </c>
      <c r="B1271" s="1" t="s">
        <v>43</v>
      </c>
      <c r="C1271" s="1">
        <v>22</v>
      </c>
      <c r="D1271" s="1">
        <v>500</v>
      </c>
      <c r="E1271" s="1" t="s">
        <v>30</v>
      </c>
      <c r="F1271" s="6" t="s">
        <v>31</v>
      </c>
    </row>
    <row r="1272" spans="1:6" x14ac:dyDescent="0.35">
      <c r="A1272" s="5" t="s">
        <v>19</v>
      </c>
      <c r="B1272" s="1" t="s">
        <v>43</v>
      </c>
      <c r="C1272" s="1">
        <v>23</v>
      </c>
      <c r="D1272" s="1">
        <v>196</v>
      </c>
      <c r="E1272" s="1" t="s">
        <v>30</v>
      </c>
      <c r="F1272" s="6" t="s">
        <v>31</v>
      </c>
    </row>
    <row r="1273" spans="1:6" x14ac:dyDescent="0.35">
      <c r="A1273" s="5" t="s">
        <v>19</v>
      </c>
      <c r="B1273" s="1" t="s">
        <v>43</v>
      </c>
      <c r="C1273" s="1">
        <v>24</v>
      </c>
      <c r="D1273" s="1">
        <v>737</v>
      </c>
      <c r="E1273" s="1" t="s">
        <v>30</v>
      </c>
      <c r="F1273" s="6" t="s">
        <v>31</v>
      </c>
    </row>
    <row r="1274" spans="1:6" x14ac:dyDescent="0.35">
      <c r="A1274" s="5" t="s">
        <v>19</v>
      </c>
      <c r="B1274" s="1" t="s">
        <v>43</v>
      </c>
      <c r="C1274" s="1">
        <v>25</v>
      </c>
      <c r="D1274" s="1">
        <v>332</v>
      </c>
      <c r="E1274" s="1" t="s">
        <v>30</v>
      </c>
      <c r="F1274" s="6" t="s">
        <v>31</v>
      </c>
    </row>
    <row r="1275" spans="1:6" x14ac:dyDescent="0.35">
      <c r="A1275" s="5" t="s">
        <v>19</v>
      </c>
      <c r="B1275" s="1" t="s">
        <v>43</v>
      </c>
      <c r="C1275" s="1">
        <v>26</v>
      </c>
      <c r="D1275" s="1">
        <v>273</v>
      </c>
      <c r="E1275" s="1" t="s">
        <v>30</v>
      </c>
      <c r="F1275" s="6" t="s">
        <v>31</v>
      </c>
    </row>
    <row r="1276" spans="1:6" x14ac:dyDescent="0.35">
      <c r="A1276" s="5" t="s">
        <v>19</v>
      </c>
      <c r="B1276" s="1" t="s">
        <v>43</v>
      </c>
      <c r="C1276" s="1">
        <v>27</v>
      </c>
      <c r="D1276" s="1">
        <v>362</v>
      </c>
      <c r="E1276" s="1" t="s">
        <v>30</v>
      </c>
      <c r="F1276" s="6" t="s">
        <v>31</v>
      </c>
    </row>
    <row r="1277" spans="1:6" x14ac:dyDescent="0.35">
      <c r="A1277" s="5" t="s">
        <v>19</v>
      </c>
      <c r="B1277" s="1" t="s">
        <v>43</v>
      </c>
      <c r="C1277" s="1">
        <v>28</v>
      </c>
      <c r="D1277" s="1">
        <v>525</v>
      </c>
      <c r="E1277" s="1" t="s">
        <v>30</v>
      </c>
      <c r="F1277" s="6" t="s">
        <v>31</v>
      </c>
    </row>
    <row r="1278" spans="1:6" x14ac:dyDescent="0.35">
      <c r="A1278" s="5" t="s">
        <v>19</v>
      </c>
      <c r="B1278" s="1" t="s">
        <v>43</v>
      </c>
      <c r="C1278" s="1">
        <v>29</v>
      </c>
      <c r="D1278" s="1">
        <v>422</v>
      </c>
      <c r="E1278" s="1" t="s">
        <v>30</v>
      </c>
      <c r="F1278" s="6" t="s">
        <v>31</v>
      </c>
    </row>
    <row r="1279" spans="1:6" x14ac:dyDescent="0.35">
      <c r="A1279" s="5" t="s">
        <v>19</v>
      </c>
      <c r="B1279" s="1" t="s">
        <v>43</v>
      </c>
      <c r="C1279" s="1">
        <v>30</v>
      </c>
      <c r="D1279" s="1">
        <v>702</v>
      </c>
      <c r="E1279" s="1" t="s">
        <v>30</v>
      </c>
      <c r="F1279" s="6" t="s">
        <v>31</v>
      </c>
    </row>
    <row r="1280" spans="1:6" x14ac:dyDescent="0.35">
      <c r="A1280" s="5" t="s">
        <v>19</v>
      </c>
      <c r="B1280" s="1" t="s">
        <v>43</v>
      </c>
      <c r="C1280" s="1">
        <v>31</v>
      </c>
      <c r="D1280" s="1">
        <v>341</v>
      </c>
      <c r="E1280" s="1" t="s">
        <v>30</v>
      </c>
      <c r="F1280" s="6" t="s">
        <v>31</v>
      </c>
    </row>
    <row r="1281" spans="1:6" x14ac:dyDescent="0.35">
      <c r="A1281" s="5" t="s">
        <v>19</v>
      </c>
      <c r="B1281" s="1" t="s">
        <v>43</v>
      </c>
      <c r="C1281" s="1">
        <v>32</v>
      </c>
      <c r="D1281" s="1">
        <v>261</v>
      </c>
      <c r="E1281" s="1" t="s">
        <v>30</v>
      </c>
      <c r="F1281" s="6" t="s">
        <v>31</v>
      </c>
    </row>
    <row r="1282" spans="1:6" x14ac:dyDescent="0.35">
      <c r="A1282" s="5" t="s">
        <v>19</v>
      </c>
      <c r="B1282" s="1" t="s">
        <v>43</v>
      </c>
      <c r="C1282" s="1">
        <v>33</v>
      </c>
      <c r="D1282" s="1">
        <v>235</v>
      </c>
      <c r="E1282" s="1" t="s">
        <v>30</v>
      </c>
      <c r="F1282" s="6" t="s">
        <v>31</v>
      </c>
    </row>
    <row r="1283" spans="1:6" x14ac:dyDescent="0.35">
      <c r="A1283" s="5" t="s">
        <v>19</v>
      </c>
      <c r="B1283" s="1" t="s">
        <v>43</v>
      </c>
      <c r="C1283" s="1">
        <v>34</v>
      </c>
      <c r="D1283" s="1">
        <v>378</v>
      </c>
      <c r="E1283" s="1" t="s">
        <v>30</v>
      </c>
      <c r="F1283" s="6" t="s">
        <v>31</v>
      </c>
    </row>
    <row r="1284" spans="1:6" x14ac:dyDescent="0.35">
      <c r="A1284" s="5" t="s">
        <v>19</v>
      </c>
      <c r="B1284" s="1" t="s">
        <v>43</v>
      </c>
      <c r="C1284" s="1">
        <v>35</v>
      </c>
      <c r="D1284" s="1">
        <v>980</v>
      </c>
      <c r="E1284" s="1" t="s">
        <v>30</v>
      </c>
      <c r="F1284" s="6" t="s">
        <v>31</v>
      </c>
    </row>
    <row r="1285" spans="1:6" x14ac:dyDescent="0.35">
      <c r="A1285" s="5" t="s">
        <v>19</v>
      </c>
      <c r="B1285" s="1" t="s">
        <v>43</v>
      </c>
      <c r="C1285" s="1">
        <v>36</v>
      </c>
      <c r="D1285" s="1">
        <v>599</v>
      </c>
      <c r="E1285" s="1" t="s">
        <v>30</v>
      </c>
      <c r="F1285" s="6" t="s">
        <v>31</v>
      </c>
    </row>
    <row r="1286" spans="1:6" x14ac:dyDescent="0.35">
      <c r="A1286" s="5" t="s">
        <v>19</v>
      </c>
      <c r="B1286" s="1" t="s">
        <v>43</v>
      </c>
      <c r="C1286" s="1">
        <v>37</v>
      </c>
      <c r="D1286" s="1">
        <v>323</v>
      </c>
      <c r="E1286" s="1" t="s">
        <v>30</v>
      </c>
      <c r="F1286" s="6" t="s">
        <v>31</v>
      </c>
    </row>
    <row r="1287" spans="1:6" x14ac:dyDescent="0.35">
      <c r="A1287" s="5" t="s">
        <v>19</v>
      </c>
      <c r="B1287" s="1" t="s">
        <v>43</v>
      </c>
      <c r="C1287" s="1">
        <v>38</v>
      </c>
      <c r="D1287" s="1">
        <v>464</v>
      </c>
      <c r="E1287" s="1" t="s">
        <v>30</v>
      </c>
      <c r="F1287" s="6" t="s">
        <v>31</v>
      </c>
    </row>
    <row r="1288" spans="1:6" x14ac:dyDescent="0.35">
      <c r="A1288" s="5" t="s">
        <v>19</v>
      </c>
      <c r="B1288" s="1" t="s">
        <v>43</v>
      </c>
      <c r="C1288" s="1">
        <v>39</v>
      </c>
      <c r="D1288" s="1">
        <v>97</v>
      </c>
      <c r="E1288" s="1" t="s">
        <v>30</v>
      </c>
      <c r="F1288" s="6" t="s">
        <v>31</v>
      </c>
    </row>
    <row r="1289" spans="1:6" x14ac:dyDescent="0.35">
      <c r="A1289" s="5" t="s">
        <v>19</v>
      </c>
      <c r="B1289" s="1" t="s">
        <v>43</v>
      </c>
      <c r="C1289" s="1">
        <v>40</v>
      </c>
      <c r="D1289" s="1">
        <v>274</v>
      </c>
      <c r="E1289" s="1" t="s">
        <v>30</v>
      </c>
      <c r="F1289" s="6" t="s">
        <v>31</v>
      </c>
    </row>
    <row r="1290" spans="1:6" x14ac:dyDescent="0.35">
      <c r="A1290" s="5" t="s">
        <v>19</v>
      </c>
      <c r="B1290" s="1" t="s">
        <v>43</v>
      </c>
      <c r="C1290" s="1">
        <v>41</v>
      </c>
      <c r="D1290" s="1">
        <v>295</v>
      </c>
      <c r="E1290" s="1" t="s">
        <v>30</v>
      </c>
      <c r="F1290" s="6" t="s">
        <v>31</v>
      </c>
    </row>
    <row r="1291" spans="1:6" x14ac:dyDescent="0.35">
      <c r="A1291" s="5" t="s">
        <v>19</v>
      </c>
      <c r="B1291" s="1" t="s">
        <v>43</v>
      </c>
      <c r="C1291" s="1">
        <v>42</v>
      </c>
      <c r="D1291" s="1">
        <v>505</v>
      </c>
      <c r="E1291" s="1" t="s">
        <v>30</v>
      </c>
      <c r="F1291" s="6" t="s">
        <v>31</v>
      </c>
    </row>
    <row r="1292" spans="1:6" x14ac:dyDescent="0.35">
      <c r="A1292" s="5" t="s">
        <v>19</v>
      </c>
      <c r="B1292" s="1" t="s">
        <v>43</v>
      </c>
      <c r="C1292" s="1">
        <v>43</v>
      </c>
      <c r="D1292" s="1">
        <v>302</v>
      </c>
      <c r="E1292" s="1" t="s">
        <v>30</v>
      </c>
      <c r="F1292" s="6" t="s">
        <v>31</v>
      </c>
    </row>
    <row r="1293" spans="1:6" x14ac:dyDescent="0.35">
      <c r="A1293" s="5" t="s">
        <v>19</v>
      </c>
      <c r="B1293" s="1" t="s">
        <v>43</v>
      </c>
      <c r="C1293" s="1">
        <v>44</v>
      </c>
      <c r="D1293" s="1">
        <v>922</v>
      </c>
      <c r="E1293" s="1" t="s">
        <v>30</v>
      </c>
      <c r="F1293" s="6" t="s">
        <v>31</v>
      </c>
    </row>
    <row r="1294" spans="1:6" x14ac:dyDescent="0.35">
      <c r="A1294" s="5" t="s">
        <v>19</v>
      </c>
      <c r="B1294" s="1" t="s">
        <v>43</v>
      </c>
      <c r="C1294" s="1">
        <v>45</v>
      </c>
      <c r="D1294" s="1">
        <v>198</v>
      </c>
      <c r="E1294" s="1" t="s">
        <v>30</v>
      </c>
      <c r="F1294" s="6" t="s">
        <v>31</v>
      </c>
    </row>
    <row r="1295" spans="1:6" x14ac:dyDescent="0.35">
      <c r="A1295" s="5" t="s">
        <v>19</v>
      </c>
      <c r="B1295" s="1" t="s">
        <v>43</v>
      </c>
      <c r="C1295" s="1">
        <v>46</v>
      </c>
      <c r="D1295" s="1">
        <v>371</v>
      </c>
      <c r="E1295" s="1" t="s">
        <v>30</v>
      </c>
      <c r="F1295" s="6" t="s">
        <v>31</v>
      </c>
    </row>
    <row r="1296" spans="1:6" x14ac:dyDescent="0.35">
      <c r="A1296" s="5" t="s">
        <v>19</v>
      </c>
      <c r="B1296" s="1" t="s">
        <v>43</v>
      </c>
      <c r="C1296" s="1">
        <v>47</v>
      </c>
      <c r="D1296" s="1">
        <v>333</v>
      </c>
      <c r="E1296" s="1" t="s">
        <v>30</v>
      </c>
      <c r="F1296" s="6" t="s">
        <v>31</v>
      </c>
    </row>
    <row r="1297" spans="1:6" x14ac:dyDescent="0.35">
      <c r="A1297" s="5" t="s">
        <v>19</v>
      </c>
      <c r="B1297" s="1" t="s">
        <v>43</v>
      </c>
      <c r="C1297" s="1">
        <v>48</v>
      </c>
      <c r="D1297" s="1">
        <v>829</v>
      </c>
      <c r="E1297" s="1" t="s">
        <v>30</v>
      </c>
      <c r="F1297" s="6" t="s">
        <v>31</v>
      </c>
    </row>
    <row r="1298" spans="1:6" x14ac:dyDescent="0.35">
      <c r="A1298" s="5" t="s">
        <v>19</v>
      </c>
      <c r="B1298" s="1" t="s">
        <v>43</v>
      </c>
      <c r="C1298" s="1">
        <v>49</v>
      </c>
      <c r="D1298" s="1">
        <v>401</v>
      </c>
      <c r="E1298" s="1" t="s">
        <v>30</v>
      </c>
      <c r="F1298" s="6" t="s">
        <v>31</v>
      </c>
    </row>
    <row r="1299" spans="1:6" x14ac:dyDescent="0.35">
      <c r="A1299" s="5" t="s">
        <v>19</v>
      </c>
      <c r="B1299" s="1" t="s">
        <v>43</v>
      </c>
      <c r="C1299" s="1">
        <v>50</v>
      </c>
      <c r="D1299" s="1">
        <v>359</v>
      </c>
      <c r="E1299" s="1" t="s">
        <v>30</v>
      </c>
      <c r="F1299" s="6" t="s">
        <v>31</v>
      </c>
    </row>
    <row r="1300" spans="1:6" x14ac:dyDescent="0.35">
      <c r="A1300" s="5" t="s">
        <v>19</v>
      </c>
      <c r="B1300" s="1" t="s">
        <v>43</v>
      </c>
      <c r="C1300" s="1">
        <v>51</v>
      </c>
      <c r="D1300" s="1">
        <v>777</v>
      </c>
      <c r="E1300" s="1" t="s">
        <v>30</v>
      </c>
      <c r="F1300" s="6" t="s">
        <v>31</v>
      </c>
    </row>
    <row r="1301" spans="1:6" x14ac:dyDescent="0.35">
      <c r="A1301" s="5" t="s">
        <v>19</v>
      </c>
      <c r="B1301" s="1" t="s">
        <v>43</v>
      </c>
      <c r="C1301" s="1">
        <v>52</v>
      </c>
      <c r="D1301" s="1">
        <v>574</v>
      </c>
      <c r="E1301" s="1" t="s">
        <v>30</v>
      </c>
      <c r="F1301" s="6" t="s">
        <v>31</v>
      </c>
    </row>
    <row r="1302" spans="1:6" x14ac:dyDescent="0.35">
      <c r="A1302" s="5" t="s">
        <v>13</v>
      </c>
      <c r="B1302" s="1" t="s">
        <v>25</v>
      </c>
      <c r="C1302" s="1">
        <v>1</v>
      </c>
      <c r="D1302" s="1">
        <v>153</v>
      </c>
      <c r="E1302" s="1" t="s">
        <v>30</v>
      </c>
      <c r="F1302" s="6" t="s">
        <v>31</v>
      </c>
    </row>
    <row r="1303" spans="1:6" x14ac:dyDescent="0.35">
      <c r="A1303" s="5" t="s">
        <v>13</v>
      </c>
      <c r="B1303" s="1" t="s">
        <v>25</v>
      </c>
      <c r="C1303" s="1">
        <v>2</v>
      </c>
      <c r="D1303" s="1">
        <v>396</v>
      </c>
      <c r="E1303" s="1" t="s">
        <v>30</v>
      </c>
      <c r="F1303" s="6" t="s">
        <v>31</v>
      </c>
    </row>
    <row r="1304" spans="1:6" x14ac:dyDescent="0.35">
      <c r="A1304" s="5" t="s">
        <v>13</v>
      </c>
      <c r="B1304" s="1" t="s">
        <v>25</v>
      </c>
      <c r="C1304" s="1">
        <v>3</v>
      </c>
      <c r="D1304" s="1">
        <v>412</v>
      </c>
      <c r="E1304" s="1" t="s">
        <v>30</v>
      </c>
      <c r="F1304" s="6" t="s">
        <v>31</v>
      </c>
    </row>
    <row r="1305" spans="1:6" x14ac:dyDescent="0.35">
      <c r="A1305" s="5" t="s">
        <v>13</v>
      </c>
      <c r="B1305" s="1" t="s">
        <v>25</v>
      </c>
      <c r="C1305" s="1">
        <v>4</v>
      </c>
      <c r="D1305" s="1">
        <v>300</v>
      </c>
      <c r="E1305" s="1" t="s">
        <v>30</v>
      </c>
      <c r="F1305" s="6" t="s">
        <v>31</v>
      </c>
    </row>
    <row r="1306" spans="1:6" x14ac:dyDescent="0.35">
      <c r="A1306" s="5" t="s">
        <v>13</v>
      </c>
      <c r="B1306" s="1" t="s">
        <v>25</v>
      </c>
      <c r="C1306" s="1">
        <v>5</v>
      </c>
      <c r="D1306" s="1">
        <v>343</v>
      </c>
      <c r="E1306" s="1" t="s">
        <v>30</v>
      </c>
      <c r="F1306" s="6" t="s">
        <v>31</v>
      </c>
    </row>
    <row r="1307" spans="1:6" x14ac:dyDescent="0.35">
      <c r="A1307" s="5" t="s">
        <v>13</v>
      </c>
      <c r="B1307" s="1" t="s">
        <v>25</v>
      </c>
      <c r="C1307" s="1">
        <v>6</v>
      </c>
      <c r="D1307" s="1">
        <v>565</v>
      </c>
      <c r="E1307" s="1" t="s">
        <v>30</v>
      </c>
      <c r="F1307" s="6" t="s">
        <v>31</v>
      </c>
    </row>
    <row r="1308" spans="1:6" x14ac:dyDescent="0.35">
      <c r="A1308" s="5" t="s">
        <v>13</v>
      </c>
      <c r="B1308" s="1" t="s">
        <v>25</v>
      </c>
      <c r="C1308" s="1">
        <v>7</v>
      </c>
      <c r="D1308" s="1">
        <v>524</v>
      </c>
      <c r="E1308" s="1" t="s">
        <v>30</v>
      </c>
      <c r="F1308" s="6" t="s">
        <v>31</v>
      </c>
    </row>
    <row r="1309" spans="1:6" x14ac:dyDescent="0.35">
      <c r="A1309" s="5" t="s">
        <v>13</v>
      </c>
      <c r="B1309" s="1" t="s">
        <v>25</v>
      </c>
      <c r="C1309" s="1">
        <v>8</v>
      </c>
      <c r="D1309" s="1">
        <v>521</v>
      </c>
      <c r="E1309" s="1" t="s">
        <v>30</v>
      </c>
      <c r="F1309" s="6" t="s">
        <v>31</v>
      </c>
    </row>
    <row r="1310" spans="1:6" x14ac:dyDescent="0.35">
      <c r="A1310" s="5" t="s">
        <v>13</v>
      </c>
      <c r="B1310" s="1" t="s">
        <v>25</v>
      </c>
      <c r="C1310" s="1">
        <v>9</v>
      </c>
      <c r="D1310" s="1">
        <v>270</v>
      </c>
      <c r="E1310" s="1" t="s">
        <v>30</v>
      </c>
      <c r="F1310" s="6" t="s">
        <v>31</v>
      </c>
    </row>
    <row r="1311" spans="1:6" x14ac:dyDescent="0.35">
      <c r="A1311" s="5" t="s">
        <v>13</v>
      </c>
      <c r="B1311" s="1" t="s">
        <v>25</v>
      </c>
      <c r="C1311" s="1">
        <v>10</v>
      </c>
      <c r="D1311" s="1">
        <v>245</v>
      </c>
      <c r="E1311" s="1" t="s">
        <v>30</v>
      </c>
      <c r="F1311" s="6" t="s">
        <v>31</v>
      </c>
    </row>
    <row r="1312" spans="1:6" x14ac:dyDescent="0.35">
      <c r="A1312" s="5" t="s">
        <v>13</v>
      </c>
      <c r="B1312" s="1" t="s">
        <v>25</v>
      </c>
      <c r="C1312" s="1">
        <v>11</v>
      </c>
      <c r="D1312" s="1">
        <v>393</v>
      </c>
      <c r="E1312" s="1" t="s">
        <v>30</v>
      </c>
      <c r="F1312" s="6" t="s">
        <v>31</v>
      </c>
    </row>
    <row r="1313" spans="1:6" x14ac:dyDescent="0.35">
      <c r="A1313" s="5" t="s">
        <v>13</v>
      </c>
      <c r="B1313" s="1" t="s">
        <v>25</v>
      </c>
      <c r="C1313" s="1">
        <v>12</v>
      </c>
      <c r="D1313" s="1">
        <v>184</v>
      </c>
      <c r="E1313" s="1" t="s">
        <v>30</v>
      </c>
      <c r="F1313" s="6" t="s">
        <v>31</v>
      </c>
    </row>
    <row r="1314" spans="1:6" x14ac:dyDescent="0.35">
      <c r="A1314" s="5" t="s">
        <v>13</v>
      </c>
      <c r="B1314" s="1" t="s">
        <v>25</v>
      </c>
      <c r="C1314" s="1">
        <v>13</v>
      </c>
      <c r="D1314" s="1">
        <v>346</v>
      </c>
      <c r="E1314" s="1" t="s">
        <v>30</v>
      </c>
      <c r="F1314" s="6" t="s">
        <v>31</v>
      </c>
    </row>
    <row r="1315" spans="1:6" x14ac:dyDescent="0.35">
      <c r="A1315" s="5" t="s">
        <v>13</v>
      </c>
      <c r="B1315" s="1" t="s">
        <v>25</v>
      </c>
      <c r="C1315" s="1">
        <v>14</v>
      </c>
      <c r="D1315" s="1">
        <v>494</v>
      </c>
      <c r="E1315" s="1" t="s">
        <v>30</v>
      </c>
      <c r="F1315" s="6" t="s">
        <v>31</v>
      </c>
    </row>
    <row r="1316" spans="1:6" x14ac:dyDescent="0.35">
      <c r="A1316" s="5" t="s">
        <v>13</v>
      </c>
      <c r="B1316" s="1" t="s">
        <v>25</v>
      </c>
      <c r="C1316" s="1">
        <v>15</v>
      </c>
      <c r="D1316" s="1">
        <v>460</v>
      </c>
      <c r="E1316" s="1" t="s">
        <v>30</v>
      </c>
      <c r="F1316" s="6" t="s">
        <v>31</v>
      </c>
    </row>
    <row r="1317" spans="1:6" x14ac:dyDescent="0.35">
      <c r="A1317" s="5" t="s">
        <v>13</v>
      </c>
      <c r="B1317" s="1" t="s">
        <v>25</v>
      </c>
      <c r="C1317" s="1">
        <v>16</v>
      </c>
      <c r="D1317" s="1">
        <v>429</v>
      </c>
      <c r="E1317" s="1" t="s">
        <v>30</v>
      </c>
      <c r="F1317" s="6" t="s">
        <v>31</v>
      </c>
    </row>
    <row r="1318" spans="1:6" x14ac:dyDescent="0.35">
      <c r="A1318" s="5" t="s">
        <v>13</v>
      </c>
      <c r="B1318" s="1" t="s">
        <v>25</v>
      </c>
      <c r="C1318" s="1">
        <v>17</v>
      </c>
      <c r="D1318" s="1">
        <v>309</v>
      </c>
      <c r="E1318" s="1" t="s">
        <v>30</v>
      </c>
      <c r="F1318" s="6" t="s">
        <v>31</v>
      </c>
    </row>
    <row r="1319" spans="1:6" x14ac:dyDescent="0.35">
      <c r="A1319" s="5" t="s">
        <v>13</v>
      </c>
      <c r="B1319" s="1" t="s">
        <v>25</v>
      </c>
      <c r="C1319" s="1">
        <v>18</v>
      </c>
      <c r="D1319" s="1">
        <v>170</v>
      </c>
      <c r="E1319" s="1" t="s">
        <v>30</v>
      </c>
      <c r="F1319" s="6" t="s">
        <v>31</v>
      </c>
    </row>
    <row r="1320" spans="1:6" x14ac:dyDescent="0.35">
      <c r="A1320" s="5" t="s">
        <v>13</v>
      </c>
      <c r="B1320" s="1" t="s">
        <v>25</v>
      </c>
      <c r="C1320" s="1">
        <v>19</v>
      </c>
      <c r="D1320" s="1">
        <v>264</v>
      </c>
      <c r="E1320" s="1" t="s">
        <v>30</v>
      </c>
      <c r="F1320" s="6" t="s">
        <v>31</v>
      </c>
    </row>
    <row r="1321" spans="1:6" x14ac:dyDescent="0.35">
      <c r="A1321" s="5" t="s">
        <v>13</v>
      </c>
      <c r="B1321" s="1" t="s">
        <v>25</v>
      </c>
      <c r="C1321" s="1">
        <v>20</v>
      </c>
      <c r="D1321" s="1">
        <v>510</v>
      </c>
      <c r="E1321" s="1" t="s">
        <v>30</v>
      </c>
      <c r="F1321" s="6" t="s">
        <v>31</v>
      </c>
    </row>
    <row r="1322" spans="1:6" x14ac:dyDescent="0.35">
      <c r="A1322" s="5" t="s">
        <v>13</v>
      </c>
      <c r="B1322" s="1" t="s">
        <v>25</v>
      </c>
      <c r="C1322" s="1">
        <v>21</v>
      </c>
      <c r="D1322" s="1">
        <v>588</v>
      </c>
      <c r="E1322" s="1" t="s">
        <v>30</v>
      </c>
      <c r="F1322" s="6" t="s">
        <v>31</v>
      </c>
    </row>
    <row r="1323" spans="1:6" x14ac:dyDescent="0.35">
      <c r="A1323" s="5" t="s">
        <v>13</v>
      </c>
      <c r="B1323" s="1" t="s">
        <v>25</v>
      </c>
      <c r="C1323" s="1">
        <v>22</v>
      </c>
      <c r="D1323" s="1">
        <v>458</v>
      </c>
      <c r="E1323" s="1" t="s">
        <v>30</v>
      </c>
      <c r="F1323" s="6" t="s">
        <v>31</v>
      </c>
    </row>
    <row r="1324" spans="1:6" x14ac:dyDescent="0.35">
      <c r="A1324" s="5" t="s">
        <v>13</v>
      </c>
      <c r="B1324" s="1" t="s">
        <v>25</v>
      </c>
      <c r="C1324" s="1">
        <v>23</v>
      </c>
      <c r="D1324" s="1">
        <v>262</v>
      </c>
      <c r="E1324" s="1" t="s">
        <v>30</v>
      </c>
      <c r="F1324" s="6" t="s">
        <v>31</v>
      </c>
    </row>
    <row r="1325" spans="1:6" x14ac:dyDescent="0.35">
      <c r="A1325" s="5" t="s">
        <v>13</v>
      </c>
      <c r="B1325" s="1" t="s">
        <v>25</v>
      </c>
      <c r="C1325" s="1">
        <v>24</v>
      </c>
      <c r="D1325" s="1">
        <v>377</v>
      </c>
      <c r="E1325" s="1" t="s">
        <v>30</v>
      </c>
      <c r="F1325" s="6" t="s">
        <v>31</v>
      </c>
    </row>
    <row r="1326" spans="1:6" x14ac:dyDescent="0.35">
      <c r="A1326" s="5" t="s">
        <v>13</v>
      </c>
      <c r="B1326" s="1" t="s">
        <v>25</v>
      </c>
      <c r="C1326" s="1">
        <v>25</v>
      </c>
      <c r="D1326" s="1">
        <v>592</v>
      </c>
      <c r="E1326" s="1" t="s">
        <v>30</v>
      </c>
      <c r="F1326" s="6" t="s">
        <v>31</v>
      </c>
    </row>
    <row r="1327" spans="1:6" x14ac:dyDescent="0.35">
      <c r="A1327" s="5" t="s">
        <v>13</v>
      </c>
      <c r="B1327" s="1" t="s">
        <v>25</v>
      </c>
      <c r="C1327" s="1">
        <v>26</v>
      </c>
      <c r="D1327" s="1">
        <v>459</v>
      </c>
      <c r="E1327" s="1" t="s">
        <v>30</v>
      </c>
      <c r="F1327" s="6" t="s">
        <v>31</v>
      </c>
    </row>
    <row r="1328" spans="1:6" x14ac:dyDescent="0.35">
      <c r="A1328" s="5" t="s">
        <v>13</v>
      </c>
      <c r="B1328" s="1" t="s">
        <v>25</v>
      </c>
      <c r="C1328" s="1">
        <v>27</v>
      </c>
      <c r="D1328" s="1">
        <v>520</v>
      </c>
      <c r="E1328" s="1" t="s">
        <v>30</v>
      </c>
      <c r="F1328" s="6" t="s">
        <v>31</v>
      </c>
    </row>
    <row r="1329" spans="1:6" x14ac:dyDescent="0.35">
      <c r="A1329" s="5" t="s">
        <v>13</v>
      </c>
      <c r="B1329" s="1" t="s">
        <v>25</v>
      </c>
      <c r="C1329" s="1">
        <v>28</v>
      </c>
      <c r="D1329" s="1">
        <v>520</v>
      </c>
      <c r="E1329" s="1" t="s">
        <v>30</v>
      </c>
      <c r="F1329" s="6" t="s">
        <v>31</v>
      </c>
    </row>
    <row r="1330" spans="1:6" x14ac:dyDescent="0.35">
      <c r="A1330" s="5" t="s">
        <v>13</v>
      </c>
      <c r="B1330" s="1" t="s">
        <v>25</v>
      </c>
      <c r="C1330" s="1">
        <v>29</v>
      </c>
      <c r="D1330" s="1">
        <v>236</v>
      </c>
      <c r="E1330" s="1" t="s">
        <v>30</v>
      </c>
      <c r="F1330" s="6" t="s">
        <v>31</v>
      </c>
    </row>
    <row r="1331" spans="1:6" x14ac:dyDescent="0.35">
      <c r="A1331" s="5" t="s">
        <v>13</v>
      </c>
      <c r="B1331" s="1" t="s">
        <v>25</v>
      </c>
      <c r="C1331" s="1">
        <v>30</v>
      </c>
      <c r="D1331" s="1">
        <v>886</v>
      </c>
      <c r="E1331" s="1" t="s">
        <v>30</v>
      </c>
      <c r="F1331" s="6" t="s">
        <v>31</v>
      </c>
    </row>
    <row r="1332" spans="1:6" x14ac:dyDescent="0.35">
      <c r="A1332" s="5" t="s">
        <v>13</v>
      </c>
      <c r="B1332" s="1" t="s">
        <v>25</v>
      </c>
      <c r="C1332" s="1">
        <v>31</v>
      </c>
      <c r="D1332" s="1">
        <v>757</v>
      </c>
      <c r="E1332" s="1" t="s">
        <v>30</v>
      </c>
      <c r="F1332" s="6" t="s">
        <v>31</v>
      </c>
    </row>
    <row r="1333" spans="1:6" x14ac:dyDescent="0.35">
      <c r="A1333" s="5" t="s">
        <v>13</v>
      </c>
      <c r="B1333" s="1" t="s">
        <v>25</v>
      </c>
      <c r="C1333" s="1">
        <v>32</v>
      </c>
      <c r="D1333" s="1">
        <v>275</v>
      </c>
      <c r="E1333" s="1" t="s">
        <v>30</v>
      </c>
      <c r="F1333" s="6" t="s">
        <v>31</v>
      </c>
    </row>
    <row r="1334" spans="1:6" x14ac:dyDescent="0.35">
      <c r="A1334" s="5" t="s">
        <v>13</v>
      </c>
      <c r="B1334" s="1" t="s">
        <v>25</v>
      </c>
      <c r="C1334" s="1">
        <v>33</v>
      </c>
      <c r="D1334" s="1">
        <v>206</v>
      </c>
      <c r="E1334" s="1" t="s">
        <v>30</v>
      </c>
      <c r="F1334" s="6" t="s">
        <v>31</v>
      </c>
    </row>
    <row r="1335" spans="1:6" x14ac:dyDescent="0.35">
      <c r="A1335" s="5" t="s">
        <v>13</v>
      </c>
      <c r="B1335" s="1" t="s">
        <v>25</v>
      </c>
      <c r="C1335" s="1">
        <v>34</v>
      </c>
      <c r="D1335" s="1">
        <v>413</v>
      </c>
      <c r="E1335" s="1" t="s">
        <v>30</v>
      </c>
      <c r="F1335" s="6" t="s">
        <v>31</v>
      </c>
    </row>
    <row r="1336" spans="1:6" x14ac:dyDescent="0.35">
      <c r="A1336" s="5" t="s">
        <v>13</v>
      </c>
      <c r="B1336" s="1" t="s">
        <v>25</v>
      </c>
      <c r="C1336" s="1">
        <v>35</v>
      </c>
      <c r="D1336" s="1">
        <v>498</v>
      </c>
      <c r="E1336" s="1" t="s">
        <v>30</v>
      </c>
      <c r="F1336" s="6" t="s">
        <v>31</v>
      </c>
    </row>
    <row r="1337" spans="1:6" x14ac:dyDescent="0.35">
      <c r="A1337" s="5" t="s">
        <v>13</v>
      </c>
      <c r="B1337" s="1" t="s">
        <v>25</v>
      </c>
      <c r="C1337" s="1">
        <v>36</v>
      </c>
      <c r="D1337" s="1">
        <v>943</v>
      </c>
      <c r="E1337" s="1" t="s">
        <v>30</v>
      </c>
      <c r="F1337" s="6" t="s">
        <v>31</v>
      </c>
    </row>
    <row r="1338" spans="1:6" x14ac:dyDescent="0.35">
      <c r="A1338" s="5" t="s">
        <v>13</v>
      </c>
      <c r="B1338" s="1" t="s">
        <v>25</v>
      </c>
      <c r="C1338" s="1">
        <v>37</v>
      </c>
      <c r="D1338" s="1">
        <v>196</v>
      </c>
      <c r="E1338" s="1" t="s">
        <v>30</v>
      </c>
      <c r="F1338" s="6" t="s">
        <v>31</v>
      </c>
    </row>
    <row r="1339" spans="1:6" x14ac:dyDescent="0.35">
      <c r="A1339" s="5" t="s">
        <v>13</v>
      </c>
      <c r="B1339" s="1" t="s">
        <v>25</v>
      </c>
      <c r="C1339" s="1">
        <v>38</v>
      </c>
      <c r="D1339" s="1">
        <v>614</v>
      </c>
      <c r="E1339" s="1" t="s">
        <v>30</v>
      </c>
      <c r="F1339" s="6" t="s">
        <v>31</v>
      </c>
    </row>
    <row r="1340" spans="1:6" x14ac:dyDescent="0.35">
      <c r="A1340" s="5" t="s">
        <v>13</v>
      </c>
      <c r="B1340" s="1" t="s">
        <v>25</v>
      </c>
      <c r="C1340" s="1">
        <v>39</v>
      </c>
      <c r="D1340" s="1">
        <v>645</v>
      </c>
      <c r="E1340" s="1" t="s">
        <v>30</v>
      </c>
      <c r="F1340" s="6" t="s">
        <v>31</v>
      </c>
    </row>
    <row r="1341" spans="1:6" x14ac:dyDescent="0.35">
      <c r="A1341" s="5" t="s">
        <v>13</v>
      </c>
      <c r="B1341" s="1" t="s">
        <v>25</v>
      </c>
      <c r="C1341" s="1">
        <v>40</v>
      </c>
      <c r="D1341" s="1">
        <v>1444</v>
      </c>
      <c r="E1341" s="1" t="s">
        <v>30</v>
      </c>
      <c r="F1341" s="6" t="s">
        <v>31</v>
      </c>
    </row>
    <row r="1342" spans="1:6" x14ac:dyDescent="0.35">
      <c r="A1342" s="5" t="s">
        <v>13</v>
      </c>
      <c r="B1342" s="1" t="s">
        <v>25</v>
      </c>
      <c r="C1342" s="1">
        <v>41</v>
      </c>
      <c r="D1342" s="1">
        <v>314</v>
      </c>
      <c r="E1342" s="1" t="s">
        <v>30</v>
      </c>
      <c r="F1342" s="6" t="s">
        <v>31</v>
      </c>
    </row>
    <row r="1343" spans="1:6" x14ac:dyDescent="0.35">
      <c r="A1343" s="5" t="s">
        <v>13</v>
      </c>
      <c r="B1343" s="1" t="s">
        <v>25</v>
      </c>
      <c r="C1343" s="1">
        <v>42</v>
      </c>
      <c r="D1343" s="1">
        <v>155</v>
      </c>
      <c r="E1343" s="1" t="s">
        <v>30</v>
      </c>
      <c r="F1343" s="6" t="s">
        <v>31</v>
      </c>
    </row>
    <row r="1344" spans="1:6" x14ac:dyDescent="0.35">
      <c r="A1344" s="5" t="s">
        <v>13</v>
      </c>
      <c r="B1344" s="1" t="s">
        <v>25</v>
      </c>
      <c r="C1344" s="1">
        <v>43</v>
      </c>
      <c r="D1344" s="1">
        <v>151</v>
      </c>
      <c r="E1344" s="1" t="s">
        <v>30</v>
      </c>
      <c r="F1344" s="6" t="s">
        <v>31</v>
      </c>
    </row>
    <row r="1345" spans="1:6" x14ac:dyDescent="0.35">
      <c r="A1345" s="5" t="s">
        <v>13</v>
      </c>
      <c r="B1345" s="1" t="s">
        <v>25</v>
      </c>
      <c r="C1345" s="1">
        <v>44</v>
      </c>
      <c r="D1345" s="1">
        <v>291</v>
      </c>
      <c r="E1345" s="1" t="s">
        <v>30</v>
      </c>
      <c r="F1345" s="6" t="s">
        <v>31</v>
      </c>
    </row>
    <row r="1346" spans="1:6" x14ac:dyDescent="0.35">
      <c r="A1346" s="5" t="s">
        <v>13</v>
      </c>
      <c r="B1346" s="1" t="s">
        <v>25</v>
      </c>
      <c r="C1346" s="1">
        <v>45</v>
      </c>
      <c r="D1346" s="1">
        <v>451</v>
      </c>
      <c r="E1346" s="1" t="s">
        <v>30</v>
      </c>
      <c r="F1346" s="6" t="s">
        <v>31</v>
      </c>
    </row>
    <row r="1347" spans="1:6" x14ac:dyDescent="0.35">
      <c r="A1347" s="5" t="s">
        <v>13</v>
      </c>
      <c r="B1347" s="1" t="s">
        <v>25</v>
      </c>
      <c r="C1347" s="1">
        <v>46</v>
      </c>
      <c r="D1347" s="1">
        <v>1221</v>
      </c>
      <c r="E1347" s="1" t="s">
        <v>30</v>
      </c>
      <c r="F1347" s="6" t="s">
        <v>31</v>
      </c>
    </row>
    <row r="1348" spans="1:6" x14ac:dyDescent="0.35">
      <c r="A1348" s="5" t="s">
        <v>13</v>
      </c>
      <c r="B1348" s="1" t="s">
        <v>25</v>
      </c>
      <c r="C1348" s="1">
        <v>47</v>
      </c>
      <c r="D1348" s="1">
        <v>1650</v>
      </c>
      <c r="E1348" s="1" t="s">
        <v>30</v>
      </c>
      <c r="F1348" s="6" t="s">
        <v>31</v>
      </c>
    </row>
    <row r="1349" spans="1:6" x14ac:dyDescent="0.35">
      <c r="A1349" s="5" t="s">
        <v>13</v>
      </c>
      <c r="B1349" s="1" t="s">
        <v>25</v>
      </c>
      <c r="C1349" s="1">
        <v>48</v>
      </c>
      <c r="D1349" s="1">
        <v>673</v>
      </c>
      <c r="E1349" s="1" t="s">
        <v>30</v>
      </c>
      <c r="F1349" s="6" t="s">
        <v>31</v>
      </c>
    </row>
    <row r="1350" spans="1:6" x14ac:dyDescent="0.35">
      <c r="A1350" s="5" t="s">
        <v>13</v>
      </c>
      <c r="B1350" s="1" t="s">
        <v>25</v>
      </c>
      <c r="C1350" s="1">
        <v>49</v>
      </c>
      <c r="D1350" s="1">
        <v>318</v>
      </c>
      <c r="E1350" s="1" t="s">
        <v>30</v>
      </c>
      <c r="F1350" s="6" t="s">
        <v>31</v>
      </c>
    </row>
    <row r="1351" spans="1:6" x14ac:dyDescent="0.35">
      <c r="A1351" s="5" t="s">
        <v>13</v>
      </c>
      <c r="B1351" s="1" t="s">
        <v>25</v>
      </c>
      <c r="C1351" s="1">
        <v>50</v>
      </c>
      <c r="D1351" s="1">
        <v>589</v>
      </c>
      <c r="E1351" s="1" t="s">
        <v>30</v>
      </c>
      <c r="F1351" s="6" t="s">
        <v>31</v>
      </c>
    </row>
    <row r="1352" spans="1:6" x14ac:dyDescent="0.35">
      <c r="A1352" s="5" t="s">
        <v>13</v>
      </c>
      <c r="B1352" s="1" t="s">
        <v>25</v>
      </c>
      <c r="C1352" s="1">
        <v>51</v>
      </c>
      <c r="D1352" s="1">
        <v>141</v>
      </c>
      <c r="E1352" s="1" t="s">
        <v>30</v>
      </c>
      <c r="F1352" s="6" t="s">
        <v>31</v>
      </c>
    </row>
    <row r="1353" spans="1:6" x14ac:dyDescent="0.35">
      <c r="A1353" s="5" t="s">
        <v>13</v>
      </c>
      <c r="B1353" s="1" t="s">
        <v>25</v>
      </c>
      <c r="C1353" s="1">
        <v>52</v>
      </c>
      <c r="D1353" s="1">
        <v>1592</v>
      </c>
      <c r="E1353" s="1" t="s">
        <v>30</v>
      </c>
      <c r="F1353" s="6" t="s">
        <v>31</v>
      </c>
    </row>
    <row r="1354" spans="1:6" x14ac:dyDescent="0.35">
      <c r="A1354" s="5" t="s">
        <v>22</v>
      </c>
      <c r="B1354" s="1" t="s">
        <v>43</v>
      </c>
      <c r="C1354" s="1">
        <v>1</v>
      </c>
      <c r="D1354" s="1">
        <v>405</v>
      </c>
      <c r="E1354" s="1" t="s">
        <v>32</v>
      </c>
      <c r="F1354" s="6" t="s">
        <v>33</v>
      </c>
    </row>
    <row r="1355" spans="1:6" x14ac:dyDescent="0.35">
      <c r="A1355" s="5" t="s">
        <v>22</v>
      </c>
      <c r="B1355" s="1" t="s">
        <v>43</v>
      </c>
      <c r="C1355" s="1">
        <v>2</v>
      </c>
      <c r="D1355" s="1">
        <v>170</v>
      </c>
      <c r="E1355" s="1" t="s">
        <v>32</v>
      </c>
      <c r="F1355" s="6" t="s">
        <v>33</v>
      </c>
    </row>
    <row r="1356" spans="1:6" x14ac:dyDescent="0.35">
      <c r="A1356" s="5" t="s">
        <v>22</v>
      </c>
      <c r="B1356" s="1" t="s">
        <v>43</v>
      </c>
      <c r="C1356" s="1">
        <v>3</v>
      </c>
      <c r="D1356" s="1">
        <v>337</v>
      </c>
      <c r="E1356" s="1" t="s">
        <v>32</v>
      </c>
      <c r="F1356" s="6" t="s">
        <v>33</v>
      </c>
    </row>
    <row r="1357" spans="1:6" x14ac:dyDescent="0.35">
      <c r="A1357" s="5" t="s">
        <v>22</v>
      </c>
      <c r="B1357" s="1" t="s">
        <v>43</v>
      </c>
      <c r="C1357" s="1">
        <v>4</v>
      </c>
      <c r="D1357" s="1">
        <v>480</v>
      </c>
      <c r="E1357" s="1" t="s">
        <v>32</v>
      </c>
      <c r="F1357" s="6" t="s">
        <v>33</v>
      </c>
    </row>
    <row r="1358" spans="1:6" x14ac:dyDescent="0.35">
      <c r="A1358" s="5" t="s">
        <v>22</v>
      </c>
      <c r="B1358" s="1" t="s">
        <v>43</v>
      </c>
      <c r="C1358" s="1">
        <v>5</v>
      </c>
      <c r="D1358" s="1">
        <v>394</v>
      </c>
      <c r="E1358" s="1" t="s">
        <v>32</v>
      </c>
      <c r="F1358" s="6" t="s">
        <v>33</v>
      </c>
    </row>
    <row r="1359" spans="1:6" x14ac:dyDescent="0.35">
      <c r="A1359" s="5" t="s">
        <v>22</v>
      </c>
      <c r="B1359" s="1" t="s">
        <v>43</v>
      </c>
      <c r="C1359" s="1">
        <v>6</v>
      </c>
      <c r="D1359" s="1">
        <v>366</v>
      </c>
      <c r="E1359" s="1" t="s">
        <v>32</v>
      </c>
      <c r="F1359" s="6" t="s">
        <v>33</v>
      </c>
    </row>
    <row r="1360" spans="1:6" x14ac:dyDescent="0.35">
      <c r="A1360" s="5" t="s">
        <v>22</v>
      </c>
      <c r="B1360" s="1" t="s">
        <v>43</v>
      </c>
      <c r="C1360" s="1">
        <v>7</v>
      </c>
      <c r="D1360" s="1">
        <v>87</v>
      </c>
      <c r="E1360" s="1" t="s">
        <v>32</v>
      </c>
      <c r="F1360" s="6" t="s">
        <v>33</v>
      </c>
    </row>
    <row r="1361" spans="1:6" x14ac:dyDescent="0.35">
      <c r="A1361" s="5" t="s">
        <v>22</v>
      </c>
      <c r="B1361" s="1" t="s">
        <v>43</v>
      </c>
      <c r="C1361" s="1">
        <v>8</v>
      </c>
      <c r="D1361" s="1">
        <v>561</v>
      </c>
      <c r="E1361" s="1" t="s">
        <v>32</v>
      </c>
      <c r="F1361" s="6" t="s">
        <v>33</v>
      </c>
    </row>
    <row r="1362" spans="1:6" x14ac:dyDescent="0.35">
      <c r="A1362" s="5" t="s">
        <v>22</v>
      </c>
      <c r="B1362" s="1" t="s">
        <v>43</v>
      </c>
      <c r="C1362" s="1">
        <v>9</v>
      </c>
      <c r="D1362" s="1">
        <v>368</v>
      </c>
      <c r="E1362" s="1" t="s">
        <v>32</v>
      </c>
      <c r="F1362" s="6" t="s">
        <v>33</v>
      </c>
    </row>
    <row r="1363" spans="1:6" x14ac:dyDescent="0.35">
      <c r="A1363" s="5" t="s">
        <v>22</v>
      </c>
      <c r="B1363" s="1" t="s">
        <v>43</v>
      </c>
      <c r="C1363" s="1">
        <v>10</v>
      </c>
      <c r="D1363" s="1">
        <v>359</v>
      </c>
      <c r="E1363" s="1" t="s">
        <v>32</v>
      </c>
      <c r="F1363" s="6" t="s">
        <v>33</v>
      </c>
    </row>
    <row r="1364" spans="1:6" x14ac:dyDescent="0.35">
      <c r="A1364" s="5" t="s">
        <v>22</v>
      </c>
      <c r="B1364" s="1" t="s">
        <v>43</v>
      </c>
      <c r="C1364" s="1">
        <v>11</v>
      </c>
      <c r="D1364" s="1">
        <v>245</v>
      </c>
      <c r="E1364" s="1" t="s">
        <v>32</v>
      </c>
      <c r="F1364" s="6" t="s">
        <v>33</v>
      </c>
    </row>
    <row r="1365" spans="1:6" x14ac:dyDescent="0.35">
      <c r="A1365" s="5" t="s">
        <v>22</v>
      </c>
      <c r="B1365" s="1" t="s">
        <v>43</v>
      </c>
      <c r="C1365" s="1">
        <v>12</v>
      </c>
      <c r="D1365" s="1">
        <v>298</v>
      </c>
      <c r="E1365" s="1" t="s">
        <v>32</v>
      </c>
      <c r="F1365" s="6" t="s">
        <v>33</v>
      </c>
    </row>
    <row r="1366" spans="1:6" x14ac:dyDescent="0.35">
      <c r="A1366" s="5" t="s">
        <v>22</v>
      </c>
      <c r="B1366" s="1" t="s">
        <v>43</v>
      </c>
      <c r="C1366" s="1">
        <v>13</v>
      </c>
      <c r="D1366" s="1">
        <v>595</v>
      </c>
      <c r="E1366" s="1" t="s">
        <v>32</v>
      </c>
      <c r="F1366" s="6" t="s">
        <v>33</v>
      </c>
    </row>
    <row r="1367" spans="1:6" x14ac:dyDescent="0.35">
      <c r="A1367" s="5" t="s">
        <v>22</v>
      </c>
      <c r="B1367" s="1" t="s">
        <v>43</v>
      </c>
      <c r="C1367" s="1">
        <v>14</v>
      </c>
      <c r="D1367" s="1">
        <v>336</v>
      </c>
      <c r="E1367" s="1" t="s">
        <v>32</v>
      </c>
      <c r="F1367" s="6" t="s">
        <v>33</v>
      </c>
    </row>
    <row r="1368" spans="1:6" x14ac:dyDescent="0.35">
      <c r="A1368" s="5" t="s">
        <v>22</v>
      </c>
      <c r="B1368" s="1" t="s">
        <v>43</v>
      </c>
      <c r="C1368" s="1">
        <v>15</v>
      </c>
      <c r="D1368" s="1">
        <v>338</v>
      </c>
      <c r="E1368" s="1" t="s">
        <v>32</v>
      </c>
      <c r="F1368" s="6" t="s">
        <v>33</v>
      </c>
    </row>
    <row r="1369" spans="1:6" x14ac:dyDescent="0.35">
      <c r="A1369" s="5" t="s">
        <v>22</v>
      </c>
      <c r="B1369" s="1" t="s">
        <v>43</v>
      </c>
      <c r="C1369" s="1">
        <v>16</v>
      </c>
      <c r="D1369" s="1">
        <v>349</v>
      </c>
      <c r="E1369" s="1" t="s">
        <v>32</v>
      </c>
      <c r="F1369" s="6" t="s">
        <v>33</v>
      </c>
    </row>
    <row r="1370" spans="1:6" x14ac:dyDescent="0.35">
      <c r="A1370" s="5" t="s">
        <v>22</v>
      </c>
      <c r="B1370" s="1" t="s">
        <v>43</v>
      </c>
      <c r="C1370" s="1">
        <v>17</v>
      </c>
      <c r="D1370" s="1">
        <v>510</v>
      </c>
      <c r="E1370" s="1" t="s">
        <v>32</v>
      </c>
      <c r="F1370" s="6" t="s">
        <v>33</v>
      </c>
    </row>
    <row r="1371" spans="1:6" x14ac:dyDescent="0.35">
      <c r="A1371" s="5" t="s">
        <v>22</v>
      </c>
      <c r="B1371" s="1" t="s">
        <v>43</v>
      </c>
      <c r="C1371" s="1">
        <v>18</v>
      </c>
      <c r="D1371" s="1">
        <v>456</v>
      </c>
      <c r="E1371" s="1" t="s">
        <v>32</v>
      </c>
      <c r="F1371" s="6" t="s">
        <v>33</v>
      </c>
    </row>
    <row r="1372" spans="1:6" x14ac:dyDescent="0.35">
      <c r="A1372" s="5" t="s">
        <v>22</v>
      </c>
      <c r="B1372" s="1" t="s">
        <v>43</v>
      </c>
      <c r="C1372" s="1">
        <v>19</v>
      </c>
      <c r="D1372" s="1">
        <v>141</v>
      </c>
      <c r="E1372" s="1" t="s">
        <v>32</v>
      </c>
      <c r="F1372" s="6" t="s">
        <v>33</v>
      </c>
    </row>
    <row r="1373" spans="1:6" x14ac:dyDescent="0.35">
      <c r="A1373" s="5" t="s">
        <v>22</v>
      </c>
      <c r="B1373" s="1" t="s">
        <v>43</v>
      </c>
      <c r="C1373" s="1">
        <v>20</v>
      </c>
      <c r="D1373" s="1">
        <v>494</v>
      </c>
      <c r="E1373" s="1" t="s">
        <v>32</v>
      </c>
      <c r="F1373" s="6" t="s">
        <v>33</v>
      </c>
    </row>
    <row r="1374" spans="1:6" x14ac:dyDescent="0.35">
      <c r="A1374" s="5" t="s">
        <v>22</v>
      </c>
      <c r="B1374" s="1" t="s">
        <v>43</v>
      </c>
      <c r="C1374" s="1">
        <v>21</v>
      </c>
      <c r="D1374" s="1">
        <v>276</v>
      </c>
      <c r="E1374" s="1" t="s">
        <v>32</v>
      </c>
      <c r="F1374" s="6" t="s">
        <v>33</v>
      </c>
    </row>
    <row r="1375" spans="1:6" x14ac:dyDescent="0.35">
      <c r="A1375" s="5" t="s">
        <v>22</v>
      </c>
      <c r="B1375" s="1" t="s">
        <v>43</v>
      </c>
      <c r="C1375" s="1">
        <v>22</v>
      </c>
      <c r="D1375" s="1">
        <v>222</v>
      </c>
      <c r="E1375" s="1" t="s">
        <v>32</v>
      </c>
      <c r="F1375" s="6" t="s">
        <v>33</v>
      </c>
    </row>
    <row r="1376" spans="1:6" x14ac:dyDescent="0.35">
      <c r="A1376" s="5" t="s">
        <v>22</v>
      </c>
      <c r="B1376" s="1" t="s">
        <v>43</v>
      </c>
      <c r="C1376" s="1">
        <v>23</v>
      </c>
      <c r="D1376" s="1">
        <v>232</v>
      </c>
      <c r="E1376" s="1" t="s">
        <v>32</v>
      </c>
      <c r="F1376" s="6" t="s">
        <v>33</v>
      </c>
    </row>
    <row r="1377" spans="1:6" x14ac:dyDescent="0.35">
      <c r="A1377" s="5" t="s">
        <v>22</v>
      </c>
      <c r="B1377" s="1" t="s">
        <v>43</v>
      </c>
      <c r="C1377" s="1">
        <v>24</v>
      </c>
      <c r="D1377" s="1">
        <v>137</v>
      </c>
      <c r="E1377" s="1" t="s">
        <v>32</v>
      </c>
      <c r="F1377" s="6" t="s">
        <v>33</v>
      </c>
    </row>
    <row r="1378" spans="1:6" x14ac:dyDescent="0.35">
      <c r="A1378" s="5" t="s">
        <v>22</v>
      </c>
      <c r="B1378" s="1" t="s">
        <v>43</v>
      </c>
      <c r="C1378" s="1">
        <v>25</v>
      </c>
      <c r="D1378" s="1">
        <v>303</v>
      </c>
      <c r="E1378" s="1" t="s">
        <v>32</v>
      </c>
      <c r="F1378" s="6" t="s">
        <v>33</v>
      </c>
    </row>
    <row r="1379" spans="1:6" x14ac:dyDescent="0.35">
      <c r="A1379" s="5" t="s">
        <v>22</v>
      </c>
      <c r="B1379" s="1" t="s">
        <v>43</v>
      </c>
      <c r="C1379" s="1">
        <v>26</v>
      </c>
      <c r="D1379" s="1">
        <v>320</v>
      </c>
      <c r="E1379" s="1" t="s">
        <v>32</v>
      </c>
      <c r="F1379" s="6" t="s">
        <v>33</v>
      </c>
    </row>
    <row r="1380" spans="1:6" x14ac:dyDescent="0.35">
      <c r="A1380" s="5" t="s">
        <v>22</v>
      </c>
      <c r="B1380" s="1" t="s">
        <v>43</v>
      </c>
      <c r="C1380" s="1">
        <v>27</v>
      </c>
      <c r="D1380" s="1">
        <v>286</v>
      </c>
      <c r="E1380" s="1" t="s">
        <v>32</v>
      </c>
      <c r="F1380" s="6" t="s">
        <v>33</v>
      </c>
    </row>
    <row r="1381" spans="1:6" x14ac:dyDescent="0.35">
      <c r="A1381" s="5" t="s">
        <v>22</v>
      </c>
      <c r="B1381" s="1" t="s">
        <v>43</v>
      </c>
      <c r="C1381" s="1">
        <v>28</v>
      </c>
      <c r="D1381" s="1">
        <v>260</v>
      </c>
      <c r="E1381" s="1" t="s">
        <v>32</v>
      </c>
      <c r="F1381" s="6" t="s">
        <v>33</v>
      </c>
    </row>
    <row r="1382" spans="1:6" x14ac:dyDescent="0.35">
      <c r="A1382" s="5" t="s">
        <v>22</v>
      </c>
      <c r="B1382" s="1" t="s">
        <v>43</v>
      </c>
      <c r="C1382" s="1">
        <v>29</v>
      </c>
      <c r="D1382" s="1">
        <v>227</v>
      </c>
      <c r="E1382" s="1" t="s">
        <v>32</v>
      </c>
      <c r="F1382" s="6" t="s">
        <v>33</v>
      </c>
    </row>
    <row r="1383" spans="1:6" x14ac:dyDescent="0.35">
      <c r="A1383" s="5" t="s">
        <v>22</v>
      </c>
      <c r="B1383" s="1" t="s">
        <v>43</v>
      </c>
      <c r="C1383" s="1">
        <v>30</v>
      </c>
      <c r="D1383" s="1">
        <v>994</v>
      </c>
      <c r="E1383" s="1" t="s">
        <v>32</v>
      </c>
      <c r="F1383" s="6" t="s">
        <v>33</v>
      </c>
    </row>
    <row r="1384" spans="1:6" x14ac:dyDescent="0.35">
      <c r="A1384" s="5" t="s">
        <v>22</v>
      </c>
      <c r="B1384" s="1" t="s">
        <v>43</v>
      </c>
      <c r="C1384" s="1">
        <v>31</v>
      </c>
      <c r="D1384" s="1">
        <v>395</v>
      </c>
      <c r="E1384" s="1" t="s">
        <v>32</v>
      </c>
      <c r="F1384" s="6" t="s">
        <v>33</v>
      </c>
    </row>
    <row r="1385" spans="1:6" x14ac:dyDescent="0.35">
      <c r="A1385" s="5" t="s">
        <v>22</v>
      </c>
      <c r="B1385" s="1" t="s">
        <v>43</v>
      </c>
      <c r="C1385" s="1">
        <v>32</v>
      </c>
      <c r="D1385" s="1">
        <v>840</v>
      </c>
      <c r="E1385" s="1" t="s">
        <v>32</v>
      </c>
      <c r="F1385" s="6" t="s">
        <v>33</v>
      </c>
    </row>
    <row r="1386" spans="1:6" x14ac:dyDescent="0.35">
      <c r="A1386" s="5" t="s">
        <v>22</v>
      </c>
      <c r="B1386" s="1" t="s">
        <v>43</v>
      </c>
      <c r="C1386" s="1">
        <v>33</v>
      </c>
      <c r="D1386" s="1">
        <v>303</v>
      </c>
      <c r="E1386" s="1" t="s">
        <v>32</v>
      </c>
      <c r="F1386" s="6" t="s">
        <v>33</v>
      </c>
    </row>
    <row r="1387" spans="1:6" x14ac:dyDescent="0.35">
      <c r="A1387" s="5" t="s">
        <v>22</v>
      </c>
      <c r="B1387" s="1" t="s">
        <v>43</v>
      </c>
      <c r="C1387" s="1">
        <v>34</v>
      </c>
      <c r="D1387" s="1">
        <v>432</v>
      </c>
      <c r="E1387" s="1" t="s">
        <v>32</v>
      </c>
      <c r="F1387" s="6" t="s">
        <v>33</v>
      </c>
    </row>
    <row r="1388" spans="1:6" x14ac:dyDescent="0.35">
      <c r="A1388" s="5" t="s">
        <v>22</v>
      </c>
      <c r="B1388" s="1" t="s">
        <v>43</v>
      </c>
      <c r="C1388" s="1">
        <v>35</v>
      </c>
      <c r="D1388" s="1">
        <v>280</v>
      </c>
      <c r="E1388" s="1" t="s">
        <v>32</v>
      </c>
      <c r="F1388" s="6" t="s">
        <v>33</v>
      </c>
    </row>
    <row r="1389" spans="1:6" x14ac:dyDescent="0.35">
      <c r="A1389" s="5" t="s">
        <v>22</v>
      </c>
      <c r="B1389" s="1" t="s">
        <v>43</v>
      </c>
      <c r="C1389" s="1">
        <v>36</v>
      </c>
      <c r="D1389" s="1">
        <v>939</v>
      </c>
      <c r="E1389" s="1" t="s">
        <v>32</v>
      </c>
      <c r="F1389" s="6" t="s">
        <v>33</v>
      </c>
    </row>
    <row r="1390" spans="1:6" x14ac:dyDescent="0.35">
      <c r="A1390" s="5" t="s">
        <v>22</v>
      </c>
      <c r="B1390" s="1" t="s">
        <v>43</v>
      </c>
      <c r="C1390" s="1">
        <v>37</v>
      </c>
      <c r="D1390" s="1">
        <v>575</v>
      </c>
      <c r="E1390" s="1" t="s">
        <v>32</v>
      </c>
      <c r="F1390" s="6" t="s">
        <v>33</v>
      </c>
    </row>
    <row r="1391" spans="1:6" x14ac:dyDescent="0.35">
      <c r="A1391" s="5" t="s">
        <v>22</v>
      </c>
      <c r="B1391" s="1" t="s">
        <v>43</v>
      </c>
      <c r="C1391" s="1">
        <v>38</v>
      </c>
      <c r="D1391" s="1">
        <v>545</v>
      </c>
      <c r="E1391" s="1" t="s">
        <v>32</v>
      </c>
      <c r="F1391" s="6" t="s">
        <v>33</v>
      </c>
    </row>
    <row r="1392" spans="1:6" x14ac:dyDescent="0.35">
      <c r="A1392" s="5" t="s">
        <v>22</v>
      </c>
      <c r="B1392" s="1" t="s">
        <v>43</v>
      </c>
      <c r="C1392" s="1">
        <v>39</v>
      </c>
      <c r="D1392" s="1">
        <v>104</v>
      </c>
      <c r="E1392" s="1" t="s">
        <v>32</v>
      </c>
      <c r="F1392" s="6" t="s">
        <v>33</v>
      </c>
    </row>
    <row r="1393" spans="1:6" x14ac:dyDescent="0.35">
      <c r="A1393" s="5" t="s">
        <v>22</v>
      </c>
      <c r="B1393" s="1" t="s">
        <v>43</v>
      </c>
      <c r="C1393" s="1">
        <v>40</v>
      </c>
      <c r="D1393" s="1">
        <v>579</v>
      </c>
      <c r="E1393" s="1" t="s">
        <v>32</v>
      </c>
      <c r="F1393" s="6" t="s">
        <v>33</v>
      </c>
    </row>
    <row r="1394" spans="1:6" x14ac:dyDescent="0.35">
      <c r="A1394" s="5" t="s">
        <v>22</v>
      </c>
      <c r="B1394" s="1" t="s">
        <v>43</v>
      </c>
      <c r="C1394" s="1">
        <v>41</v>
      </c>
      <c r="D1394" s="1">
        <v>445</v>
      </c>
      <c r="E1394" s="1" t="s">
        <v>32</v>
      </c>
      <c r="F1394" s="6" t="s">
        <v>33</v>
      </c>
    </row>
    <row r="1395" spans="1:6" x14ac:dyDescent="0.35">
      <c r="A1395" s="5" t="s">
        <v>22</v>
      </c>
      <c r="B1395" s="1" t="s">
        <v>43</v>
      </c>
      <c r="C1395" s="1">
        <v>42</v>
      </c>
      <c r="D1395" s="1">
        <v>975</v>
      </c>
      <c r="E1395" s="1" t="s">
        <v>32</v>
      </c>
      <c r="F1395" s="6" t="s">
        <v>33</v>
      </c>
    </row>
    <row r="1396" spans="1:6" x14ac:dyDescent="0.35">
      <c r="A1396" s="5" t="s">
        <v>22</v>
      </c>
      <c r="B1396" s="1" t="s">
        <v>43</v>
      </c>
      <c r="C1396" s="1">
        <v>43</v>
      </c>
      <c r="D1396" s="1">
        <v>176</v>
      </c>
      <c r="E1396" s="1" t="s">
        <v>32</v>
      </c>
      <c r="F1396" s="6" t="s">
        <v>33</v>
      </c>
    </row>
    <row r="1397" spans="1:6" x14ac:dyDescent="0.35">
      <c r="A1397" s="5" t="s">
        <v>22</v>
      </c>
      <c r="B1397" s="1" t="s">
        <v>43</v>
      </c>
      <c r="C1397" s="1">
        <v>44</v>
      </c>
      <c r="D1397" s="1">
        <v>251</v>
      </c>
      <c r="E1397" s="1" t="s">
        <v>32</v>
      </c>
      <c r="F1397" s="6" t="s">
        <v>33</v>
      </c>
    </row>
    <row r="1398" spans="1:6" x14ac:dyDescent="0.35">
      <c r="A1398" s="5" t="s">
        <v>22</v>
      </c>
      <c r="B1398" s="1" t="s">
        <v>43</v>
      </c>
      <c r="C1398" s="1">
        <v>45</v>
      </c>
      <c r="D1398" s="1">
        <v>291</v>
      </c>
      <c r="E1398" s="1" t="s">
        <v>32</v>
      </c>
      <c r="F1398" s="6" t="s">
        <v>33</v>
      </c>
    </row>
    <row r="1399" spans="1:6" x14ac:dyDescent="0.35">
      <c r="A1399" s="5" t="s">
        <v>22</v>
      </c>
      <c r="B1399" s="1" t="s">
        <v>43</v>
      </c>
      <c r="C1399" s="1">
        <v>46</v>
      </c>
      <c r="D1399" s="1">
        <v>296</v>
      </c>
      <c r="E1399" s="1" t="s">
        <v>32</v>
      </c>
      <c r="F1399" s="6" t="s">
        <v>33</v>
      </c>
    </row>
    <row r="1400" spans="1:6" x14ac:dyDescent="0.35">
      <c r="A1400" s="5" t="s">
        <v>22</v>
      </c>
      <c r="B1400" s="1" t="s">
        <v>43</v>
      </c>
      <c r="C1400" s="1">
        <v>47</v>
      </c>
      <c r="D1400" s="1">
        <v>266</v>
      </c>
      <c r="E1400" s="1" t="s">
        <v>32</v>
      </c>
      <c r="F1400" s="6" t="s">
        <v>33</v>
      </c>
    </row>
    <row r="1401" spans="1:6" x14ac:dyDescent="0.35">
      <c r="A1401" s="5" t="s">
        <v>22</v>
      </c>
      <c r="B1401" s="1" t="s">
        <v>43</v>
      </c>
      <c r="C1401" s="1">
        <v>48</v>
      </c>
      <c r="D1401" s="1">
        <v>717</v>
      </c>
      <c r="E1401" s="1" t="s">
        <v>32</v>
      </c>
      <c r="F1401" s="6" t="s">
        <v>33</v>
      </c>
    </row>
    <row r="1402" spans="1:6" x14ac:dyDescent="0.35">
      <c r="A1402" s="5" t="s">
        <v>22</v>
      </c>
      <c r="B1402" s="1" t="s">
        <v>43</v>
      </c>
      <c r="C1402" s="1">
        <v>49</v>
      </c>
      <c r="D1402" s="1">
        <v>500</v>
      </c>
      <c r="E1402" s="1" t="s">
        <v>32</v>
      </c>
      <c r="F1402" s="6" t="s">
        <v>33</v>
      </c>
    </row>
    <row r="1403" spans="1:6" x14ac:dyDescent="0.35">
      <c r="A1403" s="5" t="s">
        <v>22</v>
      </c>
      <c r="B1403" s="1" t="s">
        <v>43</v>
      </c>
      <c r="C1403" s="1">
        <v>50</v>
      </c>
      <c r="D1403" s="1">
        <v>479</v>
      </c>
      <c r="E1403" s="1" t="s">
        <v>32</v>
      </c>
      <c r="F1403" s="6" t="s">
        <v>33</v>
      </c>
    </row>
    <row r="1404" spans="1:6" x14ac:dyDescent="0.35">
      <c r="A1404" s="5" t="s">
        <v>22</v>
      </c>
      <c r="B1404" s="1" t="s">
        <v>43</v>
      </c>
      <c r="C1404" s="1">
        <v>51</v>
      </c>
      <c r="D1404" s="1">
        <v>475</v>
      </c>
      <c r="E1404" s="1" t="s">
        <v>32</v>
      </c>
      <c r="F1404" s="6" t="s">
        <v>33</v>
      </c>
    </row>
    <row r="1405" spans="1:6" x14ac:dyDescent="0.35">
      <c r="A1405" s="5" t="s">
        <v>22</v>
      </c>
      <c r="B1405" s="1" t="s">
        <v>43</v>
      </c>
      <c r="C1405" s="1">
        <v>52</v>
      </c>
      <c r="D1405" s="1">
        <v>835</v>
      </c>
      <c r="E1405" s="1" t="s">
        <v>32</v>
      </c>
      <c r="F1405" s="6" t="s">
        <v>33</v>
      </c>
    </row>
    <row r="1406" spans="1:6" x14ac:dyDescent="0.35">
      <c r="A1406" s="5" t="s">
        <v>16</v>
      </c>
      <c r="B1406" s="1" t="s">
        <v>25</v>
      </c>
      <c r="C1406" s="1">
        <v>1</v>
      </c>
      <c r="D1406" s="1">
        <v>355</v>
      </c>
      <c r="E1406" s="1" t="s">
        <v>32</v>
      </c>
      <c r="F1406" s="6" t="s">
        <v>33</v>
      </c>
    </row>
    <row r="1407" spans="1:6" x14ac:dyDescent="0.35">
      <c r="A1407" s="5" t="s">
        <v>16</v>
      </c>
      <c r="B1407" s="1" t="s">
        <v>25</v>
      </c>
      <c r="C1407" s="1">
        <v>2</v>
      </c>
      <c r="D1407" s="1">
        <v>310</v>
      </c>
      <c r="E1407" s="1" t="s">
        <v>32</v>
      </c>
      <c r="F1407" s="6" t="s">
        <v>33</v>
      </c>
    </row>
    <row r="1408" spans="1:6" x14ac:dyDescent="0.35">
      <c r="A1408" s="5" t="s">
        <v>16</v>
      </c>
      <c r="B1408" s="1" t="s">
        <v>25</v>
      </c>
      <c r="C1408" s="1">
        <v>3</v>
      </c>
      <c r="D1408" s="1">
        <v>418</v>
      </c>
      <c r="E1408" s="1" t="s">
        <v>32</v>
      </c>
      <c r="F1408" s="6" t="s">
        <v>33</v>
      </c>
    </row>
    <row r="1409" spans="1:6" x14ac:dyDescent="0.35">
      <c r="A1409" s="5" t="s">
        <v>16</v>
      </c>
      <c r="B1409" s="1" t="s">
        <v>25</v>
      </c>
      <c r="C1409" s="1">
        <v>4</v>
      </c>
      <c r="D1409" s="1">
        <v>272</v>
      </c>
      <c r="E1409" s="1" t="s">
        <v>32</v>
      </c>
      <c r="F1409" s="6" t="s">
        <v>33</v>
      </c>
    </row>
    <row r="1410" spans="1:6" x14ac:dyDescent="0.35">
      <c r="A1410" s="5" t="s">
        <v>16</v>
      </c>
      <c r="B1410" s="1" t="s">
        <v>25</v>
      </c>
      <c r="C1410" s="1">
        <v>5</v>
      </c>
      <c r="D1410" s="1">
        <v>474</v>
      </c>
      <c r="E1410" s="1" t="s">
        <v>32</v>
      </c>
      <c r="F1410" s="6" t="s">
        <v>33</v>
      </c>
    </row>
    <row r="1411" spans="1:6" x14ac:dyDescent="0.35">
      <c r="A1411" s="5" t="s">
        <v>16</v>
      </c>
      <c r="B1411" s="1" t="s">
        <v>25</v>
      </c>
      <c r="C1411" s="1">
        <v>6</v>
      </c>
      <c r="D1411" s="1">
        <v>363</v>
      </c>
      <c r="E1411" s="1" t="s">
        <v>32</v>
      </c>
      <c r="F1411" s="6" t="s">
        <v>33</v>
      </c>
    </row>
    <row r="1412" spans="1:6" x14ac:dyDescent="0.35">
      <c r="A1412" s="5" t="s">
        <v>16</v>
      </c>
      <c r="B1412" s="1" t="s">
        <v>25</v>
      </c>
      <c r="C1412" s="1">
        <v>7</v>
      </c>
      <c r="D1412" s="1">
        <v>485</v>
      </c>
      <c r="E1412" s="1" t="s">
        <v>32</v>
      </c>
      <c r="F1412" s="6" t="s">
        <v>33</v>
      </c>
    </row>
    <row r="1413" spans="1:6" x14ac:dyDescent="0.35">
      <c r="A1413" s="5" t="s">
        <v>16</v>
      </c>
      <c r="B1413" s="1" t="s">
        <v>25</v>
      </c>
      <c r="C1413" s="1">
        <v>8</v>
      </c>
      <c r="D1413" s="1">
        <v>126</v>
      </c>
      <c r="E1413" s="1" t="s">
        <v>32</v>
      </c>
      <c r="F1413" s="6" t="s">
        <v>33</v>
      </c>
    </row>
    <row r="1414" spans="1:6" x14ac:dyDescent="0.35">
      <c r="A1414" s="5" t="s">
        <v>16</v>
      </c>
      <c r="B1414" s="1" t="s">
        <v>25</v>
      </c>
      <c r="C1414" s="1">
        <v>9</v>
      </c>
      <c r="D1414" s="1">
        <v>100</v>
      </c>
      <c r="E1414" s="1" t="s">
        <v>32</v>
      </c>
      <c r="F1414" s="6" t="s">
        <v>33</v>
      </c>
    </row>
    <row r="1415" spans="1:6" x14ac:dyDescent="0.35">
      <c r="A1415" s="5" t="s">
        <v>16</v>
      </c>
      <c r="B1415" s="1" t="s">
        <v>25</v>
      </c>
      <c r="C1415" s="1">
        <v>10</v>
      </c>
      <c r="D1415" s="1">
        <v>230</v>
      </c>
      <c r="E1415" s="1" t="s">
        <v>32</v>
      </c>
      <c r="F1415" s="6" t="s">
        <v>33</v>
      </c>
    </row>
    <row r="1416" spans="1:6" x14ac:dyDescent="0.35">
      <c r="A1416" s="5" t="s">
        <v>16</v>
      </c>
      <c r="B1416" s="1" t="s">
        <v>25</v>
      </c>
      <c r="C1416" s="1">
        <v>11</v>
      </c>
      <c r="D1416" s="1">
        <v>240</v>
      </c>
      <c r="E1416" s="1" t="s">
        <v>32</v>
      </c>
      <c r="F1416" s="6" t="s">
        <v>33</v>
      </c>
    </row>
    <row r="1417" spans="1:6" x14ac:dyDescent="0.35">
      <c r="A1417" s="5" t="s">
        <v>16</v>
      </c>
      <c r="B1417" s="1" t="s">
        <v>25</v>
      </c>
      <c r="C1417" s="1">
        <v>12</v>
      </c>
      <c r="D1417" s="1">
        <v>423</v>
      </c>
      <c r="E1417" s="1" t="s">
        <v>32</v>
      </c>
      <c r="F1417" s="6" t="s">
        <v>33</v>
      </c>
    </row>
    <row r="1418" spans="1:6" x14ac:dyDescent="0.35">
      <c r="A1418" s="5" t="s">
        <v>16</v>
      </c>
      <c r="B1418" s="1" t="s">
        <v>25</v>
      </c>
      <c r="C1418" s="1">
        <v>13</v>
      </c>
      <c r="D1418" s="1">
        <v>283</v>
      </c>
      <c r="E1418" s="1" t="s">
        <v>32</v>
      </c>
      <c r="F1418" s="6" t="s">
        <v>33</v>
      </c>
    </row>
    <row r="1419" spans="1:6" x14ac:dyDescent="0.35">
      <c r="A1419" s="5" t="s">
        <v>16</v>
      </c>
      <c r="B1419" s="1" t="s">
        <v>25</v>
      </c>
      <c r="C1419" s="1">
        <v>14</v>
      </c>
      <c r="D1419" s="1">
        <v>392</v>
      </c>
      <c r="E1419" s="1" t="s">
        <v>32</v>
      </c>
      <c r="F1419" s="6" t="s">
        <v>33</v>
      </c>
    </row>
    <row r="1420" spans="1:6" x14ac:dyDescent="0.35">
      <c r="A1420" s="5" t="s">
        <v>16</v>
      </c>
      <c r="B1420" s="1" t="s">
        <v>25</v>
      </c>
      <c r="C1420" s="1">
        <v>15</v>
      </c>
      <c r="D1420" s="1">
        <v>472</v>
      </c>
      <c r="E1420" s="1" t="s">
        <v>32</v>
      </c>
      <c r="F1420" s="6" t="s">
        <v>33</v>
      </c>
    </row>
    <row r="1421" spans="1:6" x14ac:dyDescent="0.35">
      <c r="A1421" s="5" t="s">
        <v>16</v>
      </c>
      <c r="B1421" s="1" t="s">
        <v>25</v>
      </c>
      <c r="C1421" s="1">
        <v>16</v>
      </c>
      <c r="D1421" s="1">
        <v>399</v>
      </c>
      <c r="E1421" s="1" t="s">
        <v>32</v>
      </c>
      <c r="F1421" s="6" t="s">
        <v>33</v>
      </c>
    </row>
    <row r="1422" spans="1:6" x14ac:dyDescent="0.35">
      <c r="A1422" s="5" t="s">
        <v>16</v>
      </c>
      <c r="B1422" s="1" t="s">
        <v>25</v>
      </c>
      <c r="C1422" s="1">
        <v>17</v>
      </c>
      <c r="D1422" s="1">
        <v>215</v>
      </c>
      <c r="E1422" s="1" t="s">
        <v>32</v>
      </c>
      <c r="F1422" s="6" t="s">
        <v>33</v>
      </c>
    </row>
    <row r="1423" spans="1:6" x14ac:dyDescent="0.35">
      <c r="A1423" s="5" t="s">
        <v>16</v>
      </c>
      <c r="B1423" s="1" t="s">
        <v>25</v>
      </c>
      <c r="C1423" s="1">
        <v>18</v>
      </c>
      <c r="D1423" s="1">
        <v>531</v>
      </c>
      <c r="E1423" s="1" t="s">
        <v>32</v>
      </c>
      <c r="F1423" s="6" t="s">
        <v>33</v>
      </c>
    </row>
    <row r="1424" spans="1:6" x14ac:dyDescent="0.35">
      <c r="A1424" s="5" t="s">
        <v>16</v>
      </c>
      <c r="B1424" s="1" t="s">
        <v>25</v>
      </c>
      <c r="C1424" s="1">
        <v>19</v>
      </c>
      <c r="D1424" s="1">
        <v>127</v>
      </c>
      <c r="E1424" s="1" t="s">
        <v>32</v>
      </c>
      <c r="F1424" s="6" t="s">
        <v>33</v>
      </c>
    </row>
    <row r="1425" spans="1:6" x14ac:dyDescent="0.35">
      <c r="A1425" s="5" t="s">
        <v>16</v>
      </c>
      <c r="B1425" s="1" t="s">
        <v>25</v>
      </c>
      <c r="C1425" s="1">
        <v>20</v>
      </c>
      <c r="D1425" s="1">
        <v>186</v>
      </c>
      <c r="E1425" s="1" t="s">
        <v>32</v>
      </c>
      <c r="F1425" s="6" t="s">
        <v>33</v>
      </c>
    </row>
    <row r="1426" spans="1:6" x14ac:dyDescent="0.35">
      <c r="A1426" s="5" t="s">
        <v>16</v>
      </c>
      <c r="B1426" s="1" t="s">
        <v>25</v>
      </c>
      <c r="C1426" s="1">
        <v>21</v>
      </c>
      <c r="D1426" s="1">
        <v>446</v>
      </c>
      <c r="E1426" s="1" t="s">
        <v>32</v>
      </c>
      <c r="F1426" s="6" t="s">
        <v>33</v>
      </c>
    </row>
    <row r="1427" spans="1:6" x14ac:dyDescent="0.35">
      <c r="A1427" s="5" t="s">
        <v>16</v>
      </c>
      <c r="B1427" s="1" t="s">
        <v>25</v>
      </c>
      <c r="C1427" s="1">
        <v>22</v>
      </c>
      <c r="D1427" s="1">
        <v>206</v>
      </c>
      <c r="E1427" s="1" t="s">
        <v>32</v>
      </c>
      <c r="F1427" s="6" t="s">
        <v>33</v>
      </c>
    </row>
    <row r="1428" spans="1:6" x14ac:dyDescent="0.35">
      <c r="A1428" s="5" t="s">
        <v>16</v>
      </c>
      <c r="B1428" s="1" t="s">
        <v>25</v>
      </c>
      <c r="C1428" s="1">
        <v>23</v>
      </c>
      <c r="D1428" s="1">
        <v>489</v>
      </c>
      <c r="E1428" s="1" t="s">
        <v>32</v>
      </c>
      <c r="F1428" s="6" t="s">
        <v>33</v>
      </c>
    </row>
    <row r="1429" spans="1:6" x14ac:dyDescent="0.35">
      <c r="A1429" s="5" t="s">
        <v>16</v>
      </c>
      <c r="B1429" s="1" t="s">
        <v>25</v>
      </c>
      <c r="C1429" s="1">
        <v>24</v>
      </c>
      <c r="D1429" s="1">
        <v>363</v>
      </c>
      <c r="E1429" s="1" t="s">
        <v>32</v>
      </c>
      <c r="F1429" s="6" t="s">
        <v>33</v>
      </c>
    </row>
    <row r="1430" spans="1:6" x14ac:dyDescent="0.35">
      <c r="A1430" s="5" t="s">
        <v>16</v>
      </c>
      <c r="B1430" s="1" t="s">
        <v>25</v>
      </c>
      <c r="C1430" s="1">
        <v>25</v>
      </c>
      <c r="D1430" s="1">
        <v>350</v>
      </c>
      <c r="E1430" s="1" t="s">
        <v>32</v>
      </c>
      <c r="F1430" s="6" t="s">
        <v>33</v>
      </c>
    </row>
    <row r="1431" spans="1:6" x14ac:dyDescent="0.35">
      <c r="A1431" s="5" t="s">
        <v>16</v>
      </c>
      <c r="B1431" s="1" t="s">
        <v>25</v>
      </c>
      <c r="C1431" s="1">
        <v>26</v>
      </c>
      <c r="D1431" s="1">
        <v>633</v>
      </c>
      <c r="E1431" s="1" t="s">
        <v>32</v>
      </c>
      <c r="F1431" s="6" t="s">
        <v>33</v>
      </c>
    </row>
    <row r="1432" spans="1:6" x14ac:dyDescent="0.35">
      <c r="A1432" s="5" t="s">
        <v>16</v>
      </c>
      <c r="B1432" s="1" t="s">
        <v>25</v>
      </c>
      <c r="C1432" s="1">
        <v>27</v>
      </c>
      <c r="D1432" s="1">
        <v>172</v>
      </c>
      <c r="E1432" s="1" t="s">
        <v>32</v>
      </c>
      <c r="F1432" s="6" t="s">
        <v>33</v>
      </c>
    </row>
    <row r="1433" spans="1:6" x14ac:dyDescent="0.35">
      <c r="A1433" s="5" t="s">
        <v>16</v>
      </c>
      <c r="B1433" s="1" t="s">
        <v>25</v>
      </c>
      <c r="C1433" s="1">
        <v>28</v>
      </c>
      <c r="D1433" s="1">
        <v>213</v>
      </c>
      <c r="E1433" s="1" t="s">
        <v>32</v>
      </c>
      <c r="F1433" s="6" t="s">
        <v>33</v>
      </c>
    </row>
    <row r="1434" spans="1:6" x14ac:dyDescent="0.35">
      <c r="A1434" s="5" t="s">
        <v>16</v>
      </c>
      <c r="B1434" s="1" t="s">
        <v>25</v>
      </c>
      <c r="C1434" s="1">
        <v>29</v>
      </c>
      <c r="D1434" s="1">
        <v>848</v>
      </c>
      <c r="E1434" s="1" t="s">
        <v>32</v>
      </c>
      <c r="F1434" s="6" t="s">
        <v>33</v>
      </c>
    </row>
    <row r="1435" spans="1:6" x14ac:dyDescent="0.35">
      <c r="A1435" s="5" t="s">
        <v>16</v>
      </c>
      <c r="B1435" s="1" t="s">
        <v>25</v>
      </c>
      <c r="C1435" s="1">
        <v>30</v>
      </c>
      <c r="D1435" s="1">
        <v>316</v>
      </c>
      <c r="E1435" s="1" t="s">
        <v>32</v>
      </c>
      <c r="F1435" s="6" t="s">
        <v>33</v>
      </c>
    </row>
    <row r="1436" spans="1:6" x14ac:dyDescent="0.35">
      <c r="A1436" s="5" t="s">
        <v>16</v>
      </c>
      <c r="B1436" s="1" t="s">
        <v>25</v>
      </c>
      <c r="C1436" s="1">
        <v>31</v>
      </c>
      <c r="D1436" s="1">
        <v>339</v>
      </c>
      <c r="E1436" s="1" t="s">
        <v>32</v>
      </c>
      <c r="F1436" s="6" t="s">
        <v>33</v>
      </c>
    </row>
    <row r="1437" spans="1:6" x14ac:dyDescent="0.35">
      <c r="A1437" s="5" t="s">
        <v>16</v>
      </c>
      <c r="B1437" s="1" t="s">
        <v>25</v>
      </c>
      <c r="C1437" s="1">
        <v>32</v>
      </c>
      <c r="D1437" s="1">
        <v>148</v>
      </c>
      <c r="E1437" s="1" t="s">
        <v>32</v>
      </c>
      <c r="F1437" s="6" t="s">
        <v>33</v>
      </c>
    </row>
    <row r="1438" spans="1:6" x14ac:dyDescent="0.35">
      <c r="A1438" s="5" t="s">
        <v>16</v>
      </c>
      <c r="B1438" s="1" t="s">
        <v>25</v>
      </c>
      <c r="C1438" s="1">
        <v>33</v>
      </c>
      <c r="D1438" s="1">
        <v>150</v>
      </c>
      <c r="E1438" s="1" t="s">
        <v>32</v>
      </c>
      <c r="F1438" s="6" t="s">
        <v>33</v>
      </c>
    </row>
    <row r="1439" spans="1:6" x14ac:dyDescent="0.35">
      <c r="A1439" s="5" t="s">
        <v>16</v>
      </c>
      <c r="B1439" s="1" t="s">
        <v>25</v>
      </c>
      <c r="C1439" s="1">
        <v>34</v>
      </c>
      <c r="D1439" s="1">
        <v>364</v>
      </c>
      <c r="E1439" s="1" t="s">
        <v>32</v>
      </c>
      <c r="F1439" s="6" t="s">
        <v>33</v>
      </c>
    </row>
    <row r="1440" spans="1:6" x14ac:dyDescent="0.35">
      <c r="A1440" s="5" t="s">
        <v>16</v>
      </c>
      <c r="B1440" s="1" t="s">
        <v>25</v>
      </c>
      <c r="C1440" s="1">
        <v>35</v>
      </c>
      <c r="D1440" s="1">
        <v>305</v>
      </c>
      <c r="E1440" s="1" t="s">
        <v>32</v>
      </c>
      <c r="F1440" s="6" t="s">
        <v>33</v>
      </c>
    </row>
    <row r="1441" spans="1:6" x14ac:dyDescent="0.35">
      <c r="A1441" s="5" t="s">
        <v>16</v>
      </c>
      <c r="B1441" s="1" t="s">
        <v>25</v>
      </c>
      <c r="C1441" s="1">
        <v>36</v>
      </c>
      <c r="D1441" s="1">
        <v>235</v>
      </c>
      <c r="E1441" s="1" t="s">
        <v>32</v>
      </c>
      <c r="F1441" s="6" t="s">
        <v>33</v>
      </c>
    </row>
    <row r="1442" spans="1:6" x14ac:dyDescent="0.35">
      <c r="A1442" s="5" t="s">
        <v>16</v>
      </c>
      <c r="B1442" s="1" t="s">
        <v>25</v>
      </c>
      <c r="C1442" s="1">
        <v>37</v>
      </c>
      <c r="D1442" s="1">
        <v>324</v>
      </c>
      <c r="E1442" s="1" t="s">
        <v>32</v>
      </c>
      <c r="F1442" s="6" t="s">
        <v>33</v>
      </c>
    </row>
    <row r="1443" spans="1:6" x14ac:dyDescent="0.35">
      <c r="A1443" s="5" t="s">
        <v>16</v>
      </c>
      <c r="B1443" s="1" t="s">
        <v>25</v>
      </c>
      <c r="C1443" s="1">
        <v>38</v>
      </c>
      <c r="D1443" s="1">
        <v>577</v>
      </c>
      <c r="E1443" s="1" t="s">
        <v>32</v>
      </c>
      <c r="F1443" s="6" t="s">
        <v>33</v>
      </c>
    </row>
    <row r="1444" spans="1:6" x14ac:dyDescent="0.35">
      <c r="A1444" s="5" t="s">
        <v>16</v>
      </c>
      <c r="B1444" s="1" t="s">
        <v>25</v>
      </c>
      <c r="C1444" s="1">
        <v>39</v>
      </c>
      <c r="D1444" s="1">
        <v>519</v>
      </c>
      <c r="E1444" s="1" t="s">
        <v>32</v>
      </c>
      <c r="F1444" s="6" t="s">
        <v>33</v>
      </c>
    </row>
    <row r="1445" spans="1:6" x14ac:dyDescent="0.35">
      <c r="A1445" s="5" t="s">
        <v>16</v>
      </c>
      <c r="B1445" s="1" t="s">
        <v>25</v>
      </c>
      <c r="C1445" s="1">
        <v>40</v>
      </c>
      <c r="D1445" s="1">
        <v>884</v>
      </c>
      <c r="E1445" s="1" t="s">
        <v>32</v>
      </c>
      <c r="F1445" s="6" t="s">
        <v>33</v>
      </c>
    </row>
    <row r="1446" spans="1:6" x14ac:dyDescent="0.35">
      <c r="A1446" s="5" t="s">
        <v>16</v>
      </c>
      <c r="B1446" s="1" t="s">
        <v>25</v>
      </c>
      <c r="C1446" s="1">
        <v>41</v>
      </c>
      <c r="D1446" s="1">
        <v>337</v>
      </c>
      <c r="E1446" s="1" t="s">
        <v>32</v>
      </c>
      <c r="F1446" s="6" t="s">
        <v>33</v>
      </c>
    </row>
    <row r="1447" spans="1:6" x14ac:dyDescent="0.35">
      <c r="A1447" s="5" t="s">
        <v>16</v>
      </c>
      <c r="B1447" s="1" t="s">
        <v>25</v>
      </c>
      <c r="C1447" s="1">
        <v>42</v>
      </c>
      <c r="D1447" s="1">
        <v>1063</v>
      </c>
      <c r="E1447" s="1" t="s">
        <v>32</v>
      </c>
      <c r="F1447" s="6" t="s">
        <v>33</v>
      </c>
    </row>
    <row r="1448" spans="1:6" x14ac:dyDescent="0.35">
      <c r="A1448" s="5" t="s">
        <v>16</v>
      </c>
      <c r="B1448" s="1" t="s">
        <v>25</v>
      </c>
      <c r="C1448" s="1">
        <v>43</v>
      </c>
      <c r="D1448" s="1">
        <v>437</v>
      </c>
      <c r="E1448" s="1" t="s">
        <v>32</v>
      </c>
      <c r="F1448" s="6" t="s">
        <v>33</v>
      </c>
    </row>
    <row r="1449" spans="1:6" x14ac:dyDescent="0.35">
      <c r="A1449" s="5" t="s">
        <v>16</v>
      </c>
      <c r="B1449" s="1" t="s">
        <v>25</v>
      </c>
      <c r="C1449" s="1">
        <v>44</v>
      </c>
      <c r="D1449" s="1">
        <v>360</v>
      </c>
      <c r="E1449" s="1" t="s">
        <v>32</v>
      </c>
      <c r="F1449" s="6" t="s">
        <v>33</v>
      </c>
    </row>
    <row r="1450" spans="1:6" x14ac:dyDescent="0.35">
      <c r="A1450" s="5" t="s">
        <v>16</v>
      </c>
      <c r="B1450" s="1" t="s">
        <v>25</v>
      </c>
      <c r="C1450" s="1">
        <v>45</v>
      </c>
      <c r="D1450" s="1">
        <v>522</v>
      </c>
      <c r="E1450" s="1" t="s">
        <v>32</v>
      </c>
      <c r="F1450" s="6" t="s">
        <v>33</v>
      </c>
    </row>
    <row r="1451" spans="1:6" x14ac:dyDescent="0.35">
      <c r="A1451" s="5" t="s">
        <v>16</v>
      </c>
      <c r="B1451" s="1" t="s">
        <v>25</v>
      </c>
      <c r="C1451" s="1">
        <v>46</v>
      </c>
      <c r="D1451" s="1">
        <v>237</v>
      </c>
      <c r="E1451" s="1" t="s">
        <v>32</v>
      </c>
      <c r="F1451" s="6" t="s">
        <v>33</v>
      </c>
    </row>
    <row r="1452" spans="1:6" x14ac:dyDescent="0.35">
      <c r="A1452" s="5" t="s">
        <v>16</v>
      </c>
      <c r="B1452" s="1" t="s">
        <v>25</v>
      </c>
      <c r="C1452" s="1">
        <v>47</v>
      </c>
      <c r="D1452" s="1">
        <v>318</v>
      </c>
      <c r="E1452" s="1" t="s">
        <v>32</v>
      </c>
      <c r="F1452" s="6" t="s">
        <v>33</v>
      </c>
    </row>
    <row r="1453" spans="1:6" x14ac:dyDescent="0.35">
      <c r="A1453" s="5" t="s">
        <v>16</v>
      </c>
      <c r="B1453" s="1" t="s">
        <v>25</v>
      </c>
      <c r="C1453" s="1">
        <v>48</v>
      </c>
      <c r="D1453" s="1">
        <v>432</v>
      </c>
      <c r="E1453" s="1" t="s">
        <v>32</v>
      </c>
      <c r="F1453" s="6" t="s">
        <v>33</v>
      </c>
    </row>
    <row r="1454" spans="1:6" x14ac:dyDescent="0.35">
      <c r="A1454" s="5" t="s">
        <v>16</v>
      </c>
      <c r="B1454" s="1" t="s">
        <v>25</v>
      </c>
      <c r="C1454" s="1">
        <v>49</v>
      </c>
      <c r="D1454" s="1">
        <v>474</v>
      </c>
      <c r="E1454" s="1" t="s">
        <v>32</v>
      </c>
      <c r="F1454" s="6" t="s">
        <v>33</v>
      </c>
    </row>
    <row r="1455" spans="1:6" x14ac:dyDescent="0.35">
      <c r="A1455" s="5" t="s">
        <v>16</v>
      </c>
      <c r="B1455" s="1" t="s">
        <v>25</v>
      </c>
      <c r="C1455" s="1">
        <v>50</v>
      </c>
      <c r="D1455" s="1">
        <v>625</v>
      </c>
      <c r="E1455" s="1" t="s">
        <v>32</v>
      </c>
      <c r="F1455" s="6" t="s">
        <v>33</v>
      </c>
    </row>
    <row r="1456" spans="1:6" x14ac:dyDescent="0.35">
      <c r="A1456" s="5" t="s">
        <v>16</v>
      </c>
      <c r="B1456" s="1" t="s">
        <v>25</v>
      </c>
      <c r="C1456" s="1">
        <v>51</v>
      </c>
      <c r="D1456" s="1">
        <v>791</v>
      </c>
      <c r="E1456" s="1" t="s">
        <v>32</v>
      </c>
      <c r="F1456" s="6" t="s">
        <v>33</v>
      </c>
    </row>
    <row r="1457" spans="1:6" x14ac:dyDescent="0.35">
      <c r="A1457" s="5" t="s">
        <v>16</v>
      </c>
      <c r="B1457" s="1" t="s">
        <v>25</v>
      </c>
      <c r="C1457" s="1">
        <v>52</v>
      </c>
      <c r="D1457" s="1">
        <v>338</v>
      </c>
      <c r="E1457" s="1" t="s">
        <v>32</v>
      </c>
      <c r="F1457" s="6" t="s">
        <v>33</v>
      </c>
    </row>
    <row r="1458" spans="1:6" x14ac:dyDescent="0.35">
      <c r="A1458" s="5" t="s">
        <v>19</v>
      </c>
      <c r="B1458" s="1" t="s">
        <v>25</v>
      </c>
      <c r="C1458" s="1">
        <v>1</v>
      </c>
      <c r="D1458" s="1">
        <v>59</v>
      </c>
      <c r="E1458" s="1" t="s">
        <v>34</v>
      </c>
      <c r="F1458" s="6" t="s">
        <v>35</v>
      </c>
    </row>
    <row r="1459" spans="1:6" x14ac:dyDescent="0.35">
      <c r="A1459" s="5" t="s">
        <v>19</v>
      </c>
      <c r="B1459" s="1" t="s">
        <v>25</v>
      </c>
      <c r="C1459" s="1">
        <v>2</v>
      </c>
      <c r="D1459" s="1">
        <v>236</v>
      </c>
      <c r="E1459" s="1" t="s">
        <v>34</v>
      </c>
      <c r="F1459" s="6" t="s">
        <v>35</v>
      </c>
    </row>
    <row r="1460" spans="1:6" x14ac:dyDescent="0.35">
      <c r="A1460" s="5" t="s">
        <v>19</v>
      </c>
      <c r="B1460" s="1" t="s">
        <v>25</v>
      </c>
      <c r="C1460" s="1">
        <v>3</v>
      </c>
      <c r="D1460" s="1">
        <v>195</v>
      </c>
      <c r="E1460" s="1" t="s">
        <v>34</v>
      </c>
      <c r="F1460" s="6" t="s">
        <v>35</v>
      </c>
    </row>
    <row r="1461" spans="1:6" x14ac:dyDescent="0.35">
      <c r="A1461" s="5" t="s">
        <v>19</v>
      </c>
      <c r="B1461" s="1" t="s">
        <v>25</v>
      </c>
      <c r="C1461" s="1">
        <v>4</v>
      </c>
      <c r="D1461" s="1">
        <v>355</v>
      </c>
      <c r="E1461" s="1" t="s">
        <v>34</v>
      </c>
      <c r="F1461" s="6" t="s">
        <v>35</v>
      </c>
    </row>
    <row r="1462" spans="1:6" x14ac:dyDescent="0.35">
      <c r="A1462" s="5" t="s">
        <v>19</v>
      </c>
      <c r="B1462" s="1" t="s">
        <v>25</v>
      </c>
      <c r="C1462" s="1">
        <v>5</v>
      </c>
      <c r="D1462" s="1">
        <v>276</v>
      </c>
      <c r="E1462" s="1" t="s">
        <v>34</v>
      </c>
      <c r="F1462" s="6" t="s">
        <v>35</v>
      </c>
    </row>
    <row r="1463" spans="1:6" x14ac:dyDescent="0.35">
      <c r="A1463" s="5" t="s">
        <v>19</v>
      </c>
      <c r="B1463" s="1" t="s">
        <v>25</v>
      </c>
      <c r="C1463" s="1">
        <v>6</v>
      </c>
      <c r="D1463" s="1">
        <v>283</v>
      </c>
      <c r="E1463" s="1" t="s">
        <v>34</v>
      </c>
      <c r="F1463" s="6" t="s">
        <v>35</v>
      </c>
    </row>
    <row r="1464" spans="1:6" x14ac:dyDescent="0.35">
      <c r="A1464" s="5" t="s">
        <v>19</v>
      </c>
      <c r="B1464" s="1" t="s">
        <v>25</v>
      </c>
      <c r="C1464" s="1">
        <v>7</v>
      </c>
      <c r="D1464" s="1">
        <v>169</v>
      </c>
      <c r="E1464" s="1" t="s">
        <v>34</v>
      </c>
      <c r="F1464" s="6" t="s">
        <v>35</v>
      </c>
    </row>
    <row r="1465" spans="1:6" x14ac:dyDescent="0.35">
      <c r="A1465" s="5" t="s">
        <v>19</v>
      </c>
      <c r="B1465" s="1" t="s">
        <v>25</v>
      </c>
      <c r="C1465" s="1">
        <v>8</v>
      </c>
      <c r="D1465" s="1">
        <v>283</v>
      </c>
      <c r="E1465" s="1" t="s">
        <v>34</v>
      </c>
      <c r="F1465" s="6" t="s">
        <v>35</v>
      </c>
    </row>
    <row r="1466" spans="1:6" x14ac:dyDescent="0.35">
      <c r="A1466" s="5" t="s">
        <v>19</v>
      </c>
      <c r="B1466" s="1" t="s">
        <v>25</v>
      </c>
      <c r="C1466" s="1">
        <v>9</v>
      </c>
      <c r="D1466" s="1">
        <v>399</v>
      </c>
      <c r="E1466" s="1" t="s">
        <v>34</v>
      </c>
      <c r="F1466" s="6" t="s">
        <v>35</v>
      </c>
    </row>
    <row r="1467" spans="1:6" x14ac:dyDescent="0.35">
      <c r="A1467" s="5" t="s">
        <v>19</v>
      </c>
      <c r="B1467" s="1" t="s">
        <v>25</v>
      </c>
      <c r="C1467" s="1">
        <v>10</v>
      </c>
      <c r="D1467" s="1">
        <v>400</v>
      </c>
      <c r="E1467" s="1" t="s">
        <v>34</v>
      </c>
      <c r="F1467" s="6" t="s">
        <v>35</v>
      </c>
    </row>
    <row r="1468" spans="1:6" x14ac:dyDescent="0.35">
      <c r="A1468" s="5" t="s">
        <v>19</v>
      </c>
      <c r="B1468" s="1" t="s">
        <v>25</v>
      </c>
      <c r="C1468" s="1">
        <v>11</v>
      </c>
      <c r="D1468" s="1">
        <v>127</v>
      </c>
      <c r="E1468" s="1" t="s">
        <v>34</v>
      </c>
      <c r="F1468" s="6" t="s">
        <v>35</v>
      </c>
    </row>
    <row r="1469" spans="1:6" x14ac:dyDescent="0.35">
      <c r="A1469" s="5" t="s">
        <v>19</v>
      </c>
      <c r="B1469" s="1" t="s">
        <v>25</v>
      </c>
      <c r="C1469" s="1">
        <v>12</v>
      </c>
      <c r="D1469" s="1">
        <v>207</v>
      </c>
      <c r="E1469" s="1" t="s">
        <v>34</v>
      </c>
      <c r="F1469" s="6" t="s">
        <v>35</v>
      </c>
    </row>
    <row r="1470" spans="1:6" x14ac:dyDescent="0.35">
      <c r="A1470" s="5" t="s">
        <v>19</v>
      </c>
      <c r="B1470" s="1" t="s">
        <v>25</v>
      </c>
      <c r="C1470" s="1">
        <v>13</v>
      </c>
      <c r="D1470" s="1">
        <v>144</v>
      </c>
      <c r="E1470" s="1" t="s">
        <v>34</v>
      </c>
      <c r="F1470" s="6" t="s">
        <v>35</v>
      </c>
    </row>
    <row r="1471" spans="1:6" x14ac:dyDescent="0.35">
      <c r="A1471" s="5" t="s">
        <v>19</v>
      </c>
      <c r="B1471" s="1" t="s">
        <v>25</v>
      </c>
      <c r="C1471" s="1">
        <v>14</v>
      </c>
      <c r="D1471" s="1">
        <v>110</v>
      </c>
      <c r="E1471" s="1" t="s">
        <v>34</v>
      </c>
      <c r="F1471" s="6" t="s">
        <v>35</v>
      </c>
    </row>
    <row r="1472" spans="1:6" x14ac:dyDescent="0.35">
      <c r="A1472" s="5" t="s">
        <v>19</v>
      </c>
      <c r="B1472" s="1" t="s">
        <v>25</v>
      </c>
      <c r="C1472" s="1">
        <v>15</v>
      </c>
      <c r="D1472" s="1">
        <v>245</v>
      </c>
      <c r="E1472" s="1" t="s">
        <v>34</v>
      </c>
      <c r="F1472" s="6" t="s">
        <v>35</v>
      </c>
    </row>
    <row r="1473" spans="1:6" x14ac:dyDescent="0.35">
      <c r="A1473" s="5" t="s">
        <v>19</v>
      </c>
      <c r="B1473" s="1" t="s">
        <v>25</v>
      </c>
      <c r="C1473" s="1">
        <v>16</v>
      </c>
      <c r="D1473" s="1">
        <v>331</v>
      </c>
      <c r="E1473" s="1" t="s">
        <v>34</v>
      </c>
      <c r="F1473" s="6" t="s">
        <v>35</v>
      </c>
    </row>
    <row r="1474" spans="1:6" x14ac:dyDescent="0.35">
      <c r="A1474" s="5" t="s">
        <v>19</v>
      </c>
      <c r="B1474" s="1" t="s">
        <v>25</v>
      </c>
      <c r="C1474" s="1">
        <v>17</v>
      </c>
      <c r="D1474" s="1">
        <v>130</v>
      </c>
      <c r="E1474" s="1" t="s">
        <v>34</v>
      </c>
      <c r="F1474" s="6" t="s">
        <v>35</v>
      </c>
    </row>
    <row r="1475" spans="1:6" x14ac:dyDescent="0.35">
      <c r="A1475" s="5" t="s">
        <v>19</v>
      </c>
      <c r="B1475" s="1" t="s">
        <v>25</v>
      </c>
      <c r="C1475" s="1">
        <v>18</v>
      </c>
      <c r="D1475" s="1">
        <v>169</v>
      </c>
      <c r="E1475" s="1" t="s">
        <v>34</v>
      </c>
      <c r="F1475" s="6" t="s">
        <v>35</v>
      </c>
    </row>
    <row r="1476" spans="1:6" x14ac:dyDescent="0.35">
      <c r="A1476" s="5" t="s">
        <v>19</v>
      </c>
      <c r="B1476" s="1" t="s">
        <v>25</v>
      </c>
      <c r="C1476" s="1">
        <v>19</v>
      </c>
      <c r="D1476" s="1">
        <v>303</v>
      </c>
      <c r="E1476" s="1" t="s">
        <v>34</v>
      </c>
      <c r="F1476" s="6" t="s">
        <v>35</v>
      </c>
    </row>
    <row r="1477" spans="1:6" x14ac:dyDescent="0.35">
      <c r="A1477" s="5" t="s">
        <v>19</v>
      </c>
      <c r="B1477" s="1" t="s">
        <v>25</v>
      </c>
      <c r="C1477" s="1">
        <v>20</v>
      </c>
      <c r="D1477" s="1">
        <v>210</v>
      </c>
      <c r="E1477" s="1" t="s">
        <v>34</v>
      </c>
      <c r="F1477" s="6" t="s">
        <v>35</v>
      </c>
    </row>
    <row r="1478" spans="1:6" x14ac:dyDescent="0.35">
      <c r="A1478" s="5" t="s">
        <v>19</v>
      </c>
      <c r="B1478" s="1" t="s">
        <v>25</v>
      </c>
      <c r="C1478" s="1">
        <v>21</v>
      </c>
      <c r="D1478" s="1">
        <v>209</v>
      </c>
      <c r="E1478" s="1" t="s">
        <v>34</v>
      </c>
      <c r="F1478" s="6" t="s">
        <v>35</v>
      </c>
    </row>
    <row r="1479" spans="1:6" x14ac:dyDescent="0.35">
      <c r="A1479" s="5" t="s">
        <v>19</v>
      </c>
      <c r="B1479" s="1" t="s">
        <v>25</v>
      </c>
      <c r="C1479" s="1">
        <v>22</v>
      </c>
      <c r="D1479" s="1">
        <v>359</v>
      </c>
      <c r="E1479" s="1" t="s">
        <v>34</v>
      </c>
      <c r="F1479" s="6" t="s">
        <v>35</v>
      </c>
    </row>
    <row r="1480" spans="1:6" x14ac:dyDescent="0.35">
      <c r="A1480" s="5" t="s">
        <v>19</v>
      </c>
      <c r="B1480" s="1" t="s">
        <v>25</v>
      </c>
      <c r="C1480" s="1">
        <v>23</v>
      </c>
      <c r="D1480" s="1">
        <v>413</v>
      </c>
      <c r="E1480" s="1" t="s">
        <v>34</v>
      </c>
      <c r="F1480" s="6" t="s">
        <v>35</v>
      </c>
    </row>
    <row r="1481" spans="1:6" x14ac:dyDescent="0.35">
      <c r="A1481" s="5" t="s">
        <v>19</v>
      </c>
      <c r="B1481" s="1" t="s">
        <v>25</v>
      </c>
      <c r="C1481" s="1">
        <v>24</v>
      </c>
      <c r="D1481" s="1">
        <v>392</v>
      </c>
      <c r="E1481" s="1" t="s">
        <v>34</v>
      </c>
      <c r="F1481" s="6" t="s">
        <v>35</v>
      </c>
    </row>
    <row r="1482" spans="1:6" x14ac:dyDescent="0.35">
      <c r="A1482" s="5" t="s">
        <v>19</v>
      </c>
      <c r="B1482" s="1" t="s">
        <v>25</v>
      </c>
      <c r="C1482" s="1">
        <v>25</v>
      </c>
      <c r="D1482" s="1">
        <v>176</v>
      </c>
      <c r="E1482" s="1" t="s">
        <v>34</v>
      </c>
      <c r="F1482" s="6" t="s">
        <v>35</v>
      </c>
    </row>
    <row r="1483" spans="1:6" x14ac:dyDescent="0.35">
      <c r="A1483" s="5" t="s">
        <v>19</v>
      </c>
      <c r="B1483" s="1" t="s">
        <v>25</v>
      </c>
      <c r="C1483" s="1">
        <v>26</v>
      </c>
      <c r="D1483" s="1">
        <v>448</v>
      </c>
      <c r="E1483" s="1" t="s">
        <v>34</v>
      </c>
      <c r="F1483" s="6" t="s">
        <v>35</v>
      </c>
    </row>
    <row r="1484" spans="1:6" x14ac:dyDescent="0.35">
      <c r="A1484" s="5" t="s">
        <v>19</v>
      </c>
      <c r="B1484" s="1" t="s">
        <v>25</v>
      </c>
      <c r="C1484" s="1">
        <v>27</v>
      </c>
      <c r="D1484" s="1">
        <v>406</v>
      </c>
      <c r="E1484" s="1" t="s">
        <v>34</v>
      </c>
      <c r="F1484" s="6" t="s">
        <v>35</v>
      </c>
    </row>
    <row r="1485" spans="1:6" x14ac:dyDescent="0.35">
      <c r="A1485" s="5" t="s">
        <v>19</v>
      </c>
      <c r="B1485" s="1" t="s">
        <v>25</v>
      </c>
      <c r="C1485" s="1">
        <v>28</v>
      </c>
      <c r="D1485" s="1">
        <v>399</v>
      </c>
      <c r="E1485" s="1" t="s">
        <v>34</v>
      </c>
      <c r="F1485" s="6" t="s">
        <v>35</v>
      </c>
    </row>
    <row r="1486" spans="1:6" x14ac:dyDescent="0.35">
      <c r="A1486" s="5" t="s">
        <v>19</v>
      </c>
      <c r="B1486" s="1" t="s">
        <v>25</v>
      </c>
      <c r="C1486" s="1">
        <v>29</v>
      </c>
      <c r="D1486" s="1">
        <v>279</v>
      </c>
      <c r="E1486" s="1" t="s">
        <v>34</v>
      </c>
      <c r="F1486" s="6" t="s">
        <v>35</v>
      </c>
    </row>
    <row r="1487" spans="1:6" x14ac:dyDescent="0.35">
      <c r="A1487" s="5" t="s">
        <v>19</v>
      </c>
      <c r="B1487" s="1" t="s">
        <v>25</v>
      </c>
      <c r="C1487" s="1">
        <v>30</v>
      </c>
      <c r="D1487" s="1">
        <v>416</v>
      </c>
      <c r="E1487" s="1" t="s">
        <v>34</v>
      </c>
      <c r="F1487" s="6" t="s">
        <v>35</v>
      </c>
    </row>
    <row r="1488" spans="1:6" x14ac:dyDescent="0.35">
      <c r="A1488" s="5" t="s">
        <v>19</v>
      </c>
      <c r="B1488" s="1" t="s">
        <v>25</v>
      </c>
      <c r="C1488" s="1">
        <v>31</v>
      </c>
      <c r="D1488" s="1">
        <v>577</v>
      </c>
      <c r="E1488" s="1" t="s">
        <v>34</v>
      </c>
      <c r="F1488" s="6" t="s">
        <v>35</v>
      </c>
    </row>
    <row r="1489" spans="1:6" x14ac:dyDescent="0.35">
      <c r="A1489" s="5" t="s">
        <v>19</v>
      </c>
      <c r="B1489" s="1" t="s">
        <v>25</v>
      </c>
      <c r="C1489" s="1">
        <v>32</v>
      </c>
      <c r="D1489" s="1">
        <v>283</v>
      </c>
      <c r="E1489" s="1" t="s">
        <v>34</v>
      </c>
      <c r="F1489" s="6" t="s">
        <v>35</v>
      </c>
    </row>
    <row r="1490" spans="1:6" x14ac:dyDescent="0.35">
      <c r="A1490" s="5" t="s">
        <v>19</v>
      </c>
      <c r="B1490" s="1" t="s">
        <v>25</v>
      </c>
      <c r="C1490" s="1">
        <v>33</v>
      </c>
      <c r="D1490" s="1">
        <v>320</v>
      </c>
      <c r="E1490" s="1" t="s">
        <v>34</v>
      </c>
      <c r="F1490" s="6" t="s">
        <v>35</v>
      </c>
    </row>
    <row r="1491" spans="1:6" x14ac:dyDescent="0.35">
      <c r="A1491" s="5" t="s">
        <v>19</v>
      </c>
      <c r="B1491" s="1" t="s">
        <v>25</v>
      </c>
      <c r="C1491" s="1">
        <v>34</v>
      </c>
      <c r="D1491" s="1">
        <v>425</v>
      </c>
      <c r="E1491" s="1" t="s">
        <v>34</v>
      </c>
      <c r="F1491" s="6" t="s">
        <v>35</v>
      </c>
    </row>
    <row r="1492" spans="1:6" x14ac:dyDescent="0.35">
      <c r="A1492" s="5" t="s">
        <v>19</v>
      </c>
      <c r="B1492" s="1" t="s">
        <v>25</v>
      </c>
      <c r="C1492" s="1">
        <v>35</v>
      </c>
      <c r="D1492" s="1">
        <v>295</v>
      </c>
      <c r="E1492" s="1" t="s">
        <v>34</v>
      </c>
      <c r="F1492" s="6" t="s">
        <v>35</v>
      </c>
    </row>
    <row r="1493" spans="1:6" x14ac:dyDescent="0.35">
      <c r="A1493" s="5" t="s">
        <v>19</v>
      </c>
      <c r="B1493" s="1" t="s">
        <v>25</v>
      </c>
      <c r="C1493" s="1">
        <v>36</v>
      </c>
      <c r="D1493" s="1">
        <v>325</v>
      </c>
      <c r="E1493" s="1" t="s">
        <v>34</v>
      </c>
      <c r="F1493" s="6" t="s">
        <v>35</v>
      </c>
    </row>
    <row r="1494" spans="1:6" x14ac:dyDescent="0.35">
      <c r="A1494" s="5" t="s">
        <v>19</v>
      </c>
      <c r="B1494" s="1" t="s">
        <v>25</v>
      </c>
      <c r="C1494" s="1">
        <v>37</v>
      </c>
      <c r="D1494" s="1">
        <v>244</v>
      </c>
      <c r="E1494" s="1" t="s">
        <v>34</v>
      </c>
      <c r="F1494" s="6" t="s">
        <v>35</v>
      </c>
    </row>
    <row r="1495" spans="1:6" x14ac:dyDescent="0.35">
      <c r="A1495" s="5" t="s">
        <v>19</v>
      </c>
      <c r="B1495" s="1" t="s">
        <v>25</v>
      </c>
      <c r="C1495" s="1">
        <v>38</v>
      </c>
      <c r="D1495" s="1">
        <v>268</v>
      </c>
      <c r="E1495" s="1" t="s">
        <v>34</v>
      </c>
      <c r="F1495" s="6" t="s">
        <v>35</v>
      </c>
    </row>
    <row r="1496" spans="1:6" x14ac:dyDescent="0.35">
      <c r="A1496" s="5" t="s">
        <v>19</v>
      </c>
      <c r="B1496" s="1" t="s">
        <v>25</v>
      </c>
      <c r="C1496" s="1">
        <v>39</v>
      </c>
      <c r="D1496" s="1">
        <v>884</v>
      </c>
      <c r="E1496" s="1" t="s">
        <v>34</v>
      </c>
      <c r="F1496" s="6" t="s">
        <v>35</v>
      </c>
    </row>
    <row r="1497" spans="1:6" x14ac:dyDescent="0.35">
      <c r="A1497" s="5" t="s">
        <v>19</v>
      </c>
      <c r="B1497" s="1" t="s">
        <v>25</v>
      </c>
      <c r="C1497" s="1">
        <v>40</v>
      </c>
      <c r="D1497" s="1">
        <v>445</v>
      </c>
      <c r="E1497" s="1" t="s">
        <v>34</v>
      </c>
      <c r="F1497" s="6" t="s">
        <v>35</v>
      </c>
    </row>
    <row r="1498" spans="1:6" x14ac:dyDescent="0.35">
      <c r="A1498" s="5" t="s">
        <v>19</v>
      </c>
      <c r="B1498" s="1" t="s">
        <v>25</v>
      </c>
      <c r="C1498" s="1">
        <v>41</v>
      </c>
      <c r="D1498" s="1">
        <v>325</v>
      </c>
      <c r="E1498" s="1" t="s">
        <v>34</v>
      </c>
      <c r="F1498" s="6" t="s">
        <v>35</v>
      </c>
    </row>
    <row r="1499" spans="1:6" x14ac:dyDescent="0.35">
      <c r="A1499" s="5" t="s">
        <v>19</v>
      </c>
      <c r="B1499" s="1" t="s">
        <v>25</v>
      </c>
      <c r="C1499" s="1">
        <v>42</v>
      </c>
      <c r="D1499" s="1">
        <v>198</v>
      </c>
      <c r="E1499" s="1" t="s">
        <v>34</v>
      </c>
      <c r="F1499" s="6" t="s">
        <v>35</v>
      </c>
    </row>
    <row r="1500" spans="1:6" x14ac:dyDescent="0.35">
      <c r="A1500" s="5" t="s">
        <v>19</v>
      </c>
      <c r="B1500" s="1" t="s">
        <v>25</v>
      </c>
      <c r="C1500" s="1">
        <v>43</v>
      </c>
      <c r="D1500" s="1">
        <v>553</v>
      </c>
      <c r="E1500" s="1" t="s">
        <v>34</v>
      </c>
      <c r="F1500" s="6" t="s">
        <v>35</v>
      </c>
    </row>
    <row r="1501" spans="1:6" x14ac:dyDescent="0.35">
      <c r="A1501" s="5" t="s">
        <v>19</v>
      </c>
      <c r="B1501" s="1" t="s">
        <v>25</v>
      </c>
      <c r="C1501" s="1">
        <v>44</v>
      </c>
      <c r="D1501" s="1">
        <v>177</v>
      </c>
      <c r="E1501" s="1" t="s">
        <v>34</v>
      </c>
      <c r="F1501" s="6" t="s">
        <v>35</v>
      </c>
    </row>
    <row r="1502" spans="1:6" x14ac:dyDescent="0.35">
      <c r="A1502" s="5" t="s">
        <v>19</v>
      </c>
      <c r="B1502" s="1" t="s">
        <v>25</v>
      </c>
      <c r="C1502" s="1">
        <v>45</v>
      </c>
      <c r="D1502" s="1">
        <v>239</v>
      </c>
      <c r="E1502" s="1" t="s">
        <v>34</v>
      </c>
      <c r="F1502" s="6" t="s">
        <v>35</v>
      </c>
    </row>
    <row r="1503" spans="1:6" x14ac:dyDescent="0.35">
      <c r="A1503" s="5" t="s">
        <v>19</v>
      </c>
      <c r="B1503" s="1" t="s">
        <v>25</v>
      </c>
      <c r="C1503" s="1">
        <v>46</v>
      </c>
      <c r="D1503" s="1">
        <v>930</v>
      </c>
      <c r="E1503" s="1" t="s">
        <v>34</v>
      </c>
      <c r="F1503" s="6" t="s">
        <v>35</v>
      </c>
    </row>
    <row r="1504" spans="1:6" x14ac:dyDescent="0.35">
      <c r="A1504" s="5" t="s">
        <v>19</v>
      </c>
      <c r="B1504" s="1" t="s">
        <v>25</v>
      </c>
      <c r="C1504" s="1">
        <v>47</v>
      </c>
      <c r="D1504" s="1">
        <v>593</v>
      </c>
      <c r="E1504" s="1" t="s">
        <v>34</v>
      </c>
      <c r="F1504" s="6" t="s">
        <v>35</v>
      </c>
    </row>
    <row r="1505" spans="1:6" x14ac:dyDescent="0.35">
      <c r="A1505" s="5" t="s">
        <v>19</v>
      </c>
      <c r="B1505" s="1" t="s">
        <v>25</v>
      </c>
      <c r="C1505" s="1">
        <v>48</v>
      </c>
      <c r="D1505" s="1">
        <v>846</v>
      </c>
      <c r="E1505" s="1" t="s">
        <v>34</v>
      </c>
      <c r="F1505" s="6" t="s">
        <v>35</v>
      </c>
    </row>
    <row r="1506" spans="1:6" x14ac:dyDescent="0.35">
      <c r="A1506" s="5" t="s">
        <v>19</v>
      </c>
      <c r="B1506" s="1" t="s">
        <v>25</v>
      </c>
      <c r="C1506" s="1">
        <v>49</v>
      </c>
      <c r="D1506" s="1">
        <v>401</v>
      </c>
      <c r="E1506" s="1" t="s">
        <v>34</v>
      </c>
      <c r="F1506" s="6" t="s">
        <v>35</v>
      </c>
    </row>
    <row r="1507" spans="1:6" x14ac:dyDescent="0.35">
      <c r="A1507" s="5" t="s">
        <v>19</v>
      </c>
      <c r="B1507" s="1" t="s">
        <v>25</v>
      </c>
      <c r="C1507" s="1">
        <v>50</v>
      </c>
      <c r="D1507" s="1">
        <v>429</v>
      </c>
      <c r="E1507" s="1" t="s">
        <v>34</v>
      </c>
      <c r="F1507" s="6" t="s">
        <v>35</v>
      </c>
    </row>
    <row r="1508" spans="1:6" x14ac:dyDescent="0.35">
      <c r="A1508" s="5" t="s">
        <v>19</v>
      </c>
      <c r="B1508" s="1" t="s">
        <v>25</v>
      </c>
      <c r="C1508" s="1">
        <v>51</v>
      </c>
      <c r="D1508" s="1">
        <v>695</v>
      </c>
      <c r="E1508" s="1" t="s">
        <v>34</v>
      </c>
      <c r="F1508" s="6" t="s">
        <v>35</v>
      </c>
    </row>
    <row r="1509" spans="1:6" x14ac:dyDescent="0.35">
      <c r="A1509" s="5" t="s">
        <v>19</v>
      </c>
      <c r="B1509" s="1" t="s">
        <v>25</v>
      </c>
      <c r="C1509" s="1">
        <v>52</v>
      </c>
      <c r="D1509" s="1">
        <v>294</v>
      </c>
      <c r="E1509" s="1" t="s">
        <v>34</v>
      </c>
      <c r="F1509" s="6" t="s">
        <v>35</v>
      </c>
    </row>
    <row r="1510" spans="1:6" x14ac:dyDescent="0.35">
      <c r="A1510" s="5" t="s">
        <v>6</v>
      </c>
      <c r="B1510" s="1" t="s">
        <v>44</v>
      </c>
      <c r="C1510" s="1">
        <v>1</v>
      </c>
      <c r="D1510" s="1">
        <v>167</v>
      </c>
      <c r="E1510" s="1" t="s">
        <v>34</v>
      </c>
      <c r="F1510" s="6" t="s">
        <v>35</v>
      </c>
    </row>
    <row r="1511" spans="1:6" x14ac:dyDescent="0.35">
      <c r="A1511" s="5" t="s">
        <v>6</v>
      </c>
      <c r="B1511" s="1" t="s">
        <v>44</v>
      </c>
      <c r="C1511" s="1">
        <v>2</v>
      </c>
      <c r="D1511" s="1">
        <v>62</v>
      </c>
      <c r="E1511" s="1" t="s">
        <v>34</v>
      </c>
      <c r="F1511" s="6" t="s">
        <v>35</v>
      </c>
    </row>
    <row r="1512" spans="1:6" x14ac:dyDescent="0.35">
      <c r="A1512" s="5" t="s">
        <v>6</v>
      </c>
      <c r="B1512" s="1" t="s">
        <v>44</v>
      </c>
      <c r="C1512" s="1">
        <v>3</v>
      </c>
      <c r="D1512" s="1">
        <v>48</v>
      </c>
      <c r="E1512" s="1" t="s">
        <v>34</v>
      </c>
      <c r="F1512" s="6" t="s">
        <v>35</v>
      </c>
    </row>
    <row r="1513" spans="1:6" x14ac:dyDescent="0.35">
      <c r="A1513" s="5" t="s">
        <v>6</v>
      </c>
      <c r="B1513" s="1" t="s">
        <v>44</v>
      </c>
      <c r="C1513" s="1">
        <v>4</v>
      </c>
      <c r="D1513" s="1">
        <v>41</v>
      </c>
      <c r="E1513" s="1" t="s">
        <v>34</v>
      </c>
      <c r="F1513" s="6" t="s">
        <v>35</v>
      </c>
    </row>
    <row r="1514" spans="1:6" x14ac:dyDescent="0.35">
      <c r="A1514" s="5" t="s">
        <v>6</v>
      </c>
      <c r="B1514" s="1" t="s">
        <v>44</v>
      </c>
      <c r="C1514" s="1">
        <v>5</v>
      </c>
      <c r="D1514" s="1">
        <v>212</v>
      </c>
      <c r="E1514" s="1" t="s">
        <v>34</v>
      </c>
      <c r="F1514" s="6" t="s">
        <v>35</v>
      </c>
    </row>
    <row r="1515" spans="1:6" x14ac:dyDescent="0.35">
      <c r="A1515" s="5" t="s">
        <v>6</v>
      </c>
      <c r="B1515" s="1" t="s">
        <v>44</v>
      </c>
      <c r="C1515" s="1">
        <v>6</v>
      </c>
      <c r="D1515" s="1">
        <v>139</v>
      </c>
      <c r="E1515" s="1" t="s">
        <v>34</v>
      </c>
      <c r="F1515" s="6" t="s">
        <v>35</v>
      </c>
    </row>
    <row r="1516" spans="1:6" x14ac:dyDescent="0.35">
      <c r="A1516" s="5" t="s">
        <v>6</v>
      </c>
      <c r="B1516" s="1" t="s">
        <v>44</v>
      </c>
      <c r="C1516" s="1">
        <v>7</v>
      </c>
      <c r="D1516" s="1">
        <v>76</v>
      </c>
      <c r="E1516" s="1" t="s">
        <v>34</v>
      </c>
      <c r="F1516" s="6" t="s">
        <v>35</v>
      </c>
    </row>
    <row r="1517" spans="1:6" x14ac:dyDescent="0.35">
      <c r="A1517" s="5" t="s">
        <v>6</v>
      </c>
      <c r="B1517" s="1" t="s">
        <v>44</v>
      </c>
      <c r="C1517" s="1">
        <v>8</v>
      </c>
      <c r="D1517" s="1">
        <v>190</v>
      </c>
      <c r="E1517" s="1" t="s">
        <v>34</v>
      </c>
      <c r="F1517" s="6" t="s">
        <v>35</v>
      </c>
    </row>
    <row r="1518" spans="1:6" x14ac:dyDescent="0.35">
      <c r="A1518" s="5" t="s">
        <v>6</v>
      </c>
      <c r="B1518" s="1" t="s">
        <v>44</v>
      </c>
      <c r="C1518" s="1">
        <v>9</v>
      </c>
      <c r="D1518" s="1">
        <v>81</v>
      </c>
      <c r="E1518" s="1" t="s">
        <v>34</v>
      </c>
      <c r="F1518" s="6" t="s">
        <v>35</v>
      </c>
    </row>
    <row r="1519" spans="1:6" x14ac:dyDescent="0.35">
      <c r="A1519" s="5" t="s">
        <v>6</v>
      </c>
      <c r="B1519" s="1" t="s">
        <v>44</v>
      </c>
      <c r="C1519" s="1">
        <v>10</v>
      </c>
      <c r="D1519" s="1">
        <v>115</v>
      </c>
      <c r="E1519" s="1" t="s">
        <v>34</v>
      </c>
      <c r="F1519" s="6" t="s">
        <v>35</v>
      </c>
    </row>
    <row r="1520" spans="1:6" x14ac:dyDescent="0.35">
      <c r="A1520" s="5" t="s">
        <v>6</v>
      </c>
      <c r="B1520" s="1" t="s">
        <v>44</v>
      </c>
      <c r="C1520" s="1">
        <v>11</v>
      </c>
      <c r="D1520" s="1">
        <v>105</v>
      </c>
      <c r="E1520" s="1" t="s">
        <v>34</v>
      </c>
      <c r="F1520" s="6" t="s">
        <v>35</v>
      </c>
    </row>
    <row r="1521" spans="1:6" x14ac:dyDescent="0.35">
      <c r="A1521" s="5" t="s">
        <v>6</v>
      </c>
      <c r="B1521" s="1" t="s">
        <v>44</v>
      </c>
      <c r="C1521" s="1">
        <v>12</v>
      </c>
      <c r="D1521" s="1">
        <v>162</v>
      </c>
      <c r="E1521" s="1" t="s">
        <v>34</v>
      </c>
      <c r="F1521" s="6" t="s">
        <v>35</v>
      </c>
    </row>
    <row r="1522" spans="1:6" x14ac:dyDescent="0.35">
      <c r="A1522" s="5" t="s">
        <v>6</v>
      </c>
      <c r="B1522" s="1" t="s">
        <v>44</v>
      </c>
      <c r="C1522" s="1">
        <v>13</v>
      </c>
      <c r="D1522" s="1">
        <v>130</v>
      </c>
      <c r="E1522" s="1" t="s">
        <v>34</v>
      </c>
      <c r="F1522" s="6" t="s">
        <v>35</v>
      </c>
    </row>
    <row r="1523" spans="1:6" x14ac:dyDescent="0.35">
      <c r="A1523" s="5" t="s">
        <v>6</v>
      </c>
      <c r="B1523" s="1" t="s">
        <v>44</v>
      </c>
      <c r="C1523" s="1">
        <v>14</v>
      </c>
      <c r="D1523" s="1">
        <v>142</v>
      </c>
      <c r="E1523" s="1" t="s">
        <v>34</v>
      </c>
      <c r="F1523" s="6" t="s">
        <v>35</v>
      </c>
    </row>
    <row r="1524" spans="1:6" x14ac:dyDescent="0.35">
      <c r="A1524" s="5" t="s">
        <v>6</v>
      </c>
      <c r="B1524" s="1" t="s">
        <v>44</v>
      </c>
      <c r="C1524" s="1">
        <v>15</v>
      </c>
      <c r="D1524" s="1">
        <v>195</v>
      </c>
      <c r="E1524" s="1" t="s">
        <v>34</v>
      </c>
      <c r="F1524" s="6" t="s">
        <v>35</v>
      </c>
    </row>
    <row r="1525" spans="1:6" x14ac:dyDescent="0.35">
      <c r="A1525" s="5" t="s">
        <v>6</v>
      </c>
      <c r="B1525" s="1" t="s">
        <v>44</v>
      </c>
      <c r="C1525" s="1">
        <v>16</v>
      </c>
      <c r="D1525" s="1">
        <v>79</v>
      </c>
      <c r="E1525" s="1" t="s">
        <v>34</v>
      </c>
      <c r="F1525" s="6" t="s">
        <v>35</v>
      </c>
    </row>
    <row r="1526" spans="1:6" x14ac:dyDescent="0.35">
      <c r="A1526" s="5" t="s">
        <v>6</v>
      </c>
      <c r="B1526" s="1" t="s">
        <v>44</v>
      </c>
      <c r="C1526" s="1">
        <v>17</v>
      </c>
      <c r="D1526" s="1">
        <v>66</v>
      </c>
      <c r="E1526" s="1" t="s">
        <v>34</v>
      </c>
      <c r="F1526" s="6" t="s">
        <v>35</v>
      </c>
    </row>
    <row r="1527" spans="1:6" x14ac:dyDescent="0.35">
      <c r="A1527" s="5" t="s">
        <v>6</v>
      </c>
      <c r="B1527" s="1" t="s">
        <v>44</v>
      </c>
      <c r="C1527" s="1">
        <v>18</v>
      </c>
      <c r="D1527" s="1">
        <v>212</v>
      </c>
      <c r="E1527" s="1" t="s">
        <v>34</v>
      </c>
      <c r="F1527" s="6" t="s">
        <v>35</v>
      </c>
    </row>
    <row r="1528" spans="1:6" x14ac:dyDescent="0.35">
      <c r="A1528" s="5" t="s">
        <v>6</v>
      </c>
      <c r="B1528" s="1" t="s">
        <v>44</v>
      </c>
      <c r="C1528" s="1">
        <v>19</v>
      </c>
      <c r="D1528" s="1">
        <v>99</v>
      </c>
      <c r="E1528" s="1" t="s">
        <v>34</v>
      </c>
      <c r="F1528" s="6" t="s">
        <v>35</v>
      </c>
    </row>
    <row r="1529" spans="1:6" x14ac:dyDescent="0.35">
      <c r="A1529" s="5" t="s">
        <v>6</v>
      </c>
      <c r="B1529" s="1" t="s">
        <v>44</v>
      </c>
      <c r="C1529" s="1">
        <v>20</v>
      </c>
      <c r="D1529" s="1">
        <v>181</v>
      </c>
      <c r="E1529" s="1" t="s">
        <v>34</v>
      </c>
      <c r="F1529" s="6" t="s">
        <v>35</v>
      </c>
    </row>
    <row r="1530" spans="1:6" x14ac:dyDescent="0.35">
      <c r="A1530" s="5" t="s">
        <v>6</v>
      </c>
      <c r="B1530" s="1" t="s">
        <v>44</v>
      </c>
      <c r="C1530" s="1">
        <v>21</v>
      </c>
      <c r="D1530" s="1">
        <v>55</v>
      </c>
      <c r="E1530" s="1" t="s">
        <v>34</v>
      </c>
      <c r="F1530" s="6" t="s">
        <v>35</v>
      </c>
    </row>
    <row r="1531" spans="1:6" x14ac:dyDescent="0.35">
      <c r="A1531" s="5" t="s">
        <v>6</v>
      </c>
      <c r="B1531" s="1" t="s">
        <v>44</v>
      </c>
      <c r="C1531" s="1">
        <v>22</v>
      </c>
      <c r="D1531" s="1">
        <v>164</v>
      </c>
      <c r="E1531" s="1" t="s">
        <v>34</v>
      </c>
      <c r="F1531" s="6" t="s">
        <v>35</v>
      </c>
    </row>
    <row r="1532" spans="1:6" x14ac:dyDescent="0.35">
      <c r="A1532" s="5" t="s">
        <v>6</v>
      </c>
      <c r="B1532" s="1" t="s">
        <v>44</v>
      </c>
      <c r="C1532" s="1">
        <v>23</v>
      </c>
      <c r="D1532" s="1">
        <v>75</v>
      </c>
      <c r="E1532" s="1" t="s">
        <v>34</v>
      </c>
      <c r="F1532" s="6" t="s">
        <v>35</v>
      </c>
    </row>
    <row r="1533" spans="1:6" x14ac:dyDescent="0.35">
      <c r="A1533" s="5" t="s">
        <v>6</v>
      </c>
      <c r="B1533" s="1" t="s">
        <v>44</v>
      </c>
      <c r="C1533" s="1">
        <v>24</v>
      </c>
      <c r="D1533" s="1">
        <v>227</v>
      </c>
      <c r="E1533" s="1" t="s">
        <v>34</v>
      </c>
      <c r="F1533" s="6" t="s">
        <v>35</v>
      </c>
    </row>
    <row r="1534" spans="1:6" x14ac:dyDescent="0.35">
      <c r="A1534" s="5" t="s">
        <v>6</v>
      </c>
      <c r="B1534" s="1" t="s">
        <v>44</v>
      </c>
      <c r="C1534" s="1">
        <v>25</v>
      </c>
      <c r="D1534" s="1">
        <v>107</v>
      </c>
      <c r="E1534" s="1" t="s">
        <v>34</v>
      </c>
      <c r="F1534" s="6" t="s">
        <v>35</v>
      </c>
    </row>
    <row r="1535" spans="1:6" x14ac:dyDescent="0.35">
      <c r="A1535" s="5" t="s">
        <v>6</v>
      </c>
      <c r="B1535" s="1" t="s">
        <v>44</v>
      </c>
      <c r="C1535" s="1">
        <v>26</v>
      </c>
      <c r="D1535" s="1">
        <v>226</v>
      </c>
      <c r="E1535" s="1" t="s">
        <v>34</v>
      </c>
      <c r="F1535" s="6" t="s">
        <v>35</v>
      </c>
    </row>
    <row r="1536" spans="1:6" x14ac:dyDescent="0.35">
      <c r="A1536" s="5" t="s">
        <v>6</v>
      </c>
      <c r="B1536" s="1" t="s">
        <v>44</v>
      </c>
      <c r="C1536" s="1">
        <v>27</v>
      </c>
      <c r="D1536" s="1">
        <v>244</v>
      </c>
      <c r="E1536" s="1" t="s">
        <v>34</v>
      </c>
      <c r="F1536" s="6" t="s">
        <v>35</v>
      </c>
    </row>
    <row r="1537" spans="1:6" x14ac:dyDescent="0.35">
      <c r="A1537" s="5" t="s">
        <v>6</v>
      </c>
      <c r="B1537" s="1" t="s">
        <v>44</v>
      </c>
      <c r="C1537" s="1">
        <v>28</v>
      </c>
      <c r="D1537" s="1">
        <v>255</v>
      </c>
      <c r="E1537" s="1" t="s">
        <v>34</v>
      </c>
      <c r="F1537" s="6" t="s">
        <v>35</v>
      </c>
    </row>
    <row r="1538" spans="1:6" x14ac:dyDescent="0.35">
      <c r="A1538" s="5" t="s">
        <v>6</v>
      </c>
      <c r="B1538" s="1" t="s">
        <v>44</v>
      </c>
      <c r="C1538" s="1">
        <v>29</v>
      </c>
      <c r="D1538" s="1">
        <v>175</v>
      </c>
      <c r="E1538" s="1" t="s">
        <v>34</v>
      </c>
      <c r="F1538" s="6" t="s">
        <v>35</v>
      </c>
    </row>
    <row r="1539" spans="1:6" x14ac:dyDescent="0.35">
      <c r="A1539" s="5" t="s">
        <v>6</v>
      </c>
      <c r="B1539" s="1" t="s">
        <v>44</v>
      </c>
      <c r="C1539" s="1">
        <v>30</v>
      </c>
      <c r="D1539" s="1">
        <v>96</v>
      </c>
      <c r="E1539" s="1" t="s">
        <v>34</v>
      </c>
      <c r="F1539" s="6" t="s">
        <v>35</v>
      </c>
    </row>
    <row r="1540" spans="1:6" x14ac:dyDescent="0.35">
      <c r="A1540" s="5" t="s">
        <v>6</v>
      </c>
      <c r="B1540" s="1" t="s">
        <v>44</v>
      </c>
      <c r="C1540" s="1">
        <v>31</v>
      </c>
      <c r="D1540" s="1">
        <v>125</v>
      </c>
      <c r="E1540" s="1" t="s">
        <v>34</v>
      </c>
      <c r="F1540" s="6" t="s">
        <v>35</v>
      </c>
    </row>
    <row r="1541" spans="1:6" x14ac:dyDescent="0.35">
      <c r="A1541" s="5" t="s">
        <v>6</v>
      </c>
      <c r="B1541" s="1" t="s">
        <v>44</v>
      </c>
      <c r="C1541" s="1">
        <v>32</v>
      </c>
      <c r="D1541" s="1">
        <v>216</v>
      </c>
      <c r="E1541" s="1" t="s">
        <v>34</v>
      </c>
      <c r="F1541" s="6" t="s">
        <v>35</v>
      </c>
    </row>
    <row r="1542" spans="1:6" x14ac:dyDescent="0.35">
      <c r="A1542" s="5" t="s">
        <v>6</v>
      </c>
      <c r="B1542" s="1" t="s">
        <v>44</v>
      </c>
      <c r="C1542" s="1">
        <v>33</v>
      </c>
      <c r="D1542" s="1">
        <v>96</v>
      </c>
      <c r="E1542" s="1" t="s">
        <v>34</v>
      </c>
      <c r="F1542" s="6" t="s">
        <v>35</v>
      </c>
    </row>
    <row r="1543" spans="1:6" x14ac:dyDescent="0.35">
      <c r="A1543" s="5" t="s">
        <v>6</v>
      </c>
      <c r="B1543" s="1" t="s">
        <v>44</v>
      </c>
      <c r="C1543" s="1">
        <v>34</v>
      </c>
      <c r="D1543" s="1">
        <v>155</v>
      </c>
      <c r="E1543" s="1" t="s">
        <v>34</v>
      </c>
      <c r="F1543" s="6" t="s">
        <v>35</v>
      </c>
    </row>
    <row r="1544" spans="1:6" x14ac:dyDescent="0.35">
      <c r="A1544" s="5" t="s">
        <v>6</v>
      </c>
      <c r="B1544" s="1" t="s">
        <v>44</v>
      </c>
      <c r="C1544" s="1">
        <v>35</v>
      </c>
      <c r="D1544" s="1">
        <v>148</v>
      </c>
      <c r="E1544" s="1" t="s">
        <v>34</v>
      </c>
      <c r="F1544" s="6" t="s">
        <v>35</v>
      </c>
    </row>
    <row r="1545" spans="1:6" x14ac:dyDescent="0.35">
      <c r="A1545" s="5" t="s">
        <v>6</v>
      </c>
      <c r="B1545" s="1" t="s">
        <v>44</v>
      </c>
      <c r="C1545" s="1">
        <v>36</v>
      </c>
      <c r="D1545" s="1">
        <v>83</v>
      </c>
      <c r="E1545" s="1" t="s">
        <v>34</v>
      </c>
      <c r="F1545" s="6" t="s">
        <v>35</v>
      </c>
    </row>
    <row r="1546" spans="1:6" x14ac:dyDescent="0.35">
      <c r="A1546" s="5" t="s">
        <v>6</v>
      </c>
      <c r="B1546" s="1" t="s">
        <v>44</v>
      </c>
      <c r="C1546" s="1">
        <v>37</v>
      </c>
      <c r="D1546" s="1">
        <v>435</v>
      </c>
      <c r="E1546" s="1" t="s">
        <v>34</v>
      </c>
      <c r="F1546" s="6" t="s">
        <v>35</v>
      </c>
    </row>
    <row r="1547" spans="1:6" x14ac:dyDescent="0.35">
      <c r="A1547" s="5" t="s">
        <v>6</v>
      </c>
      <c r="B1547" s="1" t="s">
        <v>44</v>
      </c>
      <c r="C1547" s="1">
        <v>38</v>
      </c>
      <c r="D1547" s="1">
        <v>194</v>
      </c>
      <c r="E1547" s="1" t="s">
        <v>34</v>
      </c>
      <c r="F1547" s="6" t="s">
        <v>35</v>
      </c>
    </row>
    <row r="1548" spans="1:6" x14ac:dyDescent="0.35">
      <c r="A1548" s="5" t="s">
        <v>6</v>
      </c>
      <c r="B1548" s="1" t="s">
        <v>44</v>
      </c>
      <c r="C1548" s="1">
        <v>39</v>
      </c>
      <c r="D1548" s="1">
        <v>205</v>
      </c>
      <c r="E1548" s="1" t="s">
        <v>34</v>
      </c>
      <c r="F1548" s="6" t="s">
        <v>35</v>
      </c>
    </row>
    <row r="1549" spans="1:6" x14ac:dyDescent="0.35">
      <c r="A1549" s="5" t="s">
        <v>6</v>
      </c>
      <c r="B1549" s="1" t="s">
        <v>44</v>
      </c>
      <c r="C1549" s="1">
        <v>40</v>
      </c>
      <c r="D1549" s="1">
        <v>130</v>
      </c>
      <c r="E1549" s="1" t="s">
        <v>34</v>
      </c>
      <c r="F1549" s="6" t="s">
        <v>35</v>
      </c>
    </row>
    <row r="1550" spans="1:6" x14ac:dyDescent="0.35">
      <c r="A1550" s="5" t="s">
        <v>6</v>
      </c>
      <c r="B1550" s="1" t="s">
        <v>44</v>
      </c>
      <c r="C1550" s="1">
        <v>41</v>
      </c>
      <c r="D1550" s="1">
        <v>417</v>
      </c>
      <c r="E1550" s="1" t="s">
        <v>34</v>
      </c>
      <c r="F1550" s="6" t="s">
        <v>35</v>
      </c>
    </row>
    <row r="1551" spans="1:6" x14ac:dyDescent="0.35">
      <c r="A1551" s="5" t="s">
        <v>6</v>
      </c>
      <c r="B1551" s="1" t="s">
        <v>44</v>
      </c>
      <c r="C1551" s="1">
        <v>42</v>
      </c>
      <c r="D1551" s="1">
        <v>158</v>
      </c>
      <c r="E1551" s="1" t="s">
        <v>34</v>
      </c>
      <c r="F1551" s="6" t="s">
        <v>35</v>
      </c>
    </row>
    <row r="1552" spans="1:6" x14ac:dyDescent="0.35">
      <c r="A1552" s="5" t="s">
        <v>6</v>
      </c>
      <c r="B1552" s="1" t="s">
        <v>44</v>
      </c>
      <c r="C1552" s="1">
        <v>43</v>
      </c>
      <c r="D1552" s="1">
        <v>297</v>
      </c>
      <c r="E1552" s="1" t="s">
        <v>34</v>
      </c>
      <c r="F1552" s="6" t="s">
        <v>35</v>
      </c>
    </row>
    <row r="1553" spans="1:6" x14ac:dyDescent="0.35">
      <c r="A1553" s="5" t="s">
        <v>6</v>
      </c>
      <c r="B1553" s="1" t="s">
        <v>44</v>
      </c>
      <c r="C1553" s="1">
        <v>44</v>
      </c>
      <c r="D1553" s="1">
        <v>219</v>
      </c>
      <c r="E1553" s="1" t="s">
        <v>34</v>
      </c>
      <c r="F1553" s="6" t="s">
        <v>35</v>
      </c>
    </row>
    <row r="1554" spans="1:6" x14ac:dyDescent="0.35">
      <c r="A1554" s="5" t="s">
        <v>6</v>
      </c>
      <c r="B1554" s="1" t="s">
        <v>44</v>
      </c>
      <c r="C1554" s="1">
        <v>45</v>
      </c>
      <c r="D1554" s="1">
        <v>282</v>
      </c>
      <c r="E1554" s="1" t="s">
        <v>34</v>
      </c>
      <c r="F1554" s="6" t="s">
        <v>35</v>
      </c>
    </row>
    <row r="1555" spans="1:6" x14ac:dyDescent="0.35">
      <c r="A1555" s="5" t="s">
        <v>6</v>
      </c>
      <c r="B1555" s="1" t="s">
        <v>44</v>
      </c>
      <c r="C1555" s="1">
        <v>46</v>
      </c>
      <c r="D1555" s="1">
        <v>277</v>
      </c>
      <c r="E1555" s="1" t="s">
        <v>34</v>
      </c>
      <c r="F1555" s="6" t="s">
        <v>35</v>
      </c>
    </row>
    <row r="1556" spans="1:6" x14ac:dyDescent="0.35">
      <c r="A1556" s="5" t="s">
        <v>6</v>
      </c>
      <c r="B1556" s="1" t="s">
        <v>44</v>
      </c>
      <c r="C1556" s="1">
        <v>47</v>
      </c>
      <c r="D1556" s="1">
        <v>177</v>
      </c>
      <c r="E1556" s="1" t="s">
        <v>34</v>
      </c>
      <c r="F1556" s="6" t="s">
        <v>35</v>
      </c>
    </row>
    <row r="1557" spans="1:6" x14ac:dyDescent="0.35">
      <c r="A1557" s="5" t="s">
        <v>6</v>
      </c>
      <c r="B1557" s="1" t="s">
        <v>44</v>
      </c>
      <c r="C1557" s="1">
        <v>48</v>
      </c>
      <c r="D1557" s="1">
        <v>111</v>
      </c>
      <c r="E1557" s="1" t="s">
        <v>34</v>
      </c>
      <c r="F1557" s="6" t="s">
        <v>35</v>
      </c>
    </row>
    <row r="1558" spans="1:6" x14ac:dyDescent="0.35">
      <c r="A1558" s="5" t="s">
        <v>6</v>
      </c>
      <c r="B1558" s="1" t="s">
        <v>44</v>
      </c>
      <c r="C1558" s="1">
        <v>49</v>
      </c>
      <c r="D1558" s="1">
        <v>258</v>
      </c>
      <c r="E1558" s="1" t="s">
        <v>34</v>
      </c>
      <c r="F1558" s="6" t="s">
        <v>35</v>
      </c>
    </row>
    <row r="1559" spans="1:6" x14ac:dyDescent="0.35">
      <c r="A1559" s="5" t="s">
        <v>6</v>
      </c>
      <c r="B1559" s="1" t="s">
        <v>44</v>
      </c>
      <c r="C1559" s="1">
        <v>50</v>
      </c>
      <c r="D1559" s="1">
        <v>355</v>
      </c>
      <c r="E1559" s="1" t="s">
        <v>34</v>
      </c>
      <c r="F1559" s="6" t="s">
        <v>35</v>
      </c>
    </row>
    <row r="1560" spans="1:6" x14ac:dyDescent="0.35">
      <c r="A1560" s="5" t="s">
        <v>6</v>
      </c>
      <c r="B1560" s="1" t="s">
        <v>44</v>
      </c>
      <c r="C1560" s="1">
        <v>51</v>
      </c>
      <c r="D1560" s="1">
        <v>163</v>
      </c>
      <c r="E1560" s="1" t="s">
        <v>34</v>
      </c>
      <c r="F1560" s="6" t="s">
        <v>35</v>
      </c>
    </row>
    <row r="1561" spans="1:6" x14ac:dyDescent="0.35">
      <c r="A1561" s="5" t="s">
        <v>6</v>
      </c>
      <c r="B1561" s="1" t="s">
        <v>44</v>
      </c>
      <c r="C1561" s="1">
        <v>52</v>
      </c>
      <c r="D1561" s="1">
        <v>203</v>
      </c>
      <c r="E1561" s="1" t="s">
        <v>34</v>
      </c>
      <c r="F1561" s="6" t="s">
        <v>35</v>
      </c>
    </row>
    <row r="1562" spans="1:6" x14ac:dyDescent="0.35">
      <c r="A1562" s="5" t="s">
        <v>10</v>
      </c>
      <c r="B1562" s="1" t="s">
        <v>44</v>
      </c>
      <c r="C1562" s="1">
        <v>1</v>
      </c>
      <c r="D1562" s="1">
        <v>225</v>
      </c>
      <c r="E1562" s="1" t="s">
        <v>36</v>
      </c>
      <c r="F1562" s="6" t="s">
        <v>37</v>
      </c>
    </row>
    <row r="1563" spans="1:6" x14ac:dyDescent="0.35">
      <c r="A1563" s="5" t="s">
        <v>10</v>
      </c>
      <c r="B1563" s="1" t="s">
        <v>44</v>
      </c>
      <c r="C1563" s="1">
        <v>2</v>
      </c>
      <c r="D1563" s="1">
        <v>212</v>
      </c>
      <c r="E1563" s="1" t="s">
        <v>36</v>
      </c>
      <c r="F1563" s="6" t="s">
        <v>37</v>
      </c>
    </row>
    <row r="1564" spans="1:6" x14ac:dyDescent="0.35">
      <c r="A1564" s="5" t="s">
        <v>10</v>
      </c>
      <c r="B1564" s="1" t="s">
        <v>44</v>
      </c>
      <c r="C1564" s="1">
        <v>3</v>
      </c>
      <c r="D1564" s="1">
        <v>61</v>
      </c>
      <c r="E1564" s="1" t="s">
        <v>36</v>
      </c>
      <c r="F1564" s="6" t="s">
        <v>37</v>
      </c>
    </row>
    <row r="1565" spans="1:6" x14ac:dyDescent="0.35">
      <c r="A1565" s="5" t="s">
        <v>10</v>
      </c>
      <c r="B1565" s="1" t="s">
        <v>44</v>
      </c>
      <c r="C1565" s="1">
        <v>4</v>
      </c>
      <c r="D1565" s="1">
        <v>116</v>
      </c>
      <c r="E1565" s="1" t="s">
        <v>36</v>
      </c>
      <c r="F1565" s="6" t="s">
        <v>37</v>
      </c>
    </row>
    <row r="1566" spans="1:6" x14ac:dyDescent="0.35">
      <c r="A1566" s="5" t="s">
        <v>10</v>
      </c>
      <c r="B1566" s="1" t="s">
        <v>44</v>
      </c>
      <c r="C1566" s="1">
        <v>5</v>
      </c>
      <c r="D1566" s="1">
        <v>89</v>
      </c>
      <c r="E1566" s="1" t="s">
        <v>36</v>
      </c>
      <c r="F1566" s="6" t="s">
        <v>37</v>
      </c>
    </row>
    <row r="1567" spans="1:6" x14ac:dyDescent="0.35">
      <c r="A1567" s="5" t="s">
        <v>10</v>
      </c>
      <c r="B1567" s="1" t="s">
        <v>44</v>
      </c>
      <c r="C1567" s="1">
        <v>6</v>
      </c>
      <c r="D1567" s="1">
        <v>209</v>
      </c>
      <c r="E1567" s="1" t="s">
        <v>36</v>
      </c>
      <c r="F1567" s="6" t="s">
        <v>37</v>
      </c>
    </row>
    <row r="1568" spans="1:6" x14ac:dyDescent="0.35">
      <c r="A1568" s="5" t="s">
        <v>10</v>
      </c>
      <c r="B1568" s="1" t="s">
        <v>44</v>
      </c>
      <c r="C1568" s="1">
        <v>7</v>
      </c>
      <c r="D1568" s="1">
        <v>274</v>
      </c>
      <c r="E1568" s="1" t="s">
        <v>36</v>
      </c>
      <c r="F1568" s="6" t="s">
        <v>37</v>
      </c>
    </row>
    <row r="1569" spans="1:6" x14ac:dyDescent="0.35">
      <c r="A1569" s="5" t="s">
        <v>10</v>
      </c>
      <c r="B1569" s="1" t="s">
        <v>44</v>
      </c>
      <c r="C1569" s="1">
        <v>8</v>
      </c>
      <c r="D1569" s="1">
        <v>69</v>
      </c>
      <c r="E1569" s="1" t="s">
        <v>36</v>
      </c>
      <c r="F1569" s="6" t="s">
        <v>37</v>
      </c>
    </row>
    <row r="1570" spans="1:6" x14ac:dyDescent="0.35">
      <c r="A1570" s="5" t="s">
        <v>10</v>
      </c>
      <c r="B1570" s="1" t="s">
        <v>44</v>
      </c>
      <c r="C1570" s="1">
        <v>9</v>
      </c>
      <c r="D1570" s="1">
        <v>238</v>
      </c>
      <c r="E1570" s="1" t="s">
        <v>36</v>
      </c>
      <c r="F1570" s="6" t="s">
        <v>37</v>
      </c>
    </row>
    <row r="1571" spans="1:6" x14ac:dyDescent="0.35">
      <c r="A1571" s="5" t="s">
        <v>10</v>
      </c>
      <c r="B1571" s="1" t="s">
        <v>44</v>
      </c>
      <c r="C1571" s="1">
        <v>10</v>
      </c>
      <c r="D1571" s="1">
        <v>149</v>
      </c>
      <c r="E1571" s="1" t="s">
        <v>36</v>
      </c>
      <c r="F1571" s="6" t="s">
        <v>37</v>
      </c>
    </row>
    <row r="1572" spans="1:6" x14ac:dyDescent="0.35">
      <c r="A1572" s="5" t="s">
        <v>10</v>
      </c>
      <c r="B1572" s="1" t="s">
        <v>44</v>
      </c>
      <c r="C1572" s="1">
        <v>11</v>
      </c>
      <c r="D1572" s="1">
        <v>79</v>
      </c>
      <c r="E1572" s="1" t="s">
        <v>36</v>
      </c>
      <c r="F1572" s="6" t="s">
        <v>37</v>
      </c>
    </row>
    <row r="1573" spans="1:6" x14ac:dyDescent="0.35">
      <c r="A1573" s="5" t="s">
        <v>10</v>
      </c>
      <c r="B1573" s="1" t="s">
        <v>44</v>
      </c>
      <c r="C1573" s="1">
        <v>12</v>
      </c>
      <c r="D1573" s="1">
        <v>235</v>
      </c>
      <c r="E1573" s="1" t="s">
        <v>36</v>
      </c>
      <c r="F1573" s="6" t="s">
        <v>37</v>
      </c>
    </row>
    <row r="1574" spans="1:6" x14ac:dyDescent="0.35">
      <c r="A1574" s="5" t="s">
        <v>10</v>
      </c>
      <c r="B1574" s="1" t="s">
        <v>44</v>
      </c>
      <c r="C1574" s="1">
        <v>13</v>
      </c>
      <c r="D1574" s="1">
        <v>134</v>
      </c>
      <c r="E1574" s="1" t="s">
        <v>36</v>
      </c>
      <c r="F1574" s="6" t="s">
        <v>37</v>
      </c>
    </row>
    <row r="1575" spans="1:6" x14ac:dyDescent="0.35">
      <c r="A1575" s="5" t="s">
        <v>10</v>
      </c>
      <c r="B1575" s="1" t="s">
        <v>44</v>
      </c>
      <c r="C1575" s="1">
        <v>14</v>
      </c>
      <c r="D1575" s="1">
        <v>357</v>
      </c>
      <c r="E1575" s="1" t="s">
        <v>36</v>
      </c>
      <c r="F1575" s="6" t="s">
        <v>37</v>
      </c>
    </row>
    <row r="1576" spans="1:6" x14ac:dyDescent="0.35">
      <c r="A1576" s="5" t="s">
        <v>10</v>
      </c>
      <c r="B1576" s="1" t="s">
        <v>44</v>
      </c>
      <c r="C1576" s="1">
        <v>15</v>
      </c>
      <c r="D1576" s="1">
        <v>272</v>
      </c>
      <c r="E1576" s="1" t="s">
        <v>36</v>
      </c>
      <c r="F1576" s="6" t="s">
        <v>37</v>
      </c>
    </row>
    <row r="1577" spans="1:6" x14ac:dyDescent="0.35">
      <c r="A1577" s="5" t="s">
        <v>10</v>
      </c>
      <c r="B1577" s="1" t="s">
        <v>44</v>
      </c>
      <c r="C1577" s="1">
        <v>16</v>
      </c>
      <c r="D1577" s="1">
        <v>282</v>
      </c>
      <c r="E1577" s="1" t="s">
        <v>36</v>
      </c>
      <c r="F1577" s="6" t="s">
        <v>37</v>
      </c>
    </row>
    <row r="1578" spans="1:6" x14ac:dyDescent="0.35">
      <c r="A1578" s="5" t="s">
        <v>10</v>
      </c>
      <c r="B1578" s="1" t="s">
        <v>44</v>
      </c>
      <c r="C1578" s="1">
        <v>17</v>
      </c>
      <c r="D1578" s="1">
        <v>157</v>
      </c>
      <c r="E1578" s="1" t="s">
        <v>36</v>
      </c>
      <c r="F1578" s="6" t="s">
        <v>37</v>
      </c>
    </row>
    <row r="1579" spans="1:6" x14ac:dyDescent="0.35">
      <c r="A1579" s="5" t="s">
        <v>10</v>
      </c>
      <c r="B1579" s="1" t="s">
        <v>44</v>
      </c>
      <c r="C1579" s="1">
        <v>18</v>
      </c>
      <c r="D1579" s="1">
        <v>106</v>
      </c>
      <c r="E1579" s="1" t="s">
        <v>36</v>
      </c>
      <c r="F1579" s="6" t="s">
        <v>37</v>
      </c>
    </row>
    <row r="1580" spans="1:6" x14ac:dyDescent="0.35">
      <c r="A1580" s="5" t="s">
        <v>10</v>
      </c>
      <c r="B1580" s="1" t="s">
        <v>44</v>
      </c>
      <c r="C1580" s="1">
        <v>19</v>
      </c>
      <c r="D1580" s="1">
        <v>252</v>
      </c>
      <c r="E1580" s="1" t="s">
        <v>36</v>
      </c>
      <c r="F1580" s="6" t="s">
        <v>37</v>
      </c>
    </row>
    <row r="1581" spans="1:6" x14ac:dyDescent="0.35">
      <c r="A1581" s="5" t="s">
        <v>10</v>
      </c>
      <c r="B1581" s="1" t="s">
        <v>44</v>
      </c>
      <c r="C1581" s="1">
        <v>20</v>
      </c>
      <c r="D1581" s="1">
        <v>157</v>
      </c>
      <c r="E1581" s="1" t="s">
        <v>36</v>
      </c>
      <c r="F1581" s="6" t="s">
        <v>37</v>
      </c>
    </row>
    <row r="1582" spans="1:6" x14ac:dyDescent="0.35">
      <c r="A1582" s="5" t="s">
        <v>10</v>
      </c>
      <c r="B1582" s="1" t="s">
        <v>44</v>
      </c>
      <c r="C1582" s="1">
        <v>21</v>
      </c>
      <c r="D1582" s="1">
        <v>383</v>
      </c>
      <c r="E1582" s="1" t="s">
        <v>36</v>
      </c>
      <c r="F1582" s="6" t="s">
        <v>37</v>
      </c>
    </row>
    <row r="1583" spans="1:6" x14ac:dyDescent="0.35">
      <c r="A1583" s="5" t="s">
        <v>10</v>
      </c>
      <c r="B1583" s="1" t="s">
        <v>44</v>
      </c>
      <c r="C1583" s="1">
        <v>22</v>
      </c>
      <c r="D1583" s="1">
        <v>123</v>
      </c>
      <c r="E1583" s="1" t="s">
        <v>36</v>
      </c>
      <c r="F1583" s="6" t="s">
        <v>37</v>
      </c>
    </row>
    <row r="1584" spans="1:6" x14ac:dyDescent="0.35">
      <c r="A1584" s="5" t="s">
        <v>10</v>
      </c>
      <c r="B1584" s="1" t="s">
        <v>44</v>
      </c>
      <c r="C1584" s="1">
        <v>23</v>
      </c>
      <c r="D1584" s="1">
        <v>67</v>
      </c>
      <c r="E1584" s="1" t="s">
        <v>36</v>
      </c>
      <c r="F1584" s="6" t="s">
        <v>37</v>
      </c>
    </row>
    <row r="1585" spans="1:6" x14ac:dyDescent="0.35">
      <c r="A1585" s="5" t="s">
        <v>10</v>
      </c>
      <c r="B1585" s="1" t="s">
        <v>44</v>
      </c>
      <c r="C1585" s="1">
        <v>24</v>
      </c>
      <c r="D1585" s="1">
        <v>68</v>
      </c>
      <c r="E1585" s="1" t="s">
        <v>36</v>
      </c>
      <c r="F1585" s="6" t="s">
        <v>37</v>
      </c>
    </row>
    <row r="1586" spans="1:6" x14ac:dyDescent="0.35">
      <c r="A1586" s="5" t="s">
        <v>10</v>
      </c>
      <c r="B1586" s="1" t="s">
        <v>44</v>
      </c>
      <c r="C1586" s="1">
        <v>25</v>
      </c>
      <c r="D1586" s="1">
        <v>453</v>
      </c>
      <c r="E1586" s="1" t="s">
        <v>36</v>
      </c>
      <c r="F1586" s="6" t="s">
        <v>37</v>
      </c>
    </row>
    <row r="1587" spans="1:6" x14ac:dyDescent="0.35">
      <c r="A1587" s="5" t="s">
        <v>10</v>
      </c>
      <c r="B1587" s="1" t="s">
        <v>44</v>
      </c>
      <c r="C1587" s="1">
        <v>26</v>
      </c>
      <c r="D1587" s="1">
        <v>309</v>
      </c>
      <c r="E1587" s="1" t="s">
        <v>36</v>
      </c>
      <c r="F1587" s="6" t="s">
        <v>37</v>
      </c>
    </row>
    <row r="1588" spans="1:6" x14ac:dyDescent="0.35">
      <c r="A1588" s="5" t="s">
        <v>10</v>
      </c>
      <c r="B1588" s="1" t="s">
        <v>44</v>
      </c>
      <c r="C1588" s="1">
        <v>27</v>
      </c>
      <c r="D1588" s="1">
        <v>249</v>
      </c>
      <c r="E1588" s="1" t="s">
        <v>36</v>
      </c>
      <c r="F1588" s="6" t="s">
        <v>37</v>
      </c>
    </row>
    <row r="1589" spans="1:6" x14ac:dyDescent="0.35">
      <c r="A1589" s="5" t="s">
        <v>10</v>
      </c>
      <c r="B1589" s="1" t="s">
        <v>44</v>
      </c>
      <c r="C1589" s="1">
        <v>28</v>
      </c>
      <c r="D1589" s="1">
        <v>243</v>
      </c>
      <c r="E1589" s="1" t="s">
        <v>36</v>
      </c>
      <c r="F1589" s="6" t="s">
        <v>37</v>
      </c>
    </row>
    <row r="1590" spans="1:6" x14ac:dyDescent="0.35">
      <c r="A1590" s="5" t="s">
        <v>10</v>
      </c>
      <c r="B1590" s="1" t="s">
        <v>44</v>
      </c>
      <c r="C1590" s="1">
        <v>29</v>
      </c>
      <c r="D1590" s="1">
        <v>126</v>
      </c>
      <c r="E1590" s="1" t="s">
        <v>36</v>
      </c>
      <c r="F1590" s="6" t="s">
        <v>37</v>
      </c>
    </row>
    <row r="1591" spans="1:6" x14ac:dyDescent="0.35">
      <c r="A1591" s="5" t="s">
        <v>10</v>
      </c>
      <c r="B1591" s="1" t="s">
        <v>44</v>
      </c>
      <c r="C1591" s="1">
        <v>30</v>
      </c>
      <c r="D1591" s="1">
        <v>394</v>
      </c>
      <c r="E1591" s="1" t="s">
        <v>36</v>
      </c>
      <c r="F1591" s="6" t="s">
        <v>37</v>
      </c>
    </row>
    <row r="1592" spans="1:6" x14ac:dyDescent="0.35">
      <c r="A1592" s="5" t="s">
        <v>10</v>
      </c>
      <c r="B1592" s="1" t="s">
        <v>44</v>
      </c>
      <c r="C1592" s="1">
        <v>31</v>
      </c>
      <c r="D1592" s="1">
        <v>433</v>
      </c>
      <c r="E1592" s="1" t="s">
        <v>36</v>
      </c>
      <c r="F1592" s="6" t="s">
        <v>37</v>
      </c>
    </row>
    <row r="1593" spans="1:6" x14ac:dyDescent="0.35">
      <c r="A1593" s="5" t="s">
        <v>10</v>
      </c>
      <c r="B1593" s="1" t="s">
        <v>44</v>
      </c>
      <c r="C1593" s="1">
        <v>32</v>
      </c>
      <c r="D1593" s="1">
        <v>459</v>
      </c>
      <c r="E1593" s="1" t="s">
        <v>36</v>
      </c>
      <c r="F1593" s="6" t="s">
        <v>37</v>
      </c>
    </row>
    <row r="1594" spans="1:6" x14ac:dyDescent="0.35">
      <c r="A1594" s="5" t="s">
        <v>10</v>
      </c>
      <c r="B1594" s="1" t="s">
        <v>44</v>
      </c>
      <c r="C1594" s="1">
        <v>33</v>
      </c>
      <c r="D1594" s="1">
        <v>235</v>
      </c>
      <c r="E1594" s="1" t="s">
        <v>36</v>
      </c>
      <c r="F1594" s="6" t="s">
        <v>37</v>
      </c>
    </row>
    <row r="1595" spans="1:6" x14ac:dyDescent="0.35">
      <c r="A1595" s="5" t="s">
        <v>10</v>
      </c>
      <c r="B1595" s="1" t="s">
        <v>44</v>
      </c>
      <c r="C1595" s="1">
        <v>34</v>
      </c>
      <c r="D1595" s="1">
        <v>148</v>
      </c>
      <c r="E1595" s="1" t="s">
        <v>36</v>
      </c>
      <c r="F1595" s="6" t="s">
        <v>37</v>
      </c>
    </row>
    <row r="1596" spans="1:6" x14ac:dyDescent="0.35">
      <c r="A1596" s="5" t="s">
        <v>10</v>
      </c>
      <c r="B1596" s="1" t="s">
        <v>44</v>
      </c>
      <c r="C1596" s="1">
        <v>35</v>
      </c>
      <c r="D1596" s="1">
        <v>224</v>
      </c>
      <c r="E1596" s="1" t="s">
        <v>36</v>
      </c>
      <c r="F1596" s="6" t="s">
        <v>37</v>
      </c>
    </row>
    <row r="1597" spans="1:6" x14ac:dyDescent="0.35">
      <c r="A1597" s="5" t="s">
        <v>10</v>
      </c>
      <c r="B1597" s="1" t="s">
        <v>44</v>
      </c>
      <c r="C1597" s="1">
        <v>36</v>
      </c>
      <c r="D1597" s="1">
        <v>76</v>
      </c>
      <c r="E1597" s="1" t="s">
        <v>36</v>
      </c>
      <c r="F1597" s="6" t="s">
        <v>37</v>
      </c>
    </row>
    <row r="1598" spans="1:6" x14ac:dyDescent="0.35">
      <c r="A1598" s="5" t="s">
        <v>10</v>
      </c>
      <c r="B1598" s="1" t="s">
        <v>44</v>
      </c>
      <c r="C1598" s="1">
        <v>37</v>
      </c>
      <c r="D1598" s="1">
        <v>382</v>
      </c>
      <c r="E1598" s="1" t="s">
        <v>36</v>
      </c>
      <c r="F1598" s="6" t="s">
        <v>37</v>
      </c>
    </row>
    <row r="1599" spans="1:6" x14ac:dyDescent="0.35">
      <c r="A1599" s="5" t="s">
        <v>10</v>
      </c>
      <c r="B1599" s="1" t="s">
        <v>44</v>
      </c>
      <c r="C1599" s="1">
        <v>38</v>
      </c>
      <c r="D1599" s="1">
        <v>137</v>
      </c>
      <c r="E1599" s="1" t="s">
        <v>36</v>
      </c>
      <c r="F1599" s="6" t="s">
        <v>37</v>
      </c>
    </row>
    <row r="1600" spans="1:6" x14ac:dyDescent="0.35">
      <c r="A1600" s="5" t="s">
        <v>10</v>
      </c>
      <c r="B1600" s="1" t="s">
        <v>44</v>
      </c>
      <c r="C1600" s="1">
        <v>39</v>
      </c>
      <c r="D1600" s="1">
        <v>265</v>
      </c>
      <c r="E1600" s="1" t="s">
        <v>36</v>
      </c>
      <c r="F1600" s="6" t="s">
        <v>37</v>
      </c>
    </row>
    <row r="1601" spans="1:6" x14ac:dyDescent="0.35">
      <c r="A1601" s="5" t="s">
        <v>10</v>
      </c>
      <c r="B1601" s="1" t="s">
        <v>44</v>
      </c>
      <c r="C1601" s="1">
        <v>40</v>
      </c>
      <c r="D1601" s="1">
        <v>147</v>
      </c>
      <c r="E1601" s="1" t="s">
        <v>36</v>
      </c>
      <c r="F1601" s="6" t="s">
        <v>37</v>
      </c>
    </row>
    <row r="1602" spans="1:6" x14ac:dyDescent="0.35">
      <c r="A1602" s="5" t="s">
        <v>10</v>
      </c>
      <c r="B1602" s="1" t="s">
        <v>44</v>
      </c>
      <c r="C1602" s="1">
        <v>41</v>
      </c>
      <c r="D1602" s="1">
        <v>493</v>
      </c>
      <c r="E1602" s="1" t="s">
        <v>36</v>
      </c>
      <c r="F1602" s="6" t="s">
        <v>37</v>
      </c>
    </row>
    <row r="1603" spans="1:6" x14ac:dyDescent="0.35">
      <c r="A1603" s="5" t="s">
        <v>10</v>
      </c>
      <c r="B1603" s="1" t="s">
        <v>44</v>
      </c>
      <c r="C1603" s="1">
        <v>42</v>
      </c>
      <c r="D1603" s="1">
        <v>156</v>
      </c>
      <c r="E1603" s="1" t="s">
        <v>36</v>
      </c>
      <c r="F1603" s="6" t="s">
        <v>37</v>
      </c>
    </row>
    <row r="1604" spans="1:6" x14ac:dyDescent="0.35">
      <c r="A1604" s="5" t="s">
        <v>10</v>
      </c>
      <c r="B1604" s="1" t="s">
        <v>44</v>
      </c>
      <c r="C1604" s="1">
        <v>43</v>
      </c>
      <c r="D1604" s="1">
        <v>233</v>
      </c>
      <c r="E1604" s="1" t="s">
        <v>36</v>
      </c>
      <c r="F1604" s="6" t="s">
        <v>37</v>
      </c>
    </row>
    <row r="1605" spans="1:6" x14ac:dyDescent="0.35">
      <c r="A1605" s="5" t="s">
        <v>10</v>
      </c>
      <c r="B1605" s="1" t="s">
        <v>44</v>
      </c>
      <c r="C1605" s="1">
        <v>44</v>
      </c>
      <c r="D1605" s="1">
        <v>155</v>
      </c>
      <c r="E1605" s="1" t="s">
        <v>36</v>
      </c>
      <c r="F1605" s="6" t="s">
        <v>37</v>
      </c>
    </row>
    <row r="1606" spans="1:6" x14ac:dyDescent="0.35">
      <c r="A1606" s="5" t="s">
        <v>10</v>
      </c>
      <c r="B1606" s="1" t="s">
        <v>44</v>
      </c>
      <c r="C1606" s="1">
        <v>45</v>
      </c>
      <c r="D1606" s="1">
        <v>206</v>
      </c>
      <c r="E1606" s="1" t="s">
        <v>36</v>
      </c>
      <c r="F1606" s="6" t="s">
        <v>37</v>
      </c>
    </row>
    <row r="1607" spans="1:6" x14ac:dyDescent="0.35">
      <c r="A1607" s="5" t="s">
        <v>10</v>
      </c>
      <c r="B1607" s="1" t="s">
        <v>44</v>
      </c>
      <c r="C1607" s="1">
        <v>46</v>
      </c>
      <c r="D1607" s="1">
        <v>189</v>
      </c>
      <c r="E1607" s="1" t="s">
        <v>36</v>
      </c>
      <c r="F1607" s="6" t="s">
        <v>37</v>
      </c>
    </row>
    <row r="1608" spans="1:6" x14ac:dyDescent="0.35">
      <c r="A1608" s="5" t="s">
        <v>10</v>
      </c>
      <c r="B1608" s="1" t="s">
        <v>44</v>
      </c>
      <c r="C1608" s="1">
        <v>47</v>
      </c>
      <c r="D1608" s="1">
        <v>97</v>
      </c>
      <c r="E1608" s="1" t="s">
        <v>36</v>
      </c>
      <c r="F1608" s="6" t="s">
        <v>37</v>
      </c>
    </row>
    <row r="1609" spans="1:6" x14ac:dyDescent="0.35">
      <c r="A1609" s="5" t="s">
        <v>10</v>
      </c>
      <c r="B1609" s="1" t="s">
        <v>44</v>
      </c>
      <c r="C1609" s="1">
        <v>48</v>
      </c>
      <c r="D1609" s="1">
        <v>136</v>
      </c>
      <c r="E1609" s="1" t="s">
        <v>36</v>
      </c>
      <c r="F1609" s="6" t="s">
        <v>37</v>
      </c>
    </row>
    <row r="1610" spans="1:6" x14ac:dyDescent="0.35">
      <c r="A1610" s="5" t="s">
        <v>10</v>
      </c>
      <c r="B1610" s="1" t="s">
        <v>44</v>
      </c>
      <c r="C1610" s="1">
        <v>49</v>
      </c>
      <c r="D1610" s="1">
        <v>401</v>
      </c>
      <c r="E1610" s="1" t="s">
        <v>36</v>
      </c>
      <c r="F1610" s="6" t="s">
        <v>37</v>
      </c>
    </row>
    <row r="1611" spans="1:6" x14ac:dyDescent="0.35">
      <c r="A1611" s="5" t="s">
        <v>10</v>
      </c>
      <c r="B1611" s="1" t="s">
        <v>44</v>
      </c>
      <c r="C1611" s="1">
        <v>50</v>
      </c>
      <c r="D1611" s="1">
        <v>493</v>
      </c>
      <c r="E1611" s="1" t="s">
        <v>36</v>
      </c>
      <c r="F1611" s="6" t="s">
        <v>37</v>
      </c>
    </row>
    <row r="1612" spans="1:6" x14ac:dyDescent="0.35">
      <c r="A1612" s="5" t="s">
        <v>10</v>
      </c>
      <c r="B1612" s="1" t="s">
        <v>44</v>
      </c>
      <c r="C1612" s="1">
        <v>51</v>
      </c>
      <c r="D1612" s="1">
        <v>257</v>
      </c>
      <c r="E1612" s="1" t="s">
        <v>36</v>
      </c>
      <c r="F1612" s="6" t="s">
        <v>37</v>
      </c>
    </row>
    <row r="1613" spans="1:6" x14ac:dyDescent="0.35">
      <c r="A1613" s="5" t="s">
        <v>10</v>
      </c>
      <c r="B1613" s="1" t="s">
        <v>44</v>
      </c>
      <c r="C1613" s="1">
        <v>52</v>
      </c>
      <c r="D1613" s="1">
        <v>237</v>
      </c>
      <c r="E1613" s="1" t="s">
        <v>36</v>
      </c>
      <c r="F1613" s="6" t="s">
        <v>37</v>
      </c>
    </row>
    <row r="1614" spans="1:6" x14ac:dyDescent="0.35">
      <c r="A1614" s="5" t="s">
        <v>22</v>
      </c>
      <c r="B1614" s="1" t="s">
        <v>25</v>
      </c>
      <c r="C1614" s="1">
        <v>1</v>
      </c>
      <c r="D1614" s="1">
        <v>244</v>
      </c>
      <c r="E1614" s="1" t="s">
        <v>36</v>
      </c>
      <c r="F1614" s="6" t="s">
        <v>37</v>
      </c>
    </row>
    <row r="1615" spans="1:6" x14ac:dyDescent="0.35">
      <c r="A1615" s="5" t="s">
        <v>22</v>
      </c>
      <c r="B1615" s="1" t="s">
        <v>25</v>
      </c>
      <c r="C1615" s="1">
        <v>2</v>
      </c>
      <c r="D1615" s="1">
        <v>160</v>
      </c>
      <c r="E1615" s="1" t="s">
        <v>36</v>
      </c>
      <c r="F1615" s="6" t="s">
        <v>37</v>
      </c>
    </row>
    <row r="1616" spans="1:6" x14ac:dyDescent="0.35">
      <c r="A1616" s="5" t="s">
        <v>22</v>
      </c>
      <c r="B1616" s="1" t="s">
        <v>25</v>
      </c>
      <c r="C1616" s="1">
        <v>3</v>
      </c>
      <c r="D1616" s="1">
        <v>298</v>
      </c>
      <c r="E1616" s="1" t="s">
        <v>36</v>
      </c>
      <c r="F1616" s="6" t="s">
        <v>37</v>
      </c>
    </row>
    <row r="1617" spans="1:6" x14ac:dyDescent="0.35">
      <c r="A1617" s="5" t="s">
        <v>22</v>
      </c>
      <c r="B1617" s="1" t="s">
        <v>25</v>
      </c>
      <c r="C1617" s="1">
        <v>4</v>
      </c>
      <c r="D1617" s="1">
        <v>238</v>
      </c>
      <c r="E1617" s="1" t="s">
        <v>36</v>
      </c>
      <c r="F1617" s="6" t="s">
        <v>37</v>
      </c>
    </row>
    <row r="1618" spans="1:6" x14ac:dyDescent="0.35">
      <c r="A1618" s="5" t="s">
        <v>22</v>
      </c>
      <c r="B1618" s="1" t="s">
        <v>25</v>
      </c>
      <c r="C1618" s="1">
        <v>5</v>
      </c>
      <c r="D1618" s="1">
        <v>316</v>
      </c>
      <c r="E1618" s="1" t="s">
        <v>36</v>
      </c>
      <c r="F1618" s="6" t="s">
        <v>37</v>
      </c>
    </row>
    <row r="1619" spans="1:6" x14ac:dyDescent="0.35">
      <c r="A1619" s="5" t="s">
        <v>22</v>
      </c>
      <c r="B1619" s="1" t="s">
        <v>25</v>
      </c>
      <c r="C1619" s="1">
        <v>6</v>
      </c>
      <c r="D1619" s="1">
        <v>238</v>
      </c>
      <c r="E1619" s="1" t="s">
        <v>36</v>
      </c>
      <c r="F1619" s="6" t="s">
        <v>37</v>
      </c>
    </row>
    <row r="1620" spans="1:6" x14ac:dyDescent="0.35">
      <c r="A1620" s="5" t="s">
        <v>22</v>
      </c>
      <c r="B1620" s="1" t="s">
        <v>25</v>
      </c>
      <c r="C1620" s="1">
        <v>7</v>
      </c>
      <c r="D1620" s="1">
        <v>299</v>
      </c>
      <c r="E1620" s="1" t="s">
        <v>36</v>
      </c>
      <c r="F1620" s="6" t="s">
        <v>37</v>
      </c>
    </row>
    <row r="1621" spans="1:6" x14ac:dyDescent="0.35">
      <c r="A1621" s="5" t="s">
        <v>22</v>
      </c>
      <c r="B1621" s="1" t="s">
        <v>25</v>
      </c>
      <c r="C1621" s="1">
        <v>8</v>
      </c>
      <c r="D1621" s="1">
        <v>326</v>
      </c>
      <c r="E1621" s="1" t="s">
        <v>36</v>
      </c>
      <c r="F1621" s="6" t="s">
        <v>37</v>
      </c>
    </row>
    <row r="1622" spans="1:6" x14ac:dyDescent="0.35">
      <c r="A1622" s="5" t="s">
        <v>22</v>
      </c>
      <c r="B1622" s="1" t="s">
        <v>25</v>
      </c>
      <c r="C1622" s="1">
        <v>9</v>
      </c>
      <c r="D1622" s="1">
        <v>114</v>
      </c>
      <c r="E1622" s="1" t="s">
        <v>36</v>
      </c>
      <c r="F1622" s="6" t="s">
        <v>37</v>
      </c>
    </row>
    <row r="1623" spans="1:6" x14ac:dyDescent="0.35">
      <c r="A1623" s="5" t="s">
        <v>22</v>
      </c>
      <c r="B1623" s="1" t="s">
        <v>25</v>
      </c>
      <c r="C1623" s="1">
        <v>10</v>
      </c>
      <c r="D1623" s="1">
        <v>182</v>
      </c>
      <c r="E1623" s="1" t="s">
        <v>36</v>
      </c>
      <c r="F1623" s="6" t="s">
        <v>37</v>
      </c>
    </row>
    <row r="1624" spans="1:6" x14ac:dyDescent="0.35">
      <c r="A1624" s="5" t="s">
        <v>22</v>
      </c>
      <c r="B1624" s="1" t="s">
        <v>25</v>
      </c>
      <c r="C1624" s="1">
        <v>11</v>
      </c>
      <c r="D1624" s="1">
        <v>77</v>
      </c>
      <c r="E1624" s="1" t="s">
        <v>36</v>
      </c>
      <c r="F1624" s="6" t="s">
        <v>37</v>
      </c>
    </row>
    <row r="1625" spans="1:6" x14ac:dyDescent="0.35">
      <c r="A1625" s="5" t="s">
        <v>22</v>
      </c>
      <c r="B1625" s="1" t="s">
        <v>25</v>
      </c>
      <c r="C1625" s="1">
        <v>12</v>
      </c>
      <c r="D1625" s="1">
        <v>279</v>
      </c>
      <c r="E1625" s="1" t="s">
        <v>36</v>
      </c>
      <c r="F1625" s="6" t="s">
        <v>37</v>
      </c>
    </row>
    <row r="1626" spans="1:6" x14ac:dyDescent="0.35">
      <c r="A1626" s="5" t="s">
        <v>22</v>
      </c>
      <c r="B1626" s="1" t="s">
        <v>25</v>
      </c>
      <c r="C1626" s="1">
        <v>13</v>
      </c>
      <c r="D1626" s="1">
        <v>435</v>
      </c>
      <c r="E1626" s="1" t="s">
        <v>36</v>
      </c>
      <c r="F1626" s="6" t="s">
        <v>37</v>
      </c>
    </row>
    <row r="1627" spans="1:6" x14ac:dyDescent="0.35">
      <c r="A1627" s="5" t="s">
        <v>22</v>
      </c>
      <c r="B1627" s="1" t="s">
        <v>25</v>
      </c>
      <c r="C1627" s="1">
        <v>14</v>
      </c>
      <c r="D1627" s="1">
        <v>248</v>
      </c>
      <c r="E1627" s="1" t="s">
        <v>36</v>
      </c>
      <c r="F1627" s="6" t="s">
        <v>37</v>
      </c>
    </row>
    <row r="1628" spans="1:6" x14ac:dyDescent="0.35">
      <c r="A1628" s="5" t="s">
        <v>22</v>
      </c>
      <c r="B1628" s="1" t="s">
        <v>25</v>
      </c>
      <c r="C1628" s="1">
        <v>15</v>
      </c>
      <c r="D1628" s="1">
        <v>315</v>
      </c>
      <c r="E1628" s="1" t="s">
        <v>36</v>
      </c>
      <c r="F1628" s="6" t="s">
        <v>37</v>
      </c>
    </row>
    <row r="1629" spans="1:6" x14ac:dyDescent="0.35">
      <c r="A1629" s="5" t="s">
        <v>22</v>
      </c>
      <c r="B1629" s="1" t="s">
        <v>25</v>
      </c>
      <c r="C1629" s="1">
        <v>16</v>
      </c>
      <c r="D1629" s="1">
        <v>110</v>
      </c>
      <c r="E1629" s="1" t="s">
        <v>36</v>
      </c>
      <c r="F1629" s="6" t="s">
        <v>37</v>
      </c>
    </row>
    <row r="1630" spans="1:6" x14ac:dyDescent="0.35">
      <c r="A1630" s="5" t="s">
        <v>22</v>
      </c>
      <c r="B1630" s="1" t="s">
        <v>25</v>
      </c>
      <c r="C1630" s="1">
        <v>17</v>
      </c>
      <c r="D1630" s="1">
        <v>118</v>
      </c>
      <c r="E1630" s="1" t="s">
        <v>36</v>
      </c>
      <c r="F1630" s="6" t="s">
        <v>37</v>
      </c>
    </row>
    <row r="1631" spans="1:6" x14ac:dyDescent="0.35">
      <c r="A1631" s="5" t="s">
        <v>22</v>
      </c>
      <c r="B1631" s="1" t="s">
        <v>25</v>
      </c>
      <c r="C1631" s="1">
        <v>18</v>
      </c>
      <c r="D1631" s="1">
        <v>167</v>
      </c>
      <c r="E1631" s="1" t="s">
        <v>36</v>
      </c>
      <c r="F1631" s="6" t="s">
        <v>37</v>
      </c>
    </row>
    <row r="1632" spans="1:6" x14ac:dyDescent="0.35">
      <c r="A1632" s="5" t="s">
        <v>22</v>
      </c>
      <c r="B1632" s="1" t="s">
        <v>25</v>
      </c>
      <c r="C1632" s="1">
        <v>19</v>
      </c>
      <c r="D1632" s="1">
        <v>506</v>
      </c>
      <c r="E1632" s="1" t="s">
        <v>36</v>
      </c>
      <c r="F1632" s="6" t="s">
        <v>37</v>
      </c>
    </row>
    <row r="1633" spans="1:6" x14ac:dyDescent="0.35">
      <c r="A1633" s="5" t="s">
        <v>22</v>
      </c>
      <c r="B1633" s="1" t="s">
        <v>25</v>
      </c>
      <c r="C1633" s="1">
        <v>20</v>
      </c>
      <c r="D1633" s="1">
        <v>224</v>
      </c>
      <c r="E1633" s="1" t="s">
        <v>36</v>
      </c>
      <c r="F1633" s="6" t="s">
        <v>37</v>
      </c>
    </row>
    <row r="1634" spans="1:6" x14ac:dyDescent="0.35">
      <c r="A1634" s="5" t="s">
        <v>22</v>
      </c>
      <c r="B1634" s="1" t="s">
        <v>25</v>
      </c>
      <c r="C1634" s="1">
        <v>21</v>
      </c>
      <c r="D1634" s="1">
        <v>60</v>
      </c>
      <c r="E1634" s="1" t="s">
        <v>36</v>
      </c>
      <c r="F1634" s="6" t="s">
        <v>37</v>
      </c>
    </row>
    <row r="1635" spans="1:6" x14ac:dyDescent="0.35">
      <c r="A1635" s="5" t="s">
        <v>22</v>
      </c>
      <c r="B1635" s="1" t="s">
        <v>25</v>
      </c>
      <c r="C1635" s="1">
        <v>22</v>
      </c>
      <c r="D1635" s="1">
        <v>579</v>
      </c>
      <c r="E1635" s="1" t="s">
        <v>36</v>
      </c>
      <c r="F1635" s="6" t="s">
        <v>37</v>
      </c>
    </row>
    <row r="1636" spans="1:6" x14ac:dyDescent="0.35">
      <c r="A1636" s="5" t="s">
        <v>22</v>
      </c>
      <c r="B1636" s="1" t="s">
        <v>25</v>
      </c>
      <c r="C1636" s="1">
        <v>23</v>
      </c>
      <c r="D1636" s="1">
        <v>195</v>
      </c>
      <c r="E1636" s="1" t="s">
        <v>36</v>
      </c>
      <c r="F1636" s="6" t="s">
        <v>37</v>
      </c>
    </row>
    <row r="1637" spans="1:6" x14ac:dyDescent="0.35">
      <c r="A1637" s="5" t="s">
        <v>22</v>
      </c>
      <c r="B1637" s="1" t="s">
        <v>25</v>
      </c>
      <c r="C1637" s="1">
        <v>24</v>
      </c>
      <c r="D1637" s="1">
        <v>639</v>
      </c>
      <c r="E1637" s="1" t="s">
        <v>36</v>
      </c>
      <c r="F1637" s="6" t="s">
        <v>37</v>
      </c>
    </row>
    <row r="1638" spans="1:6" x14ac:dyDescent="0.35">
      <c r="A1638" s="5" t="s">
        <v>22</v>
      </c>
      <c r="B1638" s="1" t="s">
        <v>25</v>
      </c>
      <c r="C1638" s="1">
        <v>25</v>
      </c>
      <c r="D1638" s="1">
        <v>323</v>
      </c>
      <c r="E1638" s="1" t="s">
        <v>36</v>
      </c>
      <c r="F1638" s="6" t="s">
        <v>37</v>
      </c>
    </row>
    <row r="1639" spans="1:6" x14ac:dyDescent="0.35">
      <c r="A1639" s="5" t="s">
        <v>22</v>
      </c>
      <c r="B1639" s="1" t="s">
        <v>25</v>
      </c>
      <c r="C1639" s="1">
        <v>26</v>
      </c>
      <c r="D1639" s="1">
        <v>458</v>
      </c>
      <c r="E1639" s="1" t="s">
        <v>36</v>
      </c>
      <c r="F1639" s="6" t="s">
        <v>37</v>
      </c>
    </row>
    <row r="1640" spans="1:6" x14ac:dyDescent="0.35">
      <c r="A1640" s="5" t="s">
        <v>22</v>
      </c>
      <c r="B1640" s="1" t="s">
        <v>25</v>
      </c>
      <c r="C1640" s="1">
        <v>27</v>
      </c>
      <c r="D1640" s="1">
        <v>326</v>
      </c>
      <c r="E1640" s="1" t="s">
        <v>36</v>
      </c>
      <c r="F1640" s="6" t="s">
        <v>37</v>
      </c>
    </row>
    <row r="1641" spans="1:6" x14ac:dyDescent="0.35">
      <c r="A1641" s="5" t="s">
        <v>22</v>
      </c>
      <c r="B1641" s="1" t="s">
        <v>25</v>
      </c>
      <c r="C1641" s="1">
        <v>28</v>
      </c>
      <c r="D1641" s="1">
        <v>471</v>
      </c>
      <c r="E1641" s="1" t="s">
        <v>36</v>
      </c>
      <c r="F1641" s="6" t="s">
        <v>37</v>
      </c>
    </row>
    <row r="1642" spans="1:6" x14ac:dyDescent="0.35">
      <c r="A1642" s="5" t="s">
        <v>22</v>
      </c>
      <c r="B1642" s="1" t="s">
        <v>25</v>
      </c>
      <c r="C1642" s="1">
        <v>29</v>
      </c>
      <c r="D1642" s="1">
        <v>167</v>
      </c>
      <c r="E1642" s="1" t="s">
        <v>36</v>
      </c>
      <c r="F1642" s="6" t="s">
        <v>37</v>
      </c>
    </row>
    <row r="1643" spans="1:6" x14ac:dyDescent="0.35">
      <c r="A1643" s="5" t="s">
        <v>22</v>
      </c>
      <c r="B1643" s="1" t="s">
        <v>25</v>
      </c>
      <c r="C1643" s="1">
        <v>30</v>
      </c>
      <c r="D1643" s="1">
        <v>115</v>
      </c>
      <c r="E1643" s="1" t="s">
        <v>36</v>
      </c>
      <c r="F1643" s="6" t="s">
        <v>37</v>
      </c>
    </row>
    <row r="1644" spans="1:6" x14ac:dyDescent="0.35">
      <c r="A1644" s="5" t="s">
        <v>22</v>
      </c>
      <c r="B1644" s="1" t="s">
        <v>25</v>
      </c>
      <c r="C1644" s="1">
        <v>31</v>
      </c>
      <c r="D1644" s="1">
        <v>252</v>
      </c>
      <c r="E1644" s="1" t="s">
        <v>36</v>
      </c>
      <c r="F1644" s="6" t="s">
        <v>37</v>
      </c>
    </row>
    <row r="1645" spans="1:6" x14ac:dyDescent="0.35">
      <c r="A1645" s="5" t="s">
        <v>22</v>
      </c>
      <c r="B1645" s="1" t="s">
        <v>25</v>
      </c>
      <c r="C1645" s="1">
        <v>32</v>
      </c>
      <c r="D1645" s="1">
        <v>150</v>
      </c>
      <c r="E1645" s="1" t="s">
        <v>36</v>
      </c>
      <c r="F1645" s="6" t="s">
        <v>37</v>
      </c>
    </row>
    <row r="1646" spans="1:6" x14ac:dyDescent="0.35">
      <c r="A1646" s="5" t="s">
        <v>22</v>
      </c>
      <c r="B1646" s="1" t="s">
        <v>25</v>
      </c>
      <c r="C1646" s="1">
        <v>33</v>
      </c>
      <c r="D1646" s="1">
        <v>115</v>
      </c>
      <c r="E1646" s="1" t="s">
        <v>36</v>
      </c>
      <c r="F1646" s="6" t="s">
        <v>37</v>
      </c>
    </row>
    <row r="1647" spans="1:6" x14ac:dyDescent="0.35">
      <c r="A1647" s="5" t="s">
        <v>22</v>
      </c>
      <c r="B1647" s="1" t="s">
        <v>25</v>
      </c>
      <c r="C1647" s="1">
        <v>34</v>
      </c>
      <c r="D1647" s="1">
        <v>348</v>
      </c>
      <c r="E1647" s="1" t="s">
        <v>36</v>
      </c>
      <c r="F1647" s="6" t="s">
        <v>37</v>
      </c>
    </row>
    <row r="1648" spans="1:6" x14ac:dyDescent="0.35">
      <c r="A1648" s="5" t="s">
        <v>22</v>
      </c>
      <c r="B1648" s="1" t="s">
        <v>25</v>
      </c>
      <c r="C1648" s="1">
        <v>35</v>
      </c>
      <c r="D1648" s="1">
        <v>445</v>
      </c>
      <c r="E1648" s="1" t="s">
        <v>36</v>
      </c>
      <c r="F1648" s="6" t="s">
        <v>37</v>
      </c>
    </row>
    <row r="1649" spans="1:6" x14ac:dyDescent="0.35">
      <c r="A1649" s="5" t="s">
        <v>22</v>
      </c>
      <c r="B1649" s="1" t="s">
        <v>25</v>
      </c>
      <c r="C1649" s="1">
        <v>36</v>
      </c>
      <c r="D1649" s="1">
        <v>342</v>
      </c>
      <c r="E1649" s="1" t="s">
        <v>36</v>
      </c>
      <c r="F1649" s="6" t="s">
        <v>37</v>
      </c>
    </row>
    <row r="1650" spans="1:6" x14ac:dyDescent="0.35">
      <c r="A1650" s="5" t="s">
        <v>22</v>
      </c>
      <c r="B1650" s="1" t="s">
        <v>25</v>
      </c>
      <c r="C1650" s="1">
        <v>37</v>
      </c>
      <c r="D1650" s="1">
        <v>767</v>
      </c>
      <c r="E1650" s="1" t="s">
        <v>36</v>
      </c>
      <c r="F1650" s="6" t="s">
        <v>37</v>
      </c>
    </row>
    <row r="1651" spans="1:6" x14ac:dyDescent="0.35">
      <c r="A1651" s="5" t="s">
        <v>22</v>
      </c>
      <c r="B1651" s="1" t="s">
        <v>25</v>
      </c>
      <c r="C1651" s="1">
        <v>38</v>
      </c>
      <c r="D1651" s="1">
        <v>267</v>
      </c>
      <c r="E1651" s="1" t="s">
        <v>36</v>
      </c>
      <c r="F1651" s="6" t="s">
        <v>37</v>
      </c>
    </row>
    <row r="1652" spans="1:6" x14ac:dyDescent="0.35">
      <c r="A1652" s="5" t="s">
        <v>22</v>
      </c>
      <c r="B1652" s="1" t="s">
        <v>25</v>
      </c>
      <c r="C1652" s="1">
        <v>39</v>
      </c>
      <c r="D1652" s="1">
        <v>243</v>
      </c>
      <c r="E1652" s="1" t="s">
        <v>36</v>
      </c>
      <c r="F1652" s="6" t="s">
        <v>37</v>
      </c>
    </row>
    <row r="1653" spans="1:6" x14ac:dyDescent="0.35">
      <c r="A1653" s="5" t="s">
        <v>22</v>
      </c>
      <c r="B1653" s="1" t="s">
        <v>25</v>
      </c>
      <c r="C1653" s="1">
        <v>40</v>
      </c>
      <c r="D1653" s="1">
        <v>781</v>
      </c>
      <c r="E1653" s="1" t="s">
        <v>36</v>
      </c>
      <c r="F1653" s="6" t="s">
        <v>37</v>
      </c>
    </row>
    <row r="1654" spans="1:6" x14ac:dyDescent="0.35">
      <c r="A1654" s="5" t="s">
        <v>22</v>
      </c>
      <c r="B1654" s="1" t="s">
        <v>25</v>
      </c>
      <c r="C1654" s="1">
        <v>41</v>
      </c>
      <c r="D1654" s="1">
        <v>572</v>
      </c>
      <c r="E1654" s="1" t="s">
        <v>36</v>
      </c>
      <c r="F1654" s="6" t="s">
        <v>37</v>
      </c>
    </row>
    <row r="1655" spans="1:6" x14ac:dyDescent="0.35">
      <c r="A1655" s="5" t="s">
        <v>22</v>
      </c>
      <c r="B1655" s="1" t="s">
        <v>25</v>
      </c>
      <c r="C1655" s="1">
        <v>42</v>
      </c>
      <c r="D1655" s="1">
        <v>117</v>
      </c>
      <c r="E1655" s="1" t="s">
        <v>36</v>
      </c>
      <c r="F1655" s="6" t="s">
        <v>37</v>
      </c>
    </row>
    <row r="1656" spans="1:6" x14ac:dyDescent="0.35">
      <c r="A1656" s="5" t="s">
        <v>22</v>
      </c>
      <c r="B1656" s="1" t="s">
        <v>25</v>
      </c>
      <c r="C1656" s="1">
        <v>43</v>
      </c>
      <c r="D1656" s="1">
        <v>260</v>
      </c>
      <c r="E1656" s="1" t="s">
        <v>36</v>
      </c>
      <c r="F1656" s="6" t="s">
        <v>37</v>
      </c>
    </row>
    <row r="1657" spans="1:6" x14ac:dyDescent="0.35">
      <c r="A1657" s="5" t="s">
        <v>22</v>
      </c>
      <c r="B1657" s="1" t="s">
        <v>25</v>
      </c>
      <c r="C1657" s="1">
        <v>44</v>
      </c>
      <c r="D1657" s="1">
        <v>206</v>
      </c>
      <c r="E1657" s="1" t="s">
        <v>36</v>
      </c>
      <c r="F1657" s="6" t="s">
        <v>37</v>
      </c>
    </row>
    <row r="1658" spans="1:6" x14ac:dyDescent="0.35">
      <c r="A1658" s="5" t="s">
        <v>22</v>
      </c>
      <c r="B1658" s="1" t="s">
        <v>25</v>
      </c>
      <c r="C1658" s="1">
        <v>45</v>
      </c>
      <c r="D1658" s="1">
        <v>393</v>
      </c>
      <c r="E1658" s="1" t="s">
        <v>36</v>
      </c>
      <c r="F1658" s="6" t="s">
        <v>37</v>
      </c>
    </row>
    <row r="1659" spans="1:6" x14ac:dyDescent="0.35">
      <c r="A1659" s="5" t="s">
        <v>22</v>
      </c>
      <c r="B1659" s="1" t="s">
        <v>25</v>
      </c>
      <c r="C1659" s="1">
        <v>46</v>
      </c>
      <c r="D1659" s="1">
        <v>631</v>
      </c>
      <c r="E1659" s="1" t="s">
        <v>36</v>
      </c>
      <c r="F1659" s="6" t="s">
        <v>37</v>
      </c>
    </row>
    <row r="1660" spans="1:6" x14ac:dyDescent="0.35">
      <c r="A1660" s="5" t="s">
        <v>22</v>
      </c>
      <c r="B1660" s="1" t="s">
        <v>25</v>
      </c>
      <c r="C1660" s="1">
        <v>47</v>
      </c>
      <c r="D1660" s="1">
        <v>225</v>
      </c>
      <c r="E1660" s="1" t="s">
        <v>36</v>
      </c>
      <c r="F1660" s="6" t="s">
        <v>37</v>
      </c>
    </row>
    <row r="1661" spans="1:6" x14ac:dyDescent="0.35">
      <c r="A1661" s="5" t="s">
        <v>22</v>
      </c>
      <c r="B1661" s="1" t="s">
        <v>25</v>
      </c>
      <c r="C1661" s="1">
        <v>48</v>
      </c>
      <c r="D1661" s="1">
        <v>253</v>
      </c>
      <c r="E1661" s="1" t="s">
        <v>36</v>
      </c>
      <c r="F1661" s="6" t="s">
        <v>37</v>
      </c>
    </row>
    <row r="1662" spans="1:6" x14ac:dyDescent="0.35">
      <c r="A1662" s="5" t="s">
        <v>22</v>
      </c>
      <c r="B1662" s="1" t="s">
        <v>25</v>
      </c>
      <c r="C1662" s="1">
        <v>49</v>
      </c>
      <c r="D1662" s="1">
        <v>69</v>
      </c>
      <c r="E1662" s="1" t="s">
        <v>36</v>
      </c>
      <c r="F1662" s="6" t="s">
        <v>37</v>
      </c>
    </row>
    <row r="1663" spans="1:6" x14ac:dyDescent="0.35">
      <c r="A1663" s="5" t="s">
        <v>22</v>
      </c>
      <c r="B1663" s="1" t="s">
        <v>25</v>
      </c>
      <c r="C1663" s="1">
        <v>50</v>
      </c>
      <c r="D1663" s="1">
        <v>779</v>
      </c>
      <c r="E1663" s="1" t="s">
        <v>36</v>
      </c>
      <c r="F1663" s="6" t="s">
        <v>37</v>
      </c>
    </row>
    <row r="1664" spans="1:6" x14ac:dyDescent="0.35">
      <c r="A1664" s="5" t="s">
        <v>22</v>
      </c>
      <c r="B1664" s="1" t="s">
        <v>25</v>
      </c>
      <c r="C1664" s="1">
        <v>51</v>
      </c>
      <c r="D1664" s="1">
        <v>392</v>
      </c>
      <c r="E1664" s="1" t="s">
        <v>36</v>
      </c>
      <c r="F1664" s="6" t="s">
        <v>37</v>
      </c>
    </row>
    <row r="1665" spans="1:6" x14ac:dyDescent="0.35">
      <c r="A1665" s="5" t="s">
        <v>22</v>
      </c>
      <c r="B1665" s="1" t="s">
        <v>25</v>
      </c>
      <c r="C1665" s="1">
        <v>52</v>
      </c>
      <c r="D1665" s="1">
        <v>776</v>
      </c>
      <c r="E1665" s="1" t="s">
        <v>36</v>
      </c>
      <c r="F1665" s="6" t="s">
        <v>37</v>
      </c>
    </row>
    <row r="1666" spans="1:6" x14ac:dyDescent="0.35">
      <c r="A1666" s="5" t="s">
        <v>13</v>
      </c>
      <c r="B1666" s="1" t="s">
        <v>44</v>
      </c>
      <c r="C1666" s="1">
        <v>1</v>
      </c>
      <c r="D1666" s="1">
        <v>308</v>
      </c>
      <c r="E1666" s="1" t="s">
        <v>39</v>
      </c>
      <c r="F1666" s="6" t="s">
        <v>40</v>
      </c>
    </row>
    <row r="1667" spans="1:6" x14ac:dyDescent="0.35">
      <c r="A1667" s="5" t="s">
        <v>13</v>
      </c>
      <c r="B1667" s="1" t="s">
        <v>44</v>
      </c>
      <c r="C1667" s="1">
        <v>2</v>
      </c>
      <c r="D1667" s="1">
        <v>79</v>
      </c>
      <c r="E1667" s="1" t="s">
        <v>39</v>
      </c>
      <c r="F1667" s="6" t="s">
        <v>40</v>
      </c>
    </row>
    <row r="1668" spans="1:6" x14ac:dyDescent="0.35">
      <c r="A1668" s="5" t="s">
        <v>13</v>
      </c>
      <c r="B1668" s="1" t="s">
        <v>44</v>
      </c>
      <c r="C1668" s="1">
        <v>3</v>
      </c>
      <c r="D1668" s="1">
        <v>352</v>
      </c>
      <c r="E1668" s="1" t="s">
        <v>39</v>
      </c>
      <c r="F1668" s="6" t="s">
        <v>40</v>
      </c>
    </row>
    <row r="1669" spans="1:6" x14ac:dyDescent="0.35">
      <c r="A1669" s="5" t="s">
        <v>13</v>
      </c>
      <c r="B1669" s="1" t="s">
        <v>44</v>
      </c>
      <c r="C1669" s="1">
        <v>4</v>
      </c>
      <c r="D1669" s="1">
        <v>317</v>
      </c>
      <c r="E1669" s="1" t="s">
        <v>39</v>
      </c>
      <c r="F1669" s="6" t="s">
        <v>40</v>
      </c>
    </row>
    <row r="1670" spans="1:6" x14ac:dyDescent="0.35">
      <c r="A1670" s="5" t="s">
        <v>13</v>
      </c>
      <c r="B1670" s="1" t="s">
        <v>44</v>
      </c>
      <c r="C1670" s="1">
        <v>5</v>
      </c>
      <c r="D1670" s="1">
        <v>95</v>
      </c>
      <c r="E1670" s="1" t="s">
        <v>39</v>
      </c>
      <c r="F1670" s="6" t="s">
        <v>40</v>
      </c>
    </row>
    <row r="1671" spans="1:6" x14ac:dyDescent="0.35">
      <c r="A1671" s="5" t="s">
        <v>13</v>
      </c>
      <c r="B1671" s="1" t="s">
        <v>44</v>
      </c>
      <c r="C1671" s="1">
        <v>6</v>
      </c>
      <c r="D1671" s="1">
        <v>160</v>
      </c>
      <c r="E1671" s="1" t="s">
        <v>39</v>
      </c>
      <c r="F1671" s="6" t="s">
        <v>40</v>
      </c>
    </row>
    <row r="1672" spans="1:6" x14ac:dyDescent="0.35">
      <c r="A1672" s="5" t="s">
        <v>13</v>
      </c>
      <c r="B1672" s="1" t="s">
        <v>44</v>
      </c>
      <c r="C1672" s="1">
        <v>7</v>
      </c>
      <c r="D1672" s="1">
        <v>405</v>
      </c>
      <c r="E1672" s="1" t="s">
        <v>39</v>
      </c>
      <c r="F1672" s="6" t="s">
        <v>40</v>
      </c>
    </row>
    <row r="1673" spans="1:6" x14ac:dyDescent="0.35">
      <c r="A1673" s="5" t="s">
        <v>13</v>
      </c>
      <c r="B1673" s="1" t="s">
        <v>44</v>
      </c>
      <c r="C1673" s="1">
        <v>8</v>
      </c>
      <c r="D1673" s="1">
        <v>151</v>
      </c>
      <c r="E1673" s="1" t="s">
        <v>39</v>
      </c>
      <c r="F1673" s="6" t="s">
        <v>40</v>
      </c>
    </row>
    <row r="1674" spans="1:6" x14ac:dyDescent="0.35">
      <c r="A1674" s="5" t="s">
        <v>13</v>
      </c>
      <c r="B1674" s="1" t="s">
        <v>44</v>
      </c>
      <c r="C1674" s="1">
        <v>9</v>
      </c>
      <c r="D1674" s="1">
        <v>267</v>
      </c>
      <c r="E1674" s="1" t="s">
        <v>39</v>
      </c>
      <c r="F1674" s="6" t="s">
        <v>40</v>
      </c>
    </row>
    <row r="1675" spans="1:6" x14ac:dyDescent="0.35">
      <c r="A1675" s="5" t="s">
        <v>13</v>
      </c>
      <c r="B1675" s="1" t="s">
        <v>44</v>
      </c>
      <c r="C1675" s="1">
        <v>10</v>
      </c>
      <c r="D1675" s="1">
        <v>232</v>
      </c>
      <c r="E1675" s="1" t="s">
        <v>39</v>
      </c>
      <c r="F1675" s="6" t="s">
        <v>40</v>
      </c>
    </row>
    <row r="1676" spans="1:6" x14ac:dyDescent="0.35">
      <c r="A1676" s="5" t="s">
        <v>13</v>
      </c>
      <c r="B1676" s="1" t="s">
        <v>44</v>
      </c>
      <c r="C1676" s="1">
        <v>11</v>
      </c>
      <c r="D1676" s="1">
        <v>216</v>
      </c>
      <c r="E1676" s="1" t="s">
        <v>39</v>
      </c>
      <c r="F1676" s="6" t="s">
        <v>40</v>
      </c>
    </row>
    <row r="1677" spans="1:6" x14ac:dyDescent="0.35">
      <c r="A1677" s="5" t="s">
        <v>13</v>
      </c>
      <c r="B1677" s="1" t="s">
        <v>44</v>
      </c>
      <c r="C1677" s="1">
        <v>12</v>
      </c>
      <c r="D1677" s="1">
        <v>179</v>
      </c>
      <c r="E1677" s="1" t="s">
        <v>39</v>
      </c>
      <c r="F1677" s="6" t="s">
        <v>40</v>
      </c>
    </row>
    <row r="1678" spans="1:6" x14ac:dyDescent="0.35">
      <c r="A1678" s="5" t="s">
        <v>13</v>
      </c>
      <c r="B1678" s="1" t="s">
        <v>44</v>
      </c>
      <c r="C1678" s="1">
        <v>13</v>
      </c>
      <c r="D1678" s="1">
        <v>408</v>
      </c>
      <c r="E1678" s="1" t="s">
        <v>39</v>
      </c>
      <c r="F1678" s="6" t="s">
        <v>40</v>
      </c>
    </row>
    <row r="1679" spans="1:6" x14ac:dyDescent="0.35">
      <c r="A1679" s="5" t="s">
        <v>13</v>
      </c>
      <c r="B1679" s="1" t="s">
        <v>44</v>
      </c>
      <c r="C1679" s="1">
        <v>14</v>
      </c>
      <c r="D1679" s="1">
        <v>405</v>
      </c>
      <c r="E1679" s="1" t="s">
        <v>39</v>
      </c>
      <c r="F1679" s="6" t="s">
        <v>40</v>
      </c>
    </row>
    <row r="1680" spans="1:6" x14ac:dyDescent="0.35">
      <c r="A1680" s="5" t="s">
        <v>13</v>
      </c>
      <c r="B1680" s="1" t="s">
        <v>44</v>
      </c>
      <c r="C1680" s="1">
        <v>15</v>
      </c>
      <c r="D1680" s="1">
        <v>450</v>
      </c>
      <c r="E1680" s="1" t="s">
        <v>39</v>
      </c>
      <c r="F1680" s="6" t="s">
        <v>40</v>
      </c>
    </row>
    <row r="1681" spans="1:6" x14ac:dyDescent="0.35">
      <c r="A1681" s="5" t="s">
        <v>13</v>
      </c>
      <c r="B1681" s="1" t="s">
        <v>44</v>
      </c>
      <c r="C1681" s="1">
        <v>16</v>
      </c>
      <c r="D1681" s="1">
        <v>186</v>
      </c>
      <c r="E1681" s="1" t="s">
        <v>39</v>
      </c>
      <c r="F1681" s="6" t="s">
        <v>40</v>
      </c>
    </row>
    <row r="1682" spans="1:6" x14ac:dyDescent="0.35">
      <c r="A1682" s="5" t="s">
        <v>13</v>
      </c>
      <c r="B1682" s="1" t="s">
        <v>44</v>
      </c>
      <c r="C1682" s="1">
        <v>17</v>
      </c>
      <c r="D1682" s="1">
        <v>233</v>
      </c>
      <c r="E1682" s="1" t="s">
        <v>39</v>
      </c>
      <c r="F1682" s="6" t="s">
        <v>40</v>
      </c>
    </row>
    <row r="1683" spans="1:6" x14ac:dyDescent="0.35">
      <c r="A1683" s="5" t="s">
        <v>13</v>
      </c>
      <c r="B1683" s="1" t="s">
        <v>44</v>
      </c>
      <c r="C1683" s="1">
        <v>18</v>
      </c>
      <c r="D1683" s="1">
        <v>410</v>
      </c>
      <c r="E1683" s="1" t="s">
        <v>39</v>
      </c>
      <c r="F1683" s="6" t="s">
        <v>40</v>
      </c>
    </row>
    <row r="1684" spans="1:6" x14ac:dyDescent="0.35">
      <c r="A1684" s="5" t="s">
        <v>13</v>
      </c>
      <c r="B1684" s="1" t="s">
        <v>44</v>
      </c>
      <c r="C1684" s="1">
        <v>19</v>
      </c>
      <c r="D1684" s="1">
        <v>323</v>
      </c>
      <c r="E1684" s="1" t="s">
        <v>39</v>
      </c>
      <c r="F1684" s="6" t="s">
        <v>40</v>
      </c>
    </row>
    <row r="1685" spans="1:6" x14ac:dyDescent="0.35">
      <c r="A1685" s="5" t="s">
        <v>13</v>
      </c>
      <c r="B1685" s="1" t="s">
        <v>44</v>
      </c>
      <c r="C1685" s="1">
        <v>20</v>
      </c>
      <c r="D1685" s="1">
        <v>558</v>
      </c>
      <c r="E1685" s="1" t="s">
        <v>39</v>
      </c>
      <c r="F1685" s="6" t="s">
        <v>40</v>
      </c>
    </row>
    <row r="1686" spans="1:6" x14ac:dyDescent="0.35">
      <c r="A1686" s="5" t="s">
        <v>13</v>
      </c>
      <c r="B1686" s="1" t="s">
        <v>44</v>
      </c>
      <c r="C1686" s="1">
        <v>21</v>
      </c>
      <c r="D1686" s="1">
        <v>120</v>
      </c>
      <c r="E1686" s="1" t="s">
        <v>39</v>
      </c>
      <c r="F1686" s="6" t="s">
        <v>40</v>
      </c>
    </row>
    <row r="1687" spans="1:6" x14ac:dyDescent="0.35">
      <c r="A1687" s="5" t="s">
        <v>13</v>
      </c>
      <c r="B1687" s="1" t="s">
        <v>44</v>
      </c>
      <c r="C1687" s="1">
        <v>22</v>
      </c>
      <c r="D1687" s="1">
        <v>683</v>
      </c>
      <c r="E1687" s="1" t="s">
        <v>39</v>
      </c>
      <c r="F1687" s="6" t="s">
        <v>40</v>
      </c>
    </row>
    <row r="1688" spans="1:6" x14ac:dyDescent="0.35">
      <c r="A1688" s="5" t="s">
        <v>13</v>
      </c>
      <c r="B1688" s="1" t="s">
        <v>44</v>
      </c>
      <c r="C1688" s="1">
        <v>23</v>
      </c>
      <c r="D1688" s="1">
        <v>594</v>
      </c>
      <c r="E1688" s="1" t="s">
        <v>39</v>
      </c>
      <c r="F1688" s="6" t="s">
        <v>40</v>
      </c>
    </row>
    <row r="1689" spans="1:6" x14ac:dyDescent="0.35">
      <c r="A1689" s="5" t="s">
        <v>13</v>
      </c>
      <c r="B1689" s="1" t="s">
        <v>44</v>
      </c>
      <c r="C1689" s="1">
        <v>24</v>
      </c>
      <c r="D1689" s="1">
        <v>346</v>
      </c>
      <c r="E1689" s="1" t="s">
        <v>39</v>
      </c>
      <c r="F1689" s="6" t="s">
        <v>40</v>
      </c>
    </row>
    <row r="1690" spans="1:6" x14ac:dyDescent="0.35">
      <c r="A1690" s="5" t="s">
        <v>13</v>
      </c>
      <c r="B1690" s="1" t="s">
        <v>44</v>
      </c>
      <c r="C1690" s="1">
        <v>25</v>
      </c>
      <c r="D1690" s="1">
        <v>514</v>
      </c>
      <c r="E1690" s="1" t="s">
        <v>39</v>
      </c>
      <c r="F1690" s="6" t="s">
        <v>40</v>
      </c>
    </row>
    <row r="1691" spans="1:6" x14ac:dyDescent="0.35">
      <c r="A1691" s="5" t="s">
        <v>13</v>
      </c>
      <c r="B1691" s="1" t="s">
        <v>44</v>
      </c>
      <c r="C1691" s="1">
        <v>26</v>
      </c>
      <c r="D1691" s="1">
        <v>411</v>
      </c>
      <c r="E1691" s="1" t="s">
        <v>39</v>
      </c>
      <c r="F1691" s="6" t="s">
        <v>40</v>
      </c>
    </row>
    <row r="1692" spans="1:6" x14ac:dyDescent="0.35">
      <c r="A1692" s="5" t="s">
        <v>13</v>
      </c>
      <c r="B1692" s="1" t="s">
        <v>44</v>
      </c>
      <c r="C1692" s="1">
        <v>27</v>
      </c>
      <c r="D1692" s="1">
        <v>185</v>
      </c>
      <c r="E1692" s="1" t="s">
        <v>39</v>
      </c>
      <c r="F1692" s="6" t="s">
        <v>40</v>
      </c>
    </row>
    <row r="1693" spans="1:6" x14ac:dyDescent="0.35">
      <c r="A1693" s="5" t="s">
        <v>13</v>
      </c>
      <c r="B1693" s="1" t="s">
        <v>44</v>
      </c>
      <c r="C1693" s="1">
        <v>28</v>
      </c>
      <c r="D1693" s="1">
        <v>347</v>
      </c>
      <c r="E1693" s="1" t="s">
        <v>39</v>
      </c>
      <c r="F1693" s="6" t="s">
        <v>40</v>
      </c>
    </row>
    <row r="1694" spans="1:6" x14ac:dyDescent="0.35">
      <c r="A1694" s="5" t="s">
        <v>13</v>
      </c>
      <c r="B1694" s="1" t="s">
        <v>44</v>
      </c>
      <c r="C1694" s="1">
        <v>29</v>
      </c>
      <c r="D1694" s="1">
        <v>575</v>
      </c>
      <c r="E1694" s="1" t="s">
        <v>39</v>
      </c>
      <c r="F1694" s="6" t="s">
        <v>40</v>
      </c>
    </row>
    <row r="1695" spans="1:6" x14ac:dyDescent="0.35">
      <c r="A1695" s="5" t="s">
        <v>13</v>
      </c>
      <c r="B1695" s="1" t="s">
        <v>44</v>
      </c>
      <c r="C1695" s="1">
        <v>30</v>
      </c>
      <c r="D1695" s="1">
        <v>555</v>
      </c>
      <c r="E1695" s="1" t="s">
        <v>39</v>
      </c>
      <c r="F1695" s="6" t="s">
        <v>40</v>
      </c>
    </row>
    <row r="1696" spans="1:6" x14ac:dyDescent="0.35">
      <c r="A1696" s="5" t="s">
        <v>13</v>
      </c>
      <c r="B1696" s="1" t="s">
        <v>44</v>
      </c>
      <c r="C1696" s="1">
        <v>31</v>
      </c>
      <c r="D1696" s="1">
        <v>202</v>
      </c>
      <c r="E1696" s="1" t="s">
        <v>39</v>
      </c>
      <c r="F1696" s="6" t="s">
        <v>40</v>
      </c>
    </row>
    <row r="1697" spans="1:6" x14ac:dyDescent="0.35">
      <c r="A1697" s="5" t="s">
        <v>13</v>
      </c>
      <c r="B1697" s="1" t="s">
        <v>44</v>
      </c>
      <c r="C1697" s="1">
        <v>32</v>
      </c>
      <c r="D1697" s="1">
        <v>284</v>
      </c>
      <c r="E1697" s="1" t="s">
        <v>39</v>
      </c>
      <c r="F1697" s="6" t="s">
        <v>40</v>
      </c>
    </row>
    <row r="1698" spans="1:6" x14ac:dyDescent="0.35">
      <c r="A1698" s="5" t="s">
        <v>13</v>
      </c>
      <c r="B1698" s="1" t="s">
        <v>44</v>
      </c>
      <c r="C1698" s="1">
        <v>33</v>
      </c>
      <c r="D1698" s="1">
        <v>611</v>
      </c>
      <c r="E1698" s="1" t="s">
        <v>39</v>
      </c>
      <c r="F1698" s="6" t="s">
        <v>40</v>
      </c>
    </row>
    <row r="1699" spans="1:6" x14ac:dyDescent="0.35">
      <c r="A1699" s="5" t="s">
        <v>13</v>
      </c>
      <c r="B1699" s="1" t="s">
        <v>44</v>
      </c>
      <c r="C1699" s="1">
        <v>34</v>
      </c>
      <c r="D1699" s="1">
        <v>253</v>
      </c>
      <c r="E1699" s="1" t="s">
        <v>39</v>
      </c>
      <c r="F1699" s="6" t="s">
        <v>40</v>
      </c>
    </row>
    <row r="1700" spans="1:6" x14ac:dyDescent="0.35">
      <c r="A1700" s="5" t="s">
        <v>13</v>
      </c>
      <c r="B1700" s="1" t="s">
        <v>44</v>
      </c>
      <c r="C1700" s="1">
        <v>35</v>
      </c>
      <c r="D1700" s="1">
        <v>281</v>
      </c>
      <c r="E1700" s="1" t="s">
        <v>39</v>
      </c>
      <c r="F1700" s="6" t="s">
        <v>40</v>
      </c>
    </row>
    <row r="1701" spans="1:6" x14ac:dyDescent="0.35">
      <c r="A1701" s="5" t="s">
        <v>13</v>
      </c>
      <c r="B1701" s="1" t="s">
        <v>44</v>
      </c>
      <c r="C1701" s="1">
        <v>36</v>
      </c>
      <c r="D1701" s="1">
        <v>251</v>
      </c>
      <c r="E1701" s="1" t="s">
        <v>39</v>
      </c>
      <c r="F1701" s="6" t="s">
        <v>40</v>
      </c>
    </row>
    <row r="1702" spans="1:6" x14ac:dyDescent="0.35">
      <c r="A1702" s="5" t="s">
        <v>13</v>
      </c>
      <c r="B1702" s="1" t="s">
        <v>44</v>
      </c>
      <c r="C1702" s="1">
        <v>37</v>
      </c>
      <c r="D1702" s="1">
        <v>698</v>
      </c>
      <c r="E1702" s="1" t="s">
        <v>39</v>
      </c>
      <c r="F1702" s="6" t="s">
        <v>40</v>
      </c>
    </row>
    <row r="1703" spans="1:6" x14ac:dyDescent="0.35">
      <c r="A1703" s="5" t="s">
        <v>13</v>
      </c>
      <c r="B1703" s="1" t="s">
        <v>44</v>
      </c>
      <c r="C1703" s="1">
        <v>38</v>
      </c>
      <c r="D1703" s="1">
        <v>386</v>
      </c>
      <c r="E1703" s="1" t="s">
        <v>39</v>
      </c>
      <c r="F1703" s="6" t="s">
        <v>40</v>
      </c>
    </row>
    <row r="1704" spans="1:6" x14ac:dyDescent="0.35">
      <c r="A1704" s="5" t="s">
        <v>13</v>
      </c>
      <c r="B1704" s="1" t="s">
        <v>44</v>
      </c>
      <c r="C1704" s="1">
        <v>39</v>
      </c>
      <c r="D1704" s="1">
        <v>317</v>
      </c>
      <c r="E1704" s="1" t="s">
        <v>39</v>
      </c>
      <c r="F1704" s="6" t="s">
        <v>40</v>
      </c>
    </row>
    <row r="1705" spans="1:6" x14ac:dyDescent="0.35">
      <c r="A1705" s="5" t="s">
        <v>13</v>
      </c>
      <c r="B1705" s="1" t="s">
        <v>44</v>
      </c>
      <c r="C1705" s="1">
        <v>40</v>
      </c>
      <c r="D1705" s="1">
        <v>272</v>
      </c>
      <c r="E1705" s="1" t="s">
        <v>39</v>
      </c>
      <c r="F1705" s="6" t="s">
        <v>40</v>
      </c>
    </row>
    <row r="1706" spans="1:6" x14ac:dyDescent="0.35">
      <c r="A1706" s="5" t="s">
        <v>13</v>
      </c>
      <c r="B1706" s="1" t="s">
        <v>44</v>
      </c>
      <c r="C1706" s="1">
        <v>41</v>
      </c>
      <c r="D1706" s="1">
        <v>308</v>
      </c>
      <c r="E1706" s="1" t="s">
        <v>39</v>
      </c>
      <c r="F1706" s="6" t="s">
        <v>40</v>
      </c>
    </row>
    <row r="1707" spans="1:6" x14ac:dyDescent="0.35">
      <c r="A1707" s="5" t="s">
        <v>13</v>
      </c>
      <c r="B1707" s="1" t="s">
        <v>44</v>
      </c>
      <c r="C1707" s="1">
        <v>42</v>
      </c>
      <c r="D1707" s="1">
        <v>155</v>
      </c>
      <c r="E1707" s="1" t="s">
        <v>39</v>
      </c>
      <c r="F1707" s="6" t="s">
        <v>40</v>
      </c>
    </row>
    <row r="1708" spans="1:6" x14ac:dyDescent="0.35">
      <c r="A1708" s="5" t="s">
        <v>13</v>
      </c>
      <c r="B1708" s="1" t="s">
        <v>44</v>
      </c>
      <c r="C1708" s="1">
        <v>43</v>
      </c>
      <c r="D1708" s="1">
        <v>360</v>
      </c>
      <c r="E1708" s="1" t="s">
        <v>39</v>
      </c>
      <c r="F1708" s="6" t="s">
        <v>40</v>
      </c>
    </row>
    <row r="1709" spans="1:6" x14ac:dyDescent="0.35">
      <c r="A1709" s="5" t="s">
        <v>13</v>
      </c>
      <c r="B1709" s="1" t="s">
        <v>44</v>
      </c>
      <c r="C1709" s="1">
        <v>44</v>
      </c>
      <c r="D1709" s="1">
        <v>769</v>
      </c>
      <c r="E1709" s="1" t="s">
        <v>39</v>
      </c>
      <c r="F1709" s="6" t="s">
        <v>40</v>
      </c>
    </row>
    <row r="1710" spans="1:6" x14ac:dyDescent="0.35">
      <c r="A1710" s="5" t="s">
        <v>13</v>
      </c>
      <c r="B1710" s="1" t="s">
        <v>44</v>
      </c>
      <c r="C1710" s="1">
        <v>45</v>
      </c>
      <c r="D1710" s="1">
        <v>422</v>
      </c>
      <c r="E1710" s="1" t="s">
        <v>39</v>
      </c>
      <c r="F1710" s="6" t="s">
        <v>40</v>
      </c>
    </row>
    <row r="1711" spans="1:6" x14ac:dyDescent="0.35">
      <c r="A1711" s="5" t="s">
        <v>13</v>
      </c>
      <c r="B1711" s="1" t="s">
        <v>44</v>
      </c>
      <c r="C1711" s="1">
        <v>46</v>
      </c>
      <c r="D1711" s="1">
        <v>374</v>
      </c>
      <c r="E1711" s="1" t="s">
        <v>39</v>
      </c>
      <c r="F1711" s="6" t="s">
        <v>40</v>
      </c>
    </row>
    <row r="1712" spans="1:6" x14ac:dyDescent="0.35">
      <c r="A1712" s="5" t="s">
        <v>13</v>
      </c>
      <c r="B1712" s="1" t="s">
        <v>44</v>
      </c>
      <c r="C1712" s="1">
        <v>47</v>
      </c>
      <c r="D1712" s="1">
        <v>1043</v>
      </c>
      <c r="E1712" s="1" t="s">
        <v>39</v>
      </c>
      <c r="F1712" s="6" t="s">
        <v>40</v>
      </c>
    </row>
    <row r="1713" spans="1:6" x14ac:dyDescent="0.35">
      <c r="A1713" s="5" t="s">
        <v>13</v>
      </c>
      <c r="B1713" s="1" t="s">
        <v>44</v>
      </c>
      <c r="C1713" s="1">
        <v>48</v>
      </c>
      <c r="D1713" s="1">
        <v>544</v>
      </c>
      <c r="E1713" s="1" t="s">
        <v>39</v>
      </c>
      <c r="F1713" s="6" t="s">
        <v>40</v>
      </c>
    </row>
    <row r="1714" spans="1:6" x14ac:dyDescent="0.35">
      <c r="A1714" s="5" t="s">
        <v>13</v>
      </c>
      <c r="B1714" s="1" t="s">
        <v>44</v>
      </c>
      <c r="C1714" s="1">
        <v>49</v>
      </c>
      <c r="D1714" s="1">
        <v>963</v>
      </c>
      <c r="E1714" s="1" t="s">
        <v>39</v>
      </c>
      <c r="F1714" s="6" t="s">
        <v>40</v>
      </c>
    </row>
    <row r="1715" spans="1:6" x14ac:dyDescent="0.35">
      <c r="A1715" s="5" t="s">
        <v>13</v>
      </c>
      <c r="B1715" s="1" t="s">
        <v>44</v>
      </c>
      <c r="C1715" s="1">
        <v>50</v>
      </c>
      <c r="D1715" s="1">
        <v>298</v>
      </c>
      <c r="E1715" s="1" t="s">
        <v>39</v>
      </c>
      <c r="F1715" s="6" t="s">
        <v>40</v>
      </c>
    </row>
    <row r="1716" spans="1:6" x14ac:dyDescent="0.35">
      <c r="A1716" s="5" t="s">
        <v>13</v>
      </c>
      <c r="B1716" s="1" t="s">
        <v>44</v>
      </c>
      <c r="C1716" s="1">
        <v>51</v>
      </c>
      <c r="D1716" s="1">
        <v>459</v>
      </c>
      <c r="E1716" s="1" t="s">
        <v>39</v>
      </c>
      <c r="F1716" s="6" t="s">
        <v>40</v>
      </c>
    </row>
    <row r="1717" spans="1:6" x14ac:dyDescent="0.35">
      <c r="A1717" s="5" t="s">
        <v>13</v>
      </c>
      <c r="B1717" s="1" t="s">
        <v>44</v>
      </c>
      <c r="C1717" s="1">
        <v>52</v>
      </c>
      <c r="D1717" s="1">
        <v>439</v>
      </c>
      <c r="E1717" s="1" t="s">
        <v>39</v>
      </c>
      <c r="F1717" s="6" t="s">
        <v>40</v>
      </c>
    </row>
    <row r="1718" spans="1:6" x14ac:dyDescent="0.35">
      <c r="A1718" s="5" t="s">
        <v>6</v>
      </c>
      <c r="B1718" s="1" t="s">
        <v>38</v>
      </c>
      <c r="C1718" s="1">
        <v>1</v>
      </c>
      <c r="D1718" s="1">
        <v>2</v>
      </c>
      <c r="E1718" s="1" t="s">
        <v>39</v>
      </c>
      <c r="F1718" s="6" t="s">
        <v>40</v>
      </c>
    </row>
    <row r="1719" spans="1:6" x14ac:dyDescent="0.35">
      <c r="A1719" s="5" t="s">
        <v>6</v>
      </c>
      <c r="B1719" s="1" t="s">
        <v>38</v>
      </c>
      <c r="C1719" s="1">
        <v>2</v>
      </c>
      <c r="D1719" s="1">
        <v>12</v>
      </c>
      <c r="E1719" s="1" t="s">
        <v>39</v>
      </c>
      <c r="F1719" s="6" t="s">
        <v>40</v>
      </c>
    </row>
    <row r="1720" spans="1:6" x14ac:dyDescent="0.35">
      <c r="A1720" s="5" t="s">
        <v>6</v>
      </c>
      <c r="B1720" s="1" t="s">
        <v>38</v>
      </c>
      <c r="C1720" s="1">
        <v>3</v>
      </c>
      <c r="D1720" s="1">
        <v>11</v>
      </c>
      <c r="E1720" s="1" t="s">
        <v>39</v>
      </c>
      <c r="F1720" s="6" t="s">
        <v>40</v>
      </c>
    </row>
    <row r="1721" spans="1:6" x14ac:dyDescent="0.35">
      <c r="A1721" s="5" t="s">
        <v>6</v>
      </c>
      <c r="B1721" s="1" t="s">
        <v>38</v>
      </c>
      <c r="C1721" s="1">
        <v>4</v>
      </c>
      <c r="D1721" s="1">
        <v>10</v>
      </c>
      <c r="E1721" s="1" t="s">
        <v>39</v>
      </c>
      <c r="F1721" s="6" t="s">
        <v>40</v>
      </c>
    </row>
    <row r="1722" spans="1:6" x14ac:dyDescent="0.35">
      <c r="A1722" s="5" t="s">
        <v>6</v>
      </c>
      <c r="B1722" s="1" t="s">
        <v>38</v>
      </c>
      <c r="C1722" s="1">
        <v>5</v>
      </c>
      <c r="D1722" s="1">
        <v>6</v>
      </c>
      <c r="E1722" s="1" t="s">
        <v>39</v>
      </c>
      <c r="F1722" s="6" t="s">
        <v>40</v>
      </c>
    </row>
    <row r="1723" spans="1:6" x14ac:dyDescent="0.35">
      <c r="A1723" s="5" t="s">
        <v>6</v>
      </c>
      <c r="B1723" s="1" t="s">
        <v>38</v>
      </c>
      <c r="C1723" s="1">
        <v>6</v>
      </c>
      <c r="D1723" s="1">
        <v>10</v>
      </c>
      <c r="E1723" s="1" t="s">
        <v>39</v>
      </c>
      <c r="F1723" s="6" t="s">
        <v>40</v>
      </c>
    </row>
    <row r="1724" spans="1:6" x14ac:dyDescent="0.35">
      <c r="A1724" s="5" t="s">
        <v>6</v>
      </c>
      <c r="B1724" s="1" t="s">
        <v>38</v>
      </c>
      <c r="C1724" s="1">
        <v>7</v>
      </c>
      <c r="D1724" s="1">
        <v>3</v>
      </c>
      <c r="E1724" s="1" t="s">
        <v>39</v>
      </c>
      <c r="F1724" s="6" t="s">
        <v>40</v>
      </c>
    </row>
    <row r="1725" spans="1:6" x14ac:dyDescent="0.35">
      <c r="A1725" s="5" t="s">
        <v>6</v>
      </c>
      <c r="B1725" s="1" t="s">
        <v>38</v>
      </c>
      <c r="C1725" s="1">
        <v>8</v>
      </c>
      <c r="D1725" s="1">
        <v>8</v>
      </c>
      <c r="E1725" s="1" t="s">
        <v>39</v>
      </c>
      <c r="F1725" s="6" t="s">
        <v>40</v>
      </c>
    </row>
    <row r="1726" spans="1:6" x14ac:dyDescent="0.35">
      <c r="A1726" s="5" t="s">
        <v>6</v>
      </c>
      <c r="B1726" s="1" t="s">
        <v>38</v>
      </c>
      <c r="C1726" s="1">
        <v>9</v>
      </c>
      <c r="D1726" s="1">
        <v>6</v>
      </c>
      <c r="E1726" s="1" t="s">
        <v>39</v>
      </c>
      <c r="F1726" s="6" t="s">
        <v>40</v>
      </c>
    </row>
    <row r="1727" spans="1:6" x14ac:dyDescent="0.35">
      <c r="A1727" s="5" t="s">
        <v>6</v>
      </c>
      <c r="B1727" s="1" t="s">
        <v>38</v>
      </c>
      <c r="C1727" s="1">
        <v>10</v>
      </c>
      <c r="D1727" s="1">
        <v>6</v>
      </c>
      <c r="E1727" s="1" t="s">
        <v>39</v>
      </c>
      <c r="F1727" s="6" t="s">
        <v>40</v>
      </c>
    </row>
    <row r="1728" spans="1:6" x14ac:dyDescent="0.35">
      <c r="A1728" s="5" t="s">
        <v>6</v>
      </c>
      <c r="B1728" s="1" t="s">
        <v>38</v>
      </c>
      <c r="C1728" s="1">
        <v>11</v>
      </c>
      <c r="D1728" s="1">
        <v>13</v>
      </c>
      <c r="E1728" s="1" t="s">
        <v>39</v>
      </c>
      <c r="F1728" s="6" t="s">
        <v>40</v>
      </c>
    </row>
    <row r="1729" spans="1:6" x14ac:dyDescent="0.35">
      <c r="A1729" s="5" t="s">
        <v>6</v>
      </c>
      <c r="B1729" s="1" t="s">
        <v>38</v>
      </c>
      <c r="C1729" s="1">
        <v>12</v>
      </c>
      <c r="D1729" s="1">
        <v>18</v>
      </c>
      <c r="E1729" s="1" t="s">
        <v>39</v>
      </c>
      <c r="F1729" s="6" t="s">
        <v>40</v>
      </c>
    </row>
    <row r="1730" spans="1:6" x14ac:dyDescent="0.35">
      <c r="A1730" s="5" t="s">
        <v>6</v>
      </c>
      <c r="B1730" s="1" t="s">
        <v>38</v>
      </c>
      <c r="C1730" s="1">
        <v>13</v>
      </c>
      <c r="D1730" s="1">
        <v>5</v>
      </c>
      <c r="E1730" s="1" t="s">
        <v>39</v>
      </c>
      <c r="F1730" s="6" t="s">
        <v>40</v>
      </c>
    </row>
    <row r="1731" spans="1:6" x14ac:dyDescent="0.35">
      <c r="A1731" s="5" t="s">
        <v>6</v>
      </c>
      <c r="B1731" s="1" t="s">
        <v>38</v>
      </c>
      <c r="C1731" s="1">
        <v>14</v>
      </c>
      <c r="D1731" s="1">
        <v>9</v>
      </c>
      <c r="E1731" s="1" t="s">
        <v>39</v>
      </c>
      <c r="F1731" s="6" t="s">
        <v>40</v>
      </c>
    </row>
    <row r="1732" spans="1:6" x14ac:dyDescent="0.35">
      <c r="A1732" s="5" t="s">
        <v>6</v>
      </c>
      <c r="B1732" s="1" t="s">
        <v>38</v>
      </c>
      <c r="C1732" s="1">
        <v>15</v>
      </c>
      <c r="D1732" s="1">
        <v>3</v>
      </c>
      <c r="E1732" s="1" t="s">
        <v>39</v>
      </c>
      <c r="F1732" s="6" t="s">
        <v>40</v>
      </c>
    </row>
    <row r="1733" spans="1:6" x14ac:dyDescent="0.35">
      <c r="A1733" s="5" t="s">
        <v>6</v>
      </c>
      <c r="B1733" s="1" t="s">
        <v>38</v>
      </c>
      <c r="C1733" s="1">
        <v>16</v>
      </c>
      <c r="D1733" s="1">
        <v>12</v>
      </c>
      <c r="E1733" s="1" t="s">
        <v>39</v>
      </c>
      <c r="F1733" s="6" t="s">
        <v>40</v>
      </c>
    </row>
    <row r="1734" spans="1:6" x14ac:dyDescent="0.35">
      <c r="A1734" s="5" t="s">
        <v>6</v>
      </c>
      <c r="B1734" s="1" t="s">
        <v>38</v>
      </c>
      <c r="C1734" s="1">
        <v>17</v>
      </c>
      <c r="D1734" s="1">
        <v>5</v>
      </c>
      <c r="E1734" s="1" t="s">
        <v>39</v>
      </c>
      <c r="F1734" s="6" t="s">
        <v>40</v>
      </c>
    </row>
    <row r="1735" spans="1:6" x14ac:dyDescent="0.35">
      <c r="A1735" s="5" t="s">
        <v>6</v>
      </c>
      <c r="B1735" s="1" t="s">
        <v>38</v>
      </c>
      <c r="C1735" s="1">
        <v>18</v>
      </c>
      <c r="D1735" s="1">
        <v>13</v>
      </c>
      <c r="E1735" s="1" t="s">
        <v>39</v>
      </c>
      <c r="F1735" s="6" t="s">
        <v>40</v>
      </c>
    </row>
    <row r="1736" spans="1:6" x14ac:dyDescent="0.35">
      <c r="A1736" s="5" t="s">
        <v>6</v>
      </c>
      <c r="B1736" s="1" t="s">
        <v>38</v>
      </c>
      <c r="C1736" s="1">
        <v>19</v>
      </c>
      <c r="D1736" s="1">
        <v>11</v>
      </c>
      <c r="E1736" s="1" t="s">
        <v>39</v>
      </c>
      <c r="F1736" s="6" t="s">
        <v>40</v>
      </c>
    </row>
    <row r="1737" spans="1:6" x14ac:dyDescent="0.35">
      <c r="A1737" s="5" t="s">
        <v>6</v>
      </c>
      <c r="B1737" s="1" t="s">
        <v>38</v>
      </c>
      <c r="C1737" s="1">
        <v>20</v>
      </c>
      <c r="D1737" s="1">
        <v>4</v>
      </c>
      <c r="E1737" s="1" t="s">
        <v>39</v>
      </c>
      <c r="F1737" s="6" t="s">
        <v>40</v>
      </c>
    </row>
    <row r="1738" spans="1:6" x14ac:dyDescent="0.35">
      <c r="A1738" s="5" t="s">
        <v>6</v>
      </c>
      <c r="B1738" s="1" t="s">
        <v>38</v>
      </c>
      <c r="C1738" s="1">
        <v>21</v>
      </c>
      <c r="D1738" s="1">
        <v>16</v>
      </c>
      <c r="E1738" s="1" t="s">
        <v>39</v>
      </c>
      <c r="F1738" s="6" t="s">
        <v>40</v>
      </c>
    </row>
    <row r="1739" spans="1:6" x14ac:dyDescent="0.35">
      <c r="A1739" s="5" t="s">
        <v>6</v>
      </c>
      <c r="B1739" s="1" t="s">
        <v>38</v>
      </c>
      <c r="C1739" s="1">
        <v>22</v>
      </c>
      <c r="D1739" s="1">
        <v>18</v>
      </c>
      <c r="E1739" s="1" t="s">
        <v>39</v>
      </c>
      <c r="F1739" s="6" t="s">
        <v>40</v>
      </c>
    </row>
    <row r="1740" spans="1:6" x14ac:dyDescent="0.35">
      <c r="A1740" s="5" t="s">
        <v>6</v>
      </c>
      <c r="B1740" s="1" t="s">
        <v>38</v>
      </c>
      <c r="C1740" s="1">
        <v>23</v>
      </c>
      <c r="D1740" s="1">
        <v>11</v>
      </c>
      <c r="E1740" s="1" t="s">
        <v>39</v>
      </c>
      <c r="F1740" s="6" t="s">
        <v>40</v>
      </c>
    </row>
    <row r="1741" spans="1:6" x14ac:dyDescent="0.35">
      <c r="A1741" s="5" t="s">
        <v>6</v>
      </c>
      <c r="B1741" s="1" t="s">
        <v>38</v>
      </c>
      <c r="C1741" s="1">
        <v>24</v>
      </c>
      <c r="D1741" s="1">
        <v>11</v>
      </c>
      <c r="E1741" s="1" t="s">
        <v>39</v>
      </c>
      <c r="F1741" s="6" t="s">
        <v>40</v>
      </c>
    </row>
    <row r="1742" spans="1:6" x14ac:dyDescent="0.35">
      <c r="A1742" s="5" t="s">
        <v>6</v>
      </c>
      <c r="B1742" s="1" t="s">
        <v>38</v>
      </c>
      <c r="C1742" s="1">
        <v>25</v>
      </c>
      <c r="D1742" s="1">
        <v>14</v>
      </c>
      <c r="E1742" s="1" t="s">
        <v>39</v>
      </c>
      <c r="F1742" s="6" t="s">
        <v>40</v>
      </c>
    </row>
    <row r="1743" spans="1:6" x14ac:dyDescent="0.35">
      <c r="A1743" s="5" t="s">
        <v>6</v>
      </c>
      <c r="B1743" s="1" t="s">
        <v>38</v>
      </c>
      <c r="C1743" s="1">
        <v>26</v>
      </c>
      <c r="D1743" s="1">
        <v>14</v>
      </c>
      <c r="E1743" s="1" t="s">
        <v>39</v>
      </c>
      <c r="F1743" s="6" t="s">
        <v>40</v>
      </c>
    </row>
    <row r="1744" spans="1:6" x14ac:dyDescent="0.35">
      <c r="A1744" s="5" t="s">
        <v>6</v>
      </c>
      <c r="B1744" s="1" t="s">
        <v>38</v>
      </c>
      <c r="C1744" s="1">
        <v>27</v>
      </c>
      <c r="D1744" s="1">
        <v>16</v>
      </c>
      <c r="E1744" s="1" t="s">
        <v>39</v>
      </c>
      <c r="F1744" s="6" t="s">
        <v>40</v>
      </c>
    </row>
    <row r="1745" spans="1:6" x14ac:dyDescent="0.35">
      <c r="A1745" s="5" t="s">
        <v>6</v>
      </c>
      <c r="B1745" s="1" t="s">
        <v>38</v>
      </c>
      <c r="C1745" s="1">
        <v>28</v>
      </c>
      <c r="D1745" s="1">
        <v>13</v>
      </c>
      <c r="E1745" s="1" t="s">
        <v>39</v>
      </c>
      <c r="F1745" s="6" t="s">
        <v>40</v>
      </c>
    </row>
    <row r="1746" spans="1:6" x14ac:dyDescent="0.35">
      <c r="A1746" s="5" t="s">
        <v>6</v>
      </c>
      <c r="B1746" s="1" t="s">
        <v>38</v>
      </c>
      <c r="C1746" s="1">
        <v>29</v>
      </c>
      <c r="D1746" s="1">
        <v>17</v>
      </c>
      <c r="E1746" s="1" t="s">
        <v>39</v>
      </c>
      <c r="F1746" s="6" t="s">
        <v>40</v>
      </c>
    </row>
    <row r="1747" spans="1:6" x14ac:dyDescent="0.35">
      <c r="A1747" s="5" t="s">
        <v>6</v>
      </c>
      <c r="B1747" s="1" t="s">
        <v>38</v>
      </c>
      <c r="C1747" s="1">
        <v>30</v>
      </c>
      <c r="D1747" s="1">
        <v>6</v>
      </c>
      <c r="E1747" s="1" t="s">
        <v>39</v>
      </c>
      <c r="F1747" s="6" t="s">
        <v>40</v>
      </c>
    </row>
    <row r="1748" spans="1:6" x14ac:dyDescent="0.35">
      <c r="A1748" s="5" t="s">
        <v>6</v>
      </c>
      <c r="B1748" s="1" t="s">
        <v>38</v>
      </c>
      <c r="C1748" s="1">
        <v>31</v>
      </c>
      <c r="D1748" s="1">
        <v>7</v>
      </c>
      <c r="E1748" s="1" t="s">
        <v>39</v>
      </c>
      <c r="F1748" s="6" t="s">
        <v>40</v>
      </c>
    </row>
    <row r="1749" spans="1:6" x14ac:dyDescent="0.35">
      <c r="A1749" s="5" t="s">
        <v>6</v>
      </c>
      <c r="B1749" s="1" t="s">
        <v>38</v>
      </c>
      <c r="C1749" s="1">
        <v>32</v>
      </c>
      <c r="D1749" s="1">
        <v>27</v>
      </c>
      <c r="E1749" s="1" t="s">
        <v>39</v>
      </c>
      <c r="F1749" s="6" t="s">
        <v>40</v>
      </c>
    </row>
    <row r="1750" spans="1:6" x14ac:dyDescent="0.35">
      <c r="A1750" s="5" t="s">
        <v>6</v>
      </c>
      <c r="B1750" s="1" t="s">
        <v>38</v>
      </c>
      <c r="C1750" s="1">
        <v>33</v>
      </c>
      <c r="D1750" s="1">
        <v>14</v>
      </c>
      <c r="E1750" s="1" t="s">
        <v>39</v>
      </c>
      <c r="F1750" s="6" t="s">
        <v>40</v>
      </c>
    </row>
    <row r="1751" spans="1:6" x14ac:dyDescent="0.35">
      <c r="A1751" s="5" t="s">
        <v>6</v>
      </c>
      <c r="B1751" s="1" t="s">
        <v>38</v>
      </c>
      <c r="C1751" s="1">
        <v>34</v>
      </c>
      <c r="D1751" s="1">
        <v>26</v>
      </c>
      <c r="E1751" s="1" t="s">
        <v>39</v>
      </c>
      <c r="F1751" s="6" t="s">
        <v>40</v>
      </c>
    </row>
    <row r="1752" spans="1:6" x14ac:dyDescent="0.35">
      <c r="A1752" s="5" t="s">
        <v>6</v>
      </c>
      <c r="B1752" s="1" t="s">
        <v>38</v>
      </c>
      <c r="C1752" s="1">
        <v>35</v>
      </c>
      <c r="D1752" s="1">
        <v>15</v>
      </c>
      <c r="E1752" s="1" t="s">
        <v>39</v>
      </c>
      <c r="F1752" s="6" t="s">
        <v>40</v>
      </c>
    </row>
    <row r="1753" spans="1:6" x14ac:dyDescent="0.35">
      <c r="A1753" s="5" t="s">
        <v>6</v>
      </c>
      <c r="B1753" s="1" t="s">
        <v>38</v>
      </c>
      <c r="C1753" s="1">
        <v>36</v>
      </c>
      <c r="D1753" s="1">
        <v>15</v>
      </c>
      <c r="E1753" s="1" t="s">
        <v>39</v>
      </c>
      <c r="F1753" s="6" t="s">
        <v>40</v>
      </c>
    </row>
    <row r="1754" spans="1:6" x14ac:dyDescent="0.35">
      <c r="A1754" s="5" t="s">
        <v>6</v>
      </c>
      <c r="B1754" s="1" t="s">
        <v>38</v>
      </c>
      <c r="C1754" s="1">
        <v>37</v>
      </c>
      <c r="D1754" s="1">
        <v>8</v>
      </c>
      <c r="E1754" s="1" t="s">
        <v>39</v>
      </c>
      <c r="F1754" s="6" t="s">
        <v>40</v>
      </c>
    </row>
    <row r="1755" spans="1:6" x14ac:dyDescent="0.35">
      <c r="A1755" s="5" t="s">
        <v>6</v>
      </c>
      <c r="B1755" s="1" t="s">
        <v>38</v>
      </c>
      <c r="C1755" s="1">
        <v>38</v>
      </c>
      <c r="D1755" s="1">
        <v>24</v>
      </c>
      <c r="E1755" s="1" t="s">
        <v>39</v>
      </c>
      <c r="F1755" s="6" t="s">
        <v>40</v>
      </c>
    </row>
    <row r="1756" spans="1:6" x14ac:dyDescent="0.35">
      <c r="A1756" s="5" t="s">
        <v>6</v>
      </c>
      <c r="B1756" s="1" t="s">
        <v>38</v>
      </c>
      <c r="C1756" s="1">
        <v>39</v>
      </c>
      <c r="D1756" s="1">
        <v>2</v>
      </c>
      <c r="E1756" s="1" t="s">
        <v>39</v>
      </c>
      <c r="F1756" s="6" t="s">
        <v>40</v>
      </c>
    </row>
    <row r="1757" spans="1:6" x14ac:dyDescent="0.35">
      <c r="A1757" s="5" t="s">
        <v>6</v>
      </c>
      <c r="B1757" s="1" t="s">
        <v>38</v>
      </c>
      <c r="C1757" s="1">
        <v>40</v>
      </c>
      <c r="D1757" s="1">
        <v>17</v>
      </c>
      <c r="E1757" s="1" t="s">
        <v>39</v>
      </c>
      <c r="F1757" s="6" t="s">
        <v>40</v>
      </c>
    </row>
    <row r="1758" spans="1:6" x14ac:dyDescent="0.35">
      <c r="A1758" s="5" t="s">
        <v>6</v>
      </c>
      <c r="B1758" s="1" t="s">
        <v>38</v>
      </c>
      <c r="C1758" s="1">
        <v>41</v>
      </c>
      <c r="D1758" s="1">
        <v>15</v>
      </c>
      <c r="E1758" s="1" t="s">
        <v>39</v>
      </c>
      <c r="F1758" s="6" t="s">
        <v>40</v>
      </c>
    </row>
    <row r="1759" spans="1:6" x14ac:dyDescent="0.35">
      <c r="A1759" s="5" t="s">
        <v>6</v>
      </c>
      <c r="B1759" s="1" t="s">
        <v>38</v>
      </c>
      <c r="C1759" s="1">
        <v>42</v>
      </c>
      <c r="D1759" s="1">
        <v>17</v>
      </c>
      <c r="E1759" s="1" t="s">
        <v>39</v>
      </c>
      <c r="F1759" s="6" t="s">
        <v>40</v>
      </c>
    </row>
    <row r="1760" spans="1:6" x14ac:dyDescent="0.35">
      <c r="A1760" s="5" t="s">
        <v>6</v>
      </c>
      <c r="B1760" s="1" t="s">
        <v>38</v>
      </c>
      <c r="C1760" s="1">
        <v>43</v>
      </c>
      <c r="D1760" s="1">
        <v>11</v>
      </c>
      <c r="E1760" s="1" t="s">
        <v>39</v>
      </c>
      <c r="F1760" s="6" t="s">
        <v>40</v>
      </c>
    </row>
    <row r="1761" spans="1:6" x14ac:dyDescent="0.35">
      <c r="A1761" s="5" t="s">
        <v>6</v>
      </c>
      <c r="B1761" s="1" t="s">
        <v>38</v>
      </c>
      <c r="C1761" s="1">
        <v>44</v>
      </c>
      <c r="D1761" s="1">
        <v>9</v>
      </c>
      <c r="E1761" s="1" t="s">
        <v>39</v>
      </c>
      <c r="F1761" s="6" t="s">
        <v>40</v>
      </c>
    </row>
    <row r="1762" spans="1:6" x14ac:dyDescent="0.35">
      <c r="A1762" s="5" t="s">
        <v>6</v>
      </c>
      <c r="B1762" s="1" t="s">
        <v>38</v>
      </c>
      <c r="C1762" s="1">
        <v>45</v>
      </c>
      <c r="D1762" s="1">
        <v>22</v>
      </c>
      <c r="E1762" s="1" t="s">
        <v>39</v>
      </c>
      <c r="F1762" s="6" t="s">
        <v>40</v>
      </c>
    </row>
    <row r="1763" spans="1:6" x14ac:dyDescent="0.35">
      <c r="A1763" s="5" t="s">
        <v>6</v>
      </c>
      <c r="B1763" s="1" t="s">
        <v>38</v>
      </c>
      <c r="C1763" s="1">
        <v>46</v>
      </c>
      <c r="D1763" s="1">
        <v>28</v>
      </c>
      <c r="E1763" s="1" t="s">
        <v>39</v>
      </c>
      <c r="F1763" s="6" t="s">
        <v>40</v>
      </c>
    </row>
    <row r="1764" spans="1:6" x14ac:dyDescent="0.35">
      <c r="A1764" s="5" t="s">
        <v>6</v>
      </c>
      <c r="B1764" s="1" t="s">
        <v>38</v>
      </c>
      <c r="C1764" s="1">
        <v>47</v>
      </c>
      <c r="D1764" s="1">
        <v>16</v>
      </c>
      <c r="E1764" s="1" t="s">
        <v>39</v>
      </c>
      <c r="F1764" s="6" t="s">
        <v>40</v>
      </c>
    </row>
    <row r="1765" spans="1:6" x14ac:dyDescent="0.35">
      <c r="A1765" s="5" t="s">
        <v>6</v>
      </c>
      <c r="B1765" s="1" t="s">
        <v>38</v>
      </c>
      <c r="C1765" s="1">
        <v>48</v>
      </c>
      <c r="D1765" s="1">
        <v>8</v>
      </c>
      <c r="E1765" s="1" t="s">
        <v>39</v>
      </c>
      <c r="F1765" s="6" t="s">
        <v>40</v>
      </c>
    </row>
    <row r="1766" spans="1:6" x14ac:dyDescent="0.35">
      <c r="A1766" s="5" t="s">
        <v>6</v>
      </c>
      <c r="B1766" s="1" t="s">
        <v>38</v>
      </c>
      <c r="C1766" s="1">
        <v>49</v>
      </c>
      <c r="D1766" s="1">
        <v>27</v>
      </c>
      <c r="E1766" s="1" t="s">
        <v>39</v>
      </c>
      <c r="F1766" s="6" t="s">
        <v>40</v>
      </c>
    </row>
    <row r="1767" spans="1:6" x14ac:dyDescent="0.35">
      <c r="A1767" s="5" t="s">
        <v>6</v>
      </c>
      <c r="B1767" s="1" t="s">
        <v>38</v>
      </c>
      <c r="C1767" s="1">
        <v>50</v>
      </c>
      <c r="D1767" s="1">
        <v>10</v>
      </c>
      <c r="E1767" s="1" t="s">
        <v>39</v>
      </c>
      <c r="F1767" s="6" t="s">
        <v>40</v>
      </c>
    </row>
    <row r="1768" spans="1:6" x14ac:dyDescent="0.35">
      <c r="A1768" s="5" t="s">
        <v>6</v>
      </c>
      <c r="B1768" s="1" t="s">
        <v>38</v>
      </c>
      <c r="C1768" s="1">
        <v>51</v>
      </c>
      <c r="D1768" s="1">
        <v>26</v>
      </c>
      <c r="E1768" s="1" t="s">
        <v>39</v>
      </c>
      <c r="F1768" s="6" t="s">
        <v>40</v>
      </c>
    </row>
    <row r="1769" spans="1:6" x14ac:dyDescent="0.35">
      <c r="A1769" s="5" t="s">
        <v>6</v>
      </c>
      <c r="B1769" s="1" t="s">
        <v>38</v>
      </c>
      <c r="C1769" s="1">
        <v>52</v>
      </c>
      <c r="D1769" s="1">
        <v>8</v>
      </c>
      <c r="E1769" s="1" t="s">
        <v>39</v>
      </c>
      <c r="F1769" s="6" t="s">
        <v>40</v>
      </c>
    </row>
    <row r="1770" spans="1:6" x14ac:dyDescent="0.35">
      <c r="A1770" s="5" t="s">
        <v>10</v>
      </c>
      <c r="B1770" s="1" t="s">
        <v>38</v>
      </c>
      <c r="C1770" s="1">
        <v>1</v>
      </c>
      <c r="D1770" s="1">
        <v>53</v>
      </c>
      <c r="E1770" s="1" t="s">
        <v>41</v>
      </c>
      <c r="F1770" s="6" t="s">
        <v>42</v>
      </c>
    </row>
    <row r="1771" spans="1:6" x14ac:dyDescent="0.35">
      <c r="A1771" s="5" t="s">
        <v>10</v>
      </c>
      <c r="B1771" s="1" t="s">
        <v>38</v>
      </c>
      <c r="C1771" s="1">
        <v>2</v>
      </c>
      <c r="D1771" s="1">
        <v>158</v>
      </c>
      <c r="E1771" s="1" t="s">
        <v>41</v>
      </c>
      <c r="F1771" s="6" t="s">
        <v>42</v>
      </c>
    </row>
    <row r="1772" spans="1:6" x14ac:dyDescent="0.35">
      <c r="A1772" s="5" t="s">
        <v>10</v>
      </c>
      <c r="B1772" s="1" t="s">
        <v>38</v>
      </c>
      <c r="C1772" s="1">
        <v>3</v>
      </c>
      <c r="D1772" s="1">
        <v>48</v>
      </c>
      <c r="E1772" s="1" t="s">
        <v>41</v>
      </c>
      <c r="F1772" s="6" t="s">
        <v>42</v>
      </c>
    </row>
    <row r="1773" spans="1:6" x14ac:dyDescent="0.35">
      <c r="A1773" s="5" t="s">
        <v>10</v>
      </c>
      <c r="B1773" s="1" t="s">
        <v>38</v>
      </c>
      <c r="C1773" s="1">
        <v>4</v>
      </c>
      <c r="D1773" s="1">
        <v>150</v>
      </c>
      <c r="E1773" s="1" t="s">
        <v>41</v>
      </c>
      <c r="F1773" s="6" t="s">
        <v>42</v>
      </c>
    </row>
    <row r="1774" spans="1:6" x14ac:dyDescent="0.35">
      <c r="A1774" s="5" t="s">
        <v>10</v>
      </c>
      <c r="B1774" s="1" t="s">
        <v>38</v>
      </c>
      <c r="C1774" s="1">
        <v>5</v>
      </c>
      <c r="D1774" s="1">
        <v>119</v>
      </c>
      <c r="E1774" s="1" t="s">
        <v>41</v>
      </c>
      <c r="F1774" s="6" t="s">
        <v>42</v>
      </c>
    </row>
    <row r="1775" spans="1:6" x14ac:dyDescent="0.35">
      <c r="A1775" s="5" t="s">
        <v>10</v>
      </c>
      <c r="B1775" s="1" t="s">
        <v>38</v>
      </c>
      <c r="C1775" s="1">
        <v>6</v>
      </c>
      <c r="D1775" s="1">
        <v>197</v>
      </c>
      <c r="E1775" s="1" t="s">
        <v>41</v>
      </c>
      <c r="F1775" s="6" t="s">
        <v>42</v>
      </c>
    </row>
    <row r="1776" spans="1:6" x14ac:dyDescent="0.35">
      <c r="A1776" s="5" t="s">
        <v>10</v>
      </c>
      <c r="B1776" s="1" t="s">
        <v>38</v>
      </c>
      <c r="C1776" s="1">
        <v>7</v>
      </c>
      <c r="D1776" s="1">
        <v>52</v>
      </c>
      <c r="E1776" s="1" t="s">
        <v>41</v>
      </c>
      <c r="F1776" s="6" t="s">
        <v>42</v>
      </c>
    </row>
    <row r="1777" spans="1:6" x14ac:dyDescent="0.35">
      <c r="A1777" s="5" t="s">
        <v>10</v>
      </c>
      <c r="B1777" s="1" t="s">
        <v>38</v>
      </c>
      <c r="C1777" s="1">
        <v>8</v>
      </c>
      <c r="D1777" s="1">
        <v>160</v>
      </c>
      <c r="E1777" s="1" t="s">
        <v>41</v>
      </c>
      <c r="F1777" s="6" t="s">
        <v>42</v>
      </c>
    </row>
    <row r="1778" spans="1:6" x14ac:dyDescent="0.35">
      <c r="A1778" s="5" t="s">
        <v>10</v>
      </c>
      <c r="B1778" s="1" t="s">
        <v>38</v>
      </c>
      <c r="C1778" s="1">
        <v>9</v>
      </c>
      <c r="D1778" s="1">
        <v>180</v>
      </c>
      <c r="E1778" s="1" t="s">
        <v>41</v>
      </c>
      <c r="F1778" s="6" t="s">
        <v>42</v>
      </c>
    </row>
    <row r="1779" spans="1:6" x14ac:dyDescent="0.35">
      <c r="A1779" s="5" t="s">
        <v>10</v>
      </c>
      <c r="B1779" s="1" t="s">
        <v>38</v>
      </c>
      <c r="C1779" s="1">
        <v>10</v>
      </c>
      <c r="D1779" s="1">
        <v>153</v>
      </c>
      <c r="E1779" s="1" t="s">
        <v>41</v>
      </c>
      <c r="F1779" s="6" t="s">
        <v>42</v>
      </c>
    </row>
    <row r="1780" spans="1:6" x14ac:dyDescent="0.35">
      <c r="A1780" s="5" t="s">
        <v>10</v>
      </c>
      <c r="B1780" s="1" t="s">
        <v>38</v>
      </c>
      <c r="C1780" s="1">
        <v>11</v>
      </c>
      <c r="D1780" s="1">
        <v>222</v>
      </c>
      <c r="E1780" s="1" t="s">
        <v>41</v>
      </c>
      <c r="F1780" s="6" t="s">
        <v>42</v>
      </c>
    </row>
    <row r="1781" spans="1:6" x14ac:dyDescent="0.35">
      <c r="A1781" s="5" t="s">
        <v>10</v>
      </c>
      <c r="B1781" s="1" t="s">
        <v>38</v>
      </c>
      <c r="C1781" s="1">
        <v>12</v>
      </c>
      <c r="D1781" s="1">
        <v>137</v>
      </c>
      <c r="E1781" s="1" t="s">
        <v>41</v>
      </c>
      <c r="F1781" s="6" t="s">
        <v>42</v>
      </c>
    </row>
    <row r="1782" spans="1:6" x14ac:dyDescent="0.35">
      <c r="A1782" s="5" t="s">
        <v>10</v>
      </c>
      <c r="B1782" s="1" t="s">
        <v>38</v>
      </c>
      <c r="C1782" s="1">
        <v>13</v>
      </c>
      <c r="D1782" s="1">
        <v>91</v>
      </c>
      <c r="E1782" s="1" t="s">
        <v>41</v>
      </c>
      <c r="F1782" s="6" t="s">
        <v>42</v>
      </c>
    </row>
    <row r="1783" spans="1:6" x14ac:dyDescent="0.35">
      <c r="A1783" s="5" t="s">
        <v>10</v>
      </c>
      <c r="B1783" s="1" t="s">
        <v>38</v>
      </c>
      <c r="C1783" s="1">
        <v>14</v>
      </c>
      <c r="D1783" s="1">
        <v>72</v>
      </c>
      <c r="E1783" s="1" t="s">
        <v>41</v>
      </c>
      <c r="F1783" s="6" t="s">
        <v>42</v>
      </c>
    </row>
    <row r="1784" spans="1:6" x14ac:dyDescent="0.35">
      <c r="A1784" s="5" t="s">
        <v>10</v>
      </c>
      <c r="B1784" s="1" t="s">
        <v>38</v>
      </c>
      <c r="C1784" s="1">
        <v>15</v>
      </c>
      <c r="D1784" s="1">
        <v>148</v>
      </c>
      <c r="E1784" s="1" t="s">
        <v>41</v>
      </c>
      <c r="F1784" s="6" t="s">
        <v>42</v>
      </c>
    </row>
    <row r="1785" spans="1:6" x14ac:dyDescent="0.35">
      <c r="A1785" s="5" t="s">
        <v>10</v>
      </c>
      <c r="B1785" s="1" t="s">
        <v>38</v>
      </c>
      <c r="C1785" s="1">
        <v>16</v>
      </c>
      <c r="D1785" s="1">
        <v>104</v>
      </c>
      <c r="E1785" s="1" t="s">
        <v>41</v>
      </c>
      <c r="F1785" s="6" t="s">
        <v>42</v>
      </c>
    </row>
    <row r="1786" spans="1:6" x14ac:dyDescent="0.35">
      <c r="A1786" s="5" t="s">
        <v>10</v>
      </c>
      <c r="B1786" s="1" t="s">
        <v>38</v>
      </c>
      <c r="C1786" s="1">
        <v>17</v>
      </c>
      <c r="D1786" s="1">
        <v>44</v>
      </c>
      <c r="E1786" s="1" t="s">
        <v>41</v>
      </c>
      <c r="F1786" s="6" t="s">
        <v>42</v>
      </c>
    </row>
    <row r="1787" spans="1:6" x14ac:dyDescent="0.35">
      <c r="A1787" s="5" t="s">
        <v>10</v>
      </c>
      <c r="B1787" s="1" t="s">
        <v>38</v>
      </c>
      <c r="C1787" s="1">
        <v>18</v>
      </c>
      <c r="D1787" s="1">
        <v>185</v>
      </c>
      <c r="E1787" s="1" t="s">
        <v>41</v>
      </c>
      <c r="F1787" s="6" t="s">
        <v>42</v>
      </c>
    </row>
    <row r="1788" spans="1:6" x14ac:dyDescent="0.35">
      <c r="A1788" s="5" t="s">
        <v>10</v>
      </c>
      <c r="B1788" s="1" t="s">
        <v>38</v>
      </c>
      <c r="C1788" s="1">
        <v>19</v>
      </c>
      <c r="D1788" s="1">
        <v>255</v>
      </c>
      <c r="E1788" s="1" t="s">
        <v>41</v>
      </c>
      <c r="F1788" s="6" t="s">
        <v>42</v>
      </c>
    </row>
    <row r="1789" spans="1:6" x14ac:dyDescent="0.35">
      <c r="A1789" s="5" t="s">
        <v>10</v>
      </c>
      <c r="B1789" s="1" t="s">
        <v>38</v>
      </c>
      <c r="C1789" s="1">
        <v>20</v>
      </c>
      <c r="D1789" s="1">
        <v>121</v>
      </c>
      <c r="E1789" s="1" t="s">
        <v>41</v>
      </c>
      <c r="F1789" s="6" t="s">
        <v>42</v>
      </c>
    </row>
    <row r="1790" spans="1:6" x14ac:dyDescent="0.35">
      <c r="A1790" s="5" t="s">
        <v>10</v>
      </c>
      <c r="B1790" s="1" t="s">
        <v>38</v>
      </c>
      <c r="C1790" s="1">
        <v>21</v>
      </c>
      <c r="D1790" s="1">
        <v>110</v>
      </c>
      <c r="E1790" s="1" t="s">
        <v>41</v>
      </c>
      <c r="F1790" s="6" t="s">
        <v>42</v>
      </c>
    </row>
    <row r="1791" spans="1:6" x14ac:dyDescent="0.35">
      <c r="A1791" s="5" t="s">
        <v>10</v>
      </c>
      <c r="B1791" s="1" t="s">
        <v>38</v>
      </c>
      <c r="C1791" s="1">
        <v>22</v>
      </c>
      <c r="D1791" s="1">
        <v>191</v>
      </c>
      <c r="E1791" s="1" t="s">
        <v>41</v>
      </c>
      <c r="F1791" s="6" t="s">
        <v>42</v>
      </c>
    </row>
    <row r="1792" spans="1:6" x14ac:dyDescent="0.35">
      <c r="A1792" s="5" t="s">
        <v>10</v>
      </c>
      <c r="B1792" s="1" t="s">
        <v>38</v>
      </c>
      <c r="C1792" s="1">
        <v>23</v>
      </c>
      <c r="D1792" s="1">
        <v>94</v>
      </c>
      <c r="E1792" s="1" t="s">
        <v>41</v>
      </c>
      <c r="F1792" s="6" t="s">
        <v>42</v>
      </c>
    </row>
    <row r="1793" spans="1:6" x14ac:dyDescent="0.35">
      <c r="A1793" s="5" t="s">
        <v>10</v>
      </c>
      <c r="B1793" s="1" t="s">
        <v>38</v>
      </c>
      <c r="C1793" s="1">
        <v>24</v>
      </c>
      <c r="D1793" s="1">
        <v>232</v>
      </c>
      <c r="E1793" s="1" t="s">
        <v>41</v>
      </c>
      <c r="F1793" s="6" t="s">
        <v>42</v>
      </c>
    </row>
    <row r="1794" spans="1:6" x14ac:dyDescent="0.35">
      <c r="A1794" s="5" t="s">
        <v>10</v>
      </c>
      <c r="B1794" s="1" t="s">
        <v>38</v>
      </c>
      <c r="C1794" s="1">
        <v>25</v>
      </c>
      <c r="D1794" s="1">
        <v>70</v>
      </c>
      <c r="E1794" s="1" t="s">
        <v>41</v>
      </c>
      <c r="F1794" s="6" t="s">
        <v>42</v>
      </c>
    </row>
    <row r="1795" spans="1:6" x14ac:dyDescent="0.35">
      <c r="A1795" s="5" t="s">
        <v>10</v>
      </c>
      <c r="B1795" s="1" t="s">
        <v>38</v>
      </c>
      <c r="C1795" s="1">
        <v>26</v>
      </c>
      <c r="D1795" s="1">
        <v>357</v>
      </c>
      <c r="E1795" s="1" t="s">
        <v>41</v>
      </c>
      <c r="F1795" s="6" t="s">
        <v>42</v>
      </c>
    </row>
    <row r="1796" spans="1:6" x14ac:dyDescent="0.35">
      <c r="A1796" s="5" t="s">
        <v>10</v>
      </c>
      <c r="B1796" s="1" t="s">
        <v>38</v>
      </c>
      <c r="C1796" s="1">
        <v>27</v>
      </c>
      <c r="D1796" s="1">
        <v>104</v>
      </c>
      <c r="E1796" s="1" t="s">
        <v>41</v>
      </c>
      <c r="F1796" s="6" t="s">
        <v>42</v>
      </c>
    </row>
    <row r="1797" spans="1:6" x14ac:dyDescent="0.35">
      <c r="A1797" s="5" t="s">
        <v>10</v>
      </c>
      <c r="B1797" s="1" t="s">
        <v>38</v>
      </c>
      <c r="C1797" s="1">
        <v>28</v>
      </c>
      <c r="D1797" s="1">
        <v>185</v>
      </c>
      <c r="E1797" s="1" t="s">
        <v>41</v>
      </c>
      <c r="F1797" s="6" t="s">
        <v>42</v>
      </c>
    </row>
    <row r="1798" spans="1:6" x14ac:dyDescent="0.35">
      <c r="A1798" s="5" t="s">
        <v>10</v>
      </c>
      <c r="B1798" s="1" t="s">
        <v>38</v>
      </c>
      <c r="C1798" s="1">
        <v>29</v>
      </c>
      <c r="D1798" s="1">
        <v>283</v>
      </c>
      <c r="E1798" s="1" t="s">
        <v>41</v>
      </c>
      <c r="F1798" s="6" t="s">
        <v>42</v>
      </c>
    </row>
    <row r="1799" spans="1:6" x14ac:dyDescent="0.35">
      <c r="A1799" s="5" t="s">
        <v>10</v>
      </c>
      <c r="B1799" s="1" t="s">
        <v>38</v>
      </c>
      <c r="C1799" s="1">
        <v>30</v>
      </c>
      <c r="D1799" s="1">
        <v>74</v>
      </c>
      <c r="E1799" s="1" t="s">
        <v>41</v>
      </c>
      <c r="F1799" s="6" t="s">
        <v>42</v>
      </c>
    </row>
    <row r="1800" spans="1:6" x14ac:dyDescent="0.35">
      <c r="A1800" s="5" t="s">
        <v>10</v>
      </c>
      <c r="B1800" s="1" t="s">
        <v>38</v>
      </c>
      <c r="C1800" s="1">
        <v>31</v>
      </c>
      <c r="D1800" s="1">
        <v>207</v>
      </c>
      <c r="E1800" s="1" t="s">
        <v>41</v>
      </c>
      <c r="F1800" s="6" t="s">
        <v>42</v>
      </c>
    </row>
    <row r="1801" spans="1:6" x14ac:dyDescent="0.35">
      <c r="A1801" s="5" t="s">
        <v>10</v>
      </c>
      <c r="B1801" s="1" t="s">
        <v>38</v>
      </c>
      <c r="C1801" s="1">
        <v>32</v>
      </c>
      <c r="D1801" s="1">
        <v>316</v>
      </c>
      <c r="E1801" s="1" t="s">
        <v>41</v>
      </c>
      <c r="F1801" s="6" t="s">
        <v>42</v>
      </c>
    </row>
    <row r="1802" spans="1:6" x14ac:dyDescent="0.35">
      <c r="A1802" s="5" t="s">
        <v>10</v>
      </c>
      <c r="B1802" s="1" t="s">
        <v>38</v>
      </c>
      <c r="C1802" s="1">
        <v>33</v>
      </c>
      <c r="D1802" s="1">
        <v>191</v>
      </c>
      <c r="E1802" s="1" t="s">
        <v>41</v>
      </c>
      <c r="F1802" s="6" t="s">
        <v>42</v>
      </c>
    </row>
    <row r="1803" spans="1:6" x14ac:dyDescent="0.35">
      <c r="A1803" s="5" t="s">
        <v>10</v>
      </c>
      <c r="B1803" s="1" t="s">
        <v>38</v>
      </c>
      <c r="C1803" s="1">
        <v>34</v>
      </c>
      <c r="D1803" s="1">
        <v>276</v>
      </c>
      <c r="E1803" s="1" t="s">
        <v>41</v>
      </c>
      <c r="F1803" s="6" t="s">
        <v>42</v>
      </c>
    </row>
    <row r="1804" spans="1:6" x14ac:dyDescent="0.35">
      <c r="A1804" s="5" t="s">
        <v>10</v>
      </c>
      <c r="B1804" s="1" t="s">
        <v>38</v>
      </c>
      <c r="C1804" s="1">
        <v>35</v>
      </c>
      <c r="D1804" s="1">
        <v>114</v>
      </c>
      <c r="E1804" s="1" t="s">
        <v>41</v>
      </c>
      <c r="F1804" s="6" t="s">
        <v>42</v>
      </c>
    </row>
    <row r="1805" spans="1:6" x14ac:dyDescent="0.35">
      <c r="A1805" s="5" t="s">
        <v>10</v>
      </c>
      <c r="B1805" s="1" t="s">
        <v>38</v>
      </c>
      <c r="C1805" s="1">
        <v>36</v>
      </c>
      <c r="D1805" s="1">
        <v>330</v>
      </c>
      <c r="E1805" s="1" t="s">
        <v>41</v>
      </c>
      <c r="F1805" s="6" t="s">
        <v>42</v>
      </c>
    </row>
    <row r="1806" spans="1:6" x14ac:dyDescent="0.35">
      <c r="A1806" s="5" t="s">
        <v>10</v>
      </c>
      <c r="B1806" s="1" t="s">
        <v>38</v>
      </c>
      <c r="C1806" s="1">
        <v>37</v>
      </c>
      <c r="D1806" s="1">
        <v>188</v>
      </c>
      <c r="E1806" s="1" t="s">
        <v>41</v>
      </c>
      <c r="F1806" s="6" t="s">
        <v>42</v>
      </c>
    </row>
    <row r="1807" spans="1:6" x14ac:dyDescent="0.35">
      <c r="A1807" s="5" t="s">
        <v>10</v>
      </c>
      <c r="B1807" s="1" t="s">
        <v>38</v>
      </c>
      <c r="C1807" s="1">
        <v>38</v>
      </c>
      <c r="D1807" s="1">
        <v>446</v>
      </c>
      <c r="E1807" s="1" t="s">
        <v>41</v>
      </c>
      <c r="F1807" s="6" t="s">
        <v>42</v>
      </c>
    </row>
    <row r="1808" spans="1:6" x14ac:dyDescent="0.35">
      <c r="A1808" s="5" t="s">
        <v>10</v>
      </c>
      <c r="B1808" s="1" t="s">
        <v>38</v>
      </c>
      <c r="C1808" s="1">
        <v>39</v>
      </c>
      <c r="D1808" s="1">
        <v>245</v>
      </c>
      <c r="E1808" s="1" t="s">
        <v>41</v>
      </c>
      <c r="F1808" s="6" t="s">
        <v>42</v>
      </c>
    </row>
    <row r="1809" spans="1:6" x14ac:dyDescent="0.35">
      <c r="A1809" s="5" t="s">
        <v>10</v>
      </c>
      <c r="B1809" s="1" t="s">
        <v>38</v>
      </c>
      <c r="C1809" s="1">
        <v>40</v>
      </c>
      <c r="D1809" s="1">
        <v>430</v>
      </c>
      <c r="E1809" s="1" t="s">
        <v>41</v>
      </c>
      <c r="F1809" s="6" t="s">
        <v>42</v>
      </c>
    </row>
    <row r="1810" spans="1:6" x14ac:dyDescent="0.35">
      <c r="A1810" s="5" t="s">
        <v>10</v>
      </c>
      <c r="B1810" s="1" t="s">
        <v>38</v>
      </c>
      <c r="C1810" s="1">
        <v>41</v>
      </c>
      <c r="D1810" s="1">
        <v>186</v>
      </c>
      <c r="E1810" s="1" t="s">
        <v>41</v>
      </c>
      <c r="F1810" s="6" t="s">
        <v>42</v>
      </c>
    </row>
    <row r="1811" spans="1:6" x14ac:dyDescent="0.35">
      <c r="A1811" s="5" t="s">
        <v>10</v>
      </c>
      <c r="B1811" s="1" t="s">
        <v>38</v>
      </c>
      <c r="C1811" s="1">
        <v>42</v>
      </c>
      <c r="D1811" s="1">
        <v>180</v>
      </c>
      <c r="E1811" s="1" t="s">
        <v>41</v>
      </c>
      <c r="F1811" s="6" t="s">
        <v>42</v>
      </c>
    </row>
    <row r="1812" spans="1:6" x14ac:dyDescent="0.35">
      <c r="A1812" s="5" t="s">
        <v>10</v>
      </c>
      <c r="B1812" s="1" t="s">
        <v>38</v>
      </c>
      <c r="C1812" s="1">
        <v>43</v>
      </c>
      <c r="D1812" s="1">
        <v>324</v>
      </c>
      <c r="E1812" s="1" t="s">
        <v>41</v>
      </c>
      <c r="F1812" s="6" t="s">
        <v>42</v>
      </c>
    </row>
    <row r="1813" spans="1:6" x14ac:dyDescent="0.35">
      <c r="A1813" s="5" t="s">
        <v>10</v>
      </c>
      <c r="B1813" s="1" t="s">
        <v>38</v>
      </c>
      <c r="C1813" s="1">
        <v>44</v>
      </c>
      <c r="D1813" s="1">
        <v>159</v>
      </c>
      <c r="E1813" s="1" t="s">
        <v>41</v>
      </c>
      <c r="F1813" s="6" t="s">
        <v>42</v>
      </c>
    </row>
    <row r="1814" spans="1:6" x14ac:dyDescent="0.35">
      <c r="A1814" s="5" t="s">
        <v>10</v>
      </c>
      <c r="B1814" s="1" t="s">
        <v>38</v>
      </c>
      <c r="C1814" s="1">
        <v>45</v>
      </c>
      <c r="D1814" s="1">
        <v>138</v>
      </c>
      <c r="E1814" s="1" t="s">
        <v>41</v>
      </c>
      <c r="F1814" s="6" t="s">
        <v>42</v>
      </c>
    </row>
    <row r="1815" spans="1:6" x14ac:dyDescent="0.35">
      <c r="A1815" s="5" t="s">
        <v>10</v>
      </c>
      <c r="B1815" s="1" t="s">
        <v>38</v>
      </c>
      <c r="C1815" s="1">
        <v>46</v>
      </c>
      <c r="D1815" s="1">
        <v>383</v>
      </c>
      <c r="E1815" s="1" t="s">
        <v>41</v>
      </c>
      <c r="F1815" s="6" t="s">
        <v>42</v>
      </c>
    </row>
    <row r="1816" spans="1:6" x14ac:dyDescent="0.35">
      <c r="A1816" s="5" t="s">
        <v>10</v>
      </c>
      <c r="B1816" s="1" t="s">
        <v>38</v>
      </c>
      <c r="C1816" s="1">
        <v>47</v>
      </c>
      <c r="D1816" s="1">
        <v>179</v>
      </c>
      <c r="E1816" s="1" t="s">
        <v>41</v>
      </c>
      <c r="F1816" s="6" t="s">
        <v>42</v>
      </c>
    </row>
    <row r="1817" spans="1:6" x14ac:dyDescent="0.35">
      <c r="A1817" s="5" t="s">
        <v>10</v>
      </c>
      <c r="B1817" s="1" t="s">
        <v>38</v>
      </c>
      <c r="C1817" s="1">
        <v>48</v>
      </c>
      <c r="D1817" s="1">
        <v>430</v>
      </c>
      <c r="E1817" s="1" t="s">
        <v>41</v>
      </c>
      <c r="F1817" s="6" t="s">
        <v>42</v>
      </c>
    </row>
    <row r="1818" spans="1:6" x14ac:dyDescent="0.35">
      <c r="A1818" s="5" t="s">
        <v>10</v>
      </c>
      <c r="B1818" s="1" t="s">
        <v>38</v>
      </c>
      <c r="C1818" s="1">
        <v>49</v>
      </c>
      <c r="D1818" s="1">
        <v>155</v>
      </c>
      <c r="E1818" s="1" t="s">
        <v>41</v>
      </c>
      <c r="F1818" s="6" t="s">
        <v>42</v>
      </c>
    </row>
    <row r="1819" spans="1:6" x14ac:dyDescent="0.35">
      <c r="A1819" s="5" t="s">
        <v>10</v>
      </c>
      <c r="B1819" s="1" t="s">
        <v>38</v>
      </c>
      <c r="C1819" s="1">
        <v>50</v>
      </c>
      <c r="D1819" s="1">
        <v>138</v>
      </c>
      <c r="E1819" s="1" t="s">
        <v>41</v>
      </c>
      <c r="F1819" s="6" t="s">
        <v>42</v>
      </c>
    </row>
    <row r="1820" spans="1:6" x14ac:dyDescent="0.35">
      <c r="A1820" s="5" t="s">
        <v>10</v>
      </c>
      <c r="B1820" s="1" t="s">
        <v>38</v>
      </c>
      <c r="C1820" s="1">
        <v>51</v>
      </c>
      <c r="D1820" s="1">
        <v>197</v>
      </c>
      <c r="E1820" s="1" t="s">
        <v>41</v>
      </c>
      <c r="F1820" s="6" t="s">
        <v>42</v>
      </c>
    </row>
    <row r="1821" spans="1:6" x14ac:dyDescent="0.35">
      <c r="A1821" s="5" t="s">
        <v>10</v>
      </c>
      <c r="B1821" s="1" t="s">
        <v>38</v>
      </c>
      <c r="C1821" s="1">
        <v>52</v>
      </c>
      <c r="D1821" s="1">
        <v>265</v>
      </c>
      <c r="E1821" s="1" t="s">
        <v>41</v>
      </c>
      <c r="F1821" s="6" t="s">
        <v>42</v>
      </c>
    </row>
    <row r="1822" spans="1:6" x14ac:dyDescent="0.35">
      <c r="A1822" s="5" t="s">
        <v>16</v>
      </c>
      <c r="B1822" s="1" t="s">
        <v>44</v>
      </c>
      <c r="C1822" s="1">
        <v>1</v>
      </c>
      <c r="D1822" s="1">
        <v>168</v>
      </c>
      <c r="E1822" s="1" t="s">
        <v>41</v>
      </c>
      <c r="F1822" s="6" t="s">
        <v>42</v>
      </c>
    </row>
    <row r="1823" spans="1:6" x14ac:dyDescent="0.35">
      <c r="A1823" s="5" t="s">
        <v>16</v>
      </c>
      <c r="B1823" s="1" t="s">
        <v>44</v>
      </c>
      <c r="C1823" s="1">
        <v>2</v>
      </c>
      <c r="D1823" s="1">
        <v>495</v>
      </c>
      <c r="E1823" s="1" t="s">
        <v>41</v>
      </c>
      <c r="F1823" s="6" t="s">
        <v>42</v>
      </c>
    </row>
    <row r="1824" spans="1:6" x14ac:dyDescent="0.35">
      <c r="A1824" s="5" t="s">
        <v>16</v>
      </c>
      <c r="B1824" s="1" t="s">
        <v>44</v>
      </c>
      <c r="C1824" s="1">
        <v>3</v>
      </c>
      <c r="D1824" s="1">
        <v>161</v>
      </c>
      <c r="E1824" s="1" t="s">
        <v>41</v>
      </c>
      <c r="F1824" s="6" t="s">
        <v>42</v>
      </c>
    </row>
    <row r="1825" spans="1:6" x14ac:dyDescent="0.35">
      <c r="A1825" s="5" t="s">
        <v>16</v>
      </c>
      <c r="B1825" s="1" t="s">
        <v>44</v>
      </c>
      <c r="C1825" s="1">
        <v>4</v>
      </c>
      <c r="D1825" s="1">
        <v>403</v>
      </c>
      <c r="E1825" s="1" t="s">
        <v>41</v>
      </c>
      <c r="F1825" s="6" t="s">
        <v>42</v>
      </c>
    </row>
    <row r="1826" spans="1:6" x14ac:dyDescent="0.35">
      <c r="A1826" s="5" t="s">
        <v>16</v>
      </c>
      <c r="B1826" s="1" t="s">
        <v>44</v>
      </c>
      <c r="C1826" s="1">
        <v>5</v>
      </c>
      <c r="D1826" s="1">
        <v>233</v>
      </c>
      <c r="E1826" s="1" t="s">
        <v>41</v>
      </c>
      <c r="F1826" s="6" t="s">
        <v>42</v>
      </c>
    </row>
    <row r="1827" spans="1:6" x14ac:dyDescent="0.35">
      <c r="A1827" s="5" t="s">
        <v>16</v>
      </c>
      <c r="B1827" s="1" t="s">
        <v>44</v>
      </c>
      <c r="C1827" s="1">
        <v>6</v>
      </c>
      <c r="D1827" s="1">
        <v>518</v>
      </c>
      <c r="E1827" s="1" t="s">
        <v>41</v>
      </c>
      <c r="F1827" s="6" t="s">
        <v>42</v>
      </c>
    </row>
    <row r="1828" spans="1:6" x14ac:dyDescent="0.35">
      <c r="A1828" s="5" t="s">
        <v>16</v>
      </c>
      <c r="B1828" s="1" t="s">
        <v>44</v>
      </c>
      <c r="C1828" s="1">
        <v>7</v>
      </c>
      <c r="D1828" s="1">
        <v>150</v>
      </c>
      <c r="E1828" s="1" t="s">
        <v>41</v>
      </c>
      <c r="F1828" s="6" t="s">
        <v>42</v>
      </c>
    </row>
    <row r="1829" spans="1:6" x14ac:dyDescent="0.35">
      <c r="A1829" s="5" t="s">
        <v>16</v>
      </c>
      <c r="B1829" s="1" t="s">
        <v>44</v>
      </c>
      <c r="C1829" s="1">
        <v>8</v>
      </c>
      <c r="D1829" s="1">
        <v>120</v>
      </c>
      <c r="E1829" s="1" t="s">
        <v>41</v>
      </c>
      <c r="F1829" s="6" t="s">
        <v>42</v>
      </c>
    </row>
    <row r="1830" spans="1:6" x14ac:dyDescent="0.35">
      <c r="A1830" s="5" t="s">
        <v>16</v>
      </c>
      <c r="B1830" s="1" t="s">
        <v>44</v>
      </c>
      <c r="C1830" s="1">
        <v>9</v>
      </c>
      <c r="D1830" s="1">
        <v>352</v>
      </c>
      <c r="E1830" s="1" t="s">
        <v>41</v>
      </c>
      <c r="F1830" s="6" t="s">
        <v>42</v>
      </c>
    </row>
    <row r="1831" spans="1:6" x14ac:dyDescent="0.35">
      <c r="A1831" s="5" t="s">
        <v>16</v>
      </c>
      <c r="B1831" s="1" t="s">
        <v>44</v>
      </c>
      <c r="C1831" s="1">
        <v>10</v>
      </c>
      <c r="D1831" s="1">
        <v>589</v>
      </c>
      <c r="E1831" s="1" t="s">
        <v>41</v>
      </c>
      <c r="F1831" s="6" t="s">
        <v>42</v>
      </c>
    </row>
    <row r="1832" spans="1:6" x14ac:dyDescent="0.35">
      <c r="A1832" s="5" t="s">
        <v>16</v>
      </c>
      <c r="B1832" s="1" t="s">
        <v>44</v>
      </c>
      <c r="C1832" s="1">
        <v>11</v>
      </c>
      <c r="D1832" s="1">
        <v>411</v>
      </c>
      <c r="E1832" s="1" t="s">
        <v>41</v>
      </c>
      <c r="F1832" s="6" t="s">
        <v>42</v>
      </c>
    </row>
    <row r="1833" spans="1:6" x14ac:dyDescent="0.35">
      <c r="A1833" s="5" t="s">
        <v>16</v>
      </c>
      <c r="B1833" s="1" t="s">
        <v>44</v>
      </c>
      <c r="C1833" s="1">
        <v>12</v>
      </c>
      <c r="D1833" s="1">
        <v>403</v>
      </c>
      <c r="E1833" s="1" t="s">
        <v>41</v>
      </c>
      <c r="F1833" s="6" t="s">
        <v>42</v>
      </c>
    </row>
    <row r="1834" spans="1:6" x14ac:dyDescent="0.35">
      <c r="A1834" s="5" t="s">
        <v>16</v>
      </c>
      <c r="B1834" s="1" t="s">
        <v>44</v>
      </c>
      <c r="C1834" s="1">
        <v>13</v>
      </c>
      <c r="D1834" s="1">
        <v>715</v>
      </c>
      <c r="E1834" s="1" t="s">
        <v>41</v>
      </c>
      <c r="F1834" s="6" t="s">
        <v>42</v>
      </c>
    </row>
    <row r="1835" spans="1:6" x14ac:dyDescent="0.35">
      <c r="A1835" s="5" t="s">
        <v>16</v>
      </c>
      <c r="B1835" s="1" t="s">
        <v>44</v>
      </c>
      <c r="C1835" s="1">
        <v>14</v>
      </c>
      <c r="D1835" s="1">
        <v>229</v>
      </c>
      <c r="E1835" s="1" t="s">
        <v>41</v>
      </c>
      <c r="F1835" s="6" t="s">
        <v>42</v>
      </c>
    </row>
    <row r="1836" spans="1:6" x14ac:dyDescent="0.35">
      <c r="A1836" s="5" t="s">
        <v>16</v>
      </c>
      <c r="B1836" s="1" t="s">
        <v>44</v>
      </c>
      <c r="C1836" s="1">
        <v>15</v>
      </c>
      <c r="D1836" s="1">
        <v>418</v>
      </c>
      <c r="E1836" s="1" t="s">
        <v>41</v>
      </c>
      <c r="F1836" s="6" t="s">
        <v>42</v>
      </c>
    </row>
    <row r="1837" spans="1:6" x14ac:dyDescent="0.35">
      <c r="A1837" s="5" t="s">
        <v>16</v>
      </c>
      <c r="B1837" s="1" t="s">
        <v>44</v>
      </c>
      <c r="C1837" s="1">
        <v>16</v>
      </c>
      <c r="D1837" s="1">
        <v>607</v>
      </c>
      <c r="E1837" s="1" t="s">
        <v>41</v>
      </c>
      <c r="F1837" s="6" t="s">
        <v>42</v>
      </c>
    </row>
    <row r="1838" spans="1:6" x14ac:dyDescent="0.35">
      <c r="A1838" s="5" t="s">
        <v>16</v>
      </c>
      <c r="B1838" s="1" t="s">
        <v>44</v>
      </c>
      <c r="C1838" s="1">
        <v>17</v>
      </c>
      <c r="D1838" s="1">
        <v>291</v>
      </c>
      <c r="E1838" s="1" t="s">
        <v>41</v>
      </c>
      <c r="F1838" s="6" t="s">
        <v>42</v>
      </c>
    </row>
    <row r="1839" spans="1:6" x14ac:dyDescent="0.35">
      <c r="A1839" s="5" t="s">
        <v>16</v>
      </c>
      <c r="B1839" s="1" t="s">
        <v>44</v>
      </c>
      <c r="C1839" s="1">
        <v>18</v>
      </c>
      <c r="D1839" s="1">
        <v>556</v>
      </c>
      <c r="E1839" s="1" t="s">
        <v>41</v>
      </c>
      <c r="F1839" s="6" t="s">
        <v>42</v>
      </c>
    </row>
    <row r="1840" spans="1:6" x14ac:dyDescent="0.35">
      <c r="A1840" s="5" t="s">
        <v>16</v>
      </c>
      <c r="B1840" s="1" t="s">
        <v>44</v>
      </c>
      <c r="C1840" s="1">
        <v>19</v>
      </c>
      <c r="D1840" s="1">
        <v>313</v>
      </c>
      <c r="E1840" s="1" t="s">
        <v>41</v>
      </c>
      <c r="F1840" s="6" t="s">
        <v>42</v>
      </c>
    </row>
    <row r="1841" spans="1:6" x14ac:dyDescent="0.35">
      <c r="A1841" s="5" t="s">
        <v>16</v>
      </c>
      <c r="B1841" s="1" t="s">
        <v>44</v>
      </c>
      <c r="C1841" s="1">
        <v>20</v>
      </c>
      <c r="D1841" s="1">
        <v>539</v>
      </c>
      <c r="E1841" s="1" t="s">
        <v>41</v>
      </c>
      <c r="F1841" s="6" t="s">
        <v>42</v>
      </c>
    </row>
    <row r="1842" spans="1:6" x14ac:dyDescent="0.35">
      <c r="A1842" s="5" t="s">
        <v>16</v>
      </c>
      <c r="B1842" s="1" t="s">
        <v>44</v>
      </c>
      <c r="C1842" s="1">
        <v>21</v>
      </c>
      <c r="D1842" s="1">
        <v>566</v>
      </c>
      <c r="E1842" s="1" t="s">
        <v>41</v>
      </c>
      <c r="F1842" s="6" t="s">
        <v>42</v>
      </c>
    </row>
    <row r="1843" spans="1:6" x14ac:dyDescent="0.35">
      <c r="A1843" s="5" t="s">
        <v>16</v>
      </c>
      <c r="B1843" s="1" t="s">
        <v>44</v>
      </c>
      <c r="C1843" s="1">
        <v>22</v>
      </c>
      <c r="D1843" s="1">
        <v>156</v>
      </c>
      <c r="E1843" s="1" t="s">
        <v>41</v>
      </c>
      <c r="F1843" s="6" t="s">
        <v>42</v>
      </c>
    </row>
    <row r="1844" spans="1:6" x14ac:dyDescent="0.35">
      <c r="A1844" s="5" t="s">
        <v>16</v>
      </c>
      <c r="B1844" s="1" t="s">
        <v>44</v>
      </c>
      <c r="C1844" s="1">
        <v>23</v>
      </c>
      <c r="D1844" s="1">
        <v>445</v>
      </c>
      <c r="E1844" s="1" t="s">
        <v>41</v>
      </c>
      <c r="F1844" s="6" t="s">
        <v>42</v>
      </c>
    </row>
    <row r="1845" spans="1:6" x14ac:dyDescent="0.35">
      <c r="A1845" s="5" t="s">
        <v>16</v>
      </c>
      <c r="B1845" s="1" t="s">
        <v>44</v>
      </c>
      <c r="C1845" s="1">
        <v>24</v>
      </c>
      <c r="D1845" s="1">
        <v>565</v>
      </c>
      <c r="E1845" s="1" t="s">
        <v>41</v>
      </c>
      <c r="F1845" s="6" t="s">
        <v>42</v>
      </c>
    </row>
    <row r="1846" spans="1:6" x14ac:dyDescent="0.35">
      <c r="A1846" s="5" t="s">
        <v>16</v>
      </c>
      <c r="B1846" s="1" t="s">
        <v>44</v>
      </c>
      <c r="C1846" s="1">
        <v>25</v>
      </c>
      <c r="D1846" s="1">
        <v>689</v>
      </c>
      <c r="E1846" s="1" t="s">
        <v>41</v>
      </c>
      <c r="F1846" s="6" t="s">
        <v>42</v>
      </c>
    </row>
    <row r="1847" spans="1:6" x14ac:dyDescent="0.35">
      <c r="A1847" s="5" t="s">
        <v>16</v>
      </c>
      <c r="B1847" s="1" t="s">
        <v>44</v>
      </c>
      <c r="C1847" s="1">
        <v>26</v>
      </c>
      <c r="D1847" s="1">
        <v>306</v>
      </c>
      <c r="E1847" s="1" t="s">
        <v>41</v>
      </c>
      <c r="F1847" s="6" t="s">
        <v>42</v>
      </c>
    </row>
    <row r="1848" spans="1:6" x14ac:dyDescent="0.35">
      <c r="A1848" s="5" t="s">
        <v>16</v>
      </c>
      <c r="B1848" s="1" t="s">
        <v>44</v>
      </c>
      <c r="C1848" s="1">
        <v>27</v>
      </c>
      <c r="D1848" s="1">
        <v>360</v>
      </c>
      <c r="E1848" s="1" t="s">
        <v>41</v>
      </c>
      <c r="F1848" s="6" t="s">
        <v>42</v>
      </c>
    </row>
    <row r="1849" spans="1:6" x14ac:dyDescent="0.35">
      <c r="A1849" s="5" t="s">
        <v>16</v>
      </c>
      <c r="B1849" s="1" t="s">
        <v>44</v>
      </c>
      <c r="C1849" s="1">
        <v>28</v>
      </c>
      <c r="D1849" s="1">
        <v>429</v>
      </c>
      <c r="E1849" s="1" t="s">
        <v>41</v>
      </c>
      <c r="F1849" s="6" t="s">
        <v>42</v>
      </c>
    </row>
    <row r="1850" spans="1:6" x14ac:dyDescent="0.35">
      <c r="A1850" s="5" t="s">
        <v>16</v>
      </c>
      <c r="B1850" s="1" t="s">
        <v>44</v>
      </c>
      <c r="C1850" s="1">
        <v>29</v>
      </c>
      <c r="D1850" s="1">
        <v>506</v>
      </c>
      <c r="E1850" s="1" t="s">
        <v>41</v>
      </c>
      <c r="F1850" s="6" t="s">
        <v>42</v>
      </c>
    </row>
    <row r="1851" spans="1:6" x14ac:dyDescent="0.35">
      <c r="A1851" s="5" t="s">
        <v>16</v>
      </c>
      <c r="B1851" s="1" t="s">
        <v>44</v>
      </c>
      <c r="C1851" s="1">
        <v>30</v>
      </c>
      <c r="D1851" s="1">
        <v>385</v>
      </c>
      <c r="E1851" s="1" t="s">
        <v>41</v>
      </c>
      <c r="F1851" s="6" t="s">
        <v>42</v>
      </c>
    </row>
    <row r="1852" spans="1:6" x14ac:dyDescent="0.35">
      <c r="A1852" s="5" t="s">
        <v>16</v>
      </c>
      <c r="B1852" s="1" t="s">
        <v>44</v>
      </c>
      <c r="C1852" s="1">
        <v>31</v>
      </c>
      <c r="D1852" s="1">
        <v>552</v>
      </c>
      <c r="E1852" s="1" t="s">
        <v>41</v>
      </c>
      <c r="F1852" s="6" t="s">
        <v>42</v>
      </c>
    </row>
    <row r="1853" spans="1:6" x14ac:dyDescent="0.35">
      <c r="A1853" s="5" t="s">
        <v>16</v>
      </c>
      <c r="B1853" s="1" t="s">
        <v>44</v>
      </c>
      <c r="C1853" s="1">
        <v>32</v>
      </c>
      <c r="D1853" s="1">
        <v>493</v>
      </c>
      <c r="E1853" s="1" t="s">
        <v>41</v>
      </c>
      <c r="F1853" s="6" t="s">
        <v>42</v>
      </c>
    </row>
    <row r="1854" spans="1:6" x14ac:dyDescent="0.35">
      <c r="A1854" s="5" t="s">
        <v>16</v>
      </c>
      <c r="B1854" s="1" t="s">
        <v>44</v>
      </c>
      <c r="C1854" s="1">
        <v>33</v>
      </c>
      <c r="D1854" s="1">
        <v>339</v>
      </c>
      <c r="E1854" s="1" t="s">
        <v>41</v>
      </c>
      <c r="F1854" s="6" t="s">
        <v>42</v>
      </c>
    </row>
    <row r="1855" spans="1:6" x14ac:dyDescent="0.35">
      <c r="A1855" s="5" t="s">
        <v>16</v>
      </c>
      <c r="B1855" s="1" t="s">
        <v>44</v>
      </c>
      <c r="C1855" s="1">
        <v>34</v>
      </c>
      <c r="D1855" s="1">
        <v>643</v>
      </c>
      <c r="E1855" s="1" t="s">
        <v>41</v>
      </c>
      <c r="F1855" s="6" t="s">
        <v>42</v>
      </c>
    </row>
    <row r="1856" spans="1:6" x14ac:dyDescent="0.35">
      <c r="A1856" s="5" t="s">
        <v>16</v>
      </c>
      <c r="B1856" s="1" t="s">
        <v>44</v>
      </c>
      <c r="C1856" s="1">
        <v>35</v>
      </c>
      <c r="D1856" s="1">
        <v>1204</v>
      </c>
      <c r="E1856" s="1" t="s">
        <v>41</v>
      </c>
      <c r="F1856" s="6" t="s">
        <v>42</v>
      </c>
    </row>
    <row r="1857" spans="1:6" x14ac:dyDescent="0.35">
      <c r="A1857" s="5" t="s">
        <v>16</v>
      </c>
      <c r="B1857" s="1" t="s">
        <v>44</v>
      </c>
      <c r="C1857" s="1">
        <v>36</v>
      </c>
      <c r="D1857" s="1">
        <v>1168</v>
      </c>
      <c r="E1857" s="1" t="s">
        <v>41</v>
      </c>
      <c r="F1857" s="6" t="s">
        <v>42</v>
      </c>
    </row>
    <row r="1858" spans="1:6" x14ac:dyDescent="0.35">
      <c r="A1858" s="5" t="s">
        <v>16</v>
      </c>
      <c r="B1858" s="1" t="s">
        <v>44</v>
      </c>
      <c r="C1858" s="1">
        <v>37</v>
      </c>
      <c r="D1858" s="1">
        <v>267</v>
      </c>
      <c r="E1858" s="1" t="s">
        <v>41</v>
      </c>
      <c r="F1858" s="6" t="s">
        <v>42</v>
      </c>
    </row>
    <row r="1859" spans="1:6" x14ac:dyDescent="0.35">
      <c r="A1859" s="5" t="s">
        <v>16</v>
      </c>
      <c r="B1859" s="1" t="s">
        <v>44</v>
      </c>
      <c r="C1859" s="1">
        <v>38</v>
      </c>
      <c r="D1859" s="1">
        <v>603</v>
      </c>
      <c r="E1859" s="1" t="s">
        <v>41</v>
      </c>
      <c r="F1859" s="6" t="s">
        <v>42</v>
      </c>
    </row>
    <row r="1860" spans="1:6" x14ac:dyDescent="0.35">
      <c r="A1860" s="5" t="s">
        <v>16</v>
      </c>
      <c r="B1860" s="1" t="s">
        <v>44</v>
      </c>
      <c r="C1860" s="1">
        <v>39</v>
      </c>
      <c r="D1860" s="1">
        <v>249</v>
      </c>
      <c r="E1860" s="1" t="s">
        <v>41</v>
      </c>
      <c r="F1860" s="6" t="s">
        <v>42</v>
      </c>
    </row>
    <row r="1861" spans="1:6" x14ac:dyDescent="0.35">
      <c r="A1861" s="5" t="s">
        <v>16</v>
      </c>
      <c r="B1861" s="1" t="s">
        <v>44</v>
      </c>
      <c r="C1861" s="1">
        <v>40</v>
      </c>
      <c r="D1861" s="1">
        <v>136</v>
      </c>
      <c r="E1861" s="1" t="s">
        <v>41</v>
      </c>
      <c r="F1861" s="6" t="s">
        <v>42</v>
      </c>
    </row>
    <row r="1862" spans="1:6" x14ac:dyDescent="0.35">
      <c r="A1862" s="5" t="s">
        <v>16</v>
      </c>
      <c r="B1862" s="1" t="s">
        <v>44</v>
      </c>
      <c r="C1862" s="1">
        <v>41</v>
      </c>
      <c r="D1862" s="1">
        <v>443</v>
      </c>
      <c r="E1862" s="1" t="s">
        <v>41</v>
      </c>
      <c r="F1862" s="6" t="s">
        <v>42</v>
      </c>
    </row>
    <row r="1863" spans="1:6" x14ac:dyDescent="0.35">
      <c r="A1863" s="5" t="s">
        <v>16</v>
      </c>
      <c r="B1863" s="1" t="s">
        <v>44</v>
      </c>
      <c r="C1863" s="1">
        <v>42</v>
      </c>
      <c r="D1863" s="1">
        <v>388</v>
      </c>
      <c r="E1863" s="1" t="s">
        <v>41</v>
      </c>
      <c r="F1863" s="6" t="s">
        <v>42</v>
      </c>
    </row>
    <row r="1864" spans="1:6" x14ac:dyDescent="0.35">
      <c r="A1864" s="5" t="s">
        <v>16</v>
      </c>
      <c r="B1864" s="1" t="s">
        <v>44</v>
      </c>
      <c r="C1864" s="1">
        <v>43</v>
      </c>
      <c r="D1864" s="1">
        <v>797</v>
      </c>
      <c r="E1864" s="1" t="s">
        <v>41</v>
      </c>
      <c r="F1864" s="6" t="s">
        <v>42</v>
      </c>
    </row>
    <row r="1865" spans="1:6" x14ac:dyDescent="0.35">
      <c r="A1865" s="5" t="s">
        <v>16</v>
      </c>
      <c r="B1865" s="1" t="s">
        <v>44</v>
      </c>
      <c r="C1865" s="1">
        <v>44</v>
      </c>
      <c r="D1865" s="1">
        <v>237</v>
      </c>
      <c r="E1865" s="1" t="s">
        <v>41</v>
      </c>
      <c r="F1865" s="6" t="s">
        <v>42</v>
      </c>
    </row>
    <row r="1866" spans="1:6" x14ac:dyDescent="0.35">
      <c r="A1866" s="5" t="s">
        <v>16</v>
      </c>
      <c r="B1866" s="1" t="s">
        <v>44</v>
      </c>
      <c r="C1866" s="1">
        <v>45</v>
      </c>
      <c r="D1866" s="1">
        <v>572</v>
      </c>
      <c r="E1866" s="1" t="s">
        <v>41</v>
      </c>
      <c r="F1866" s="6" t="s">
        <v>42</v>
      </c>
    </row>
    <row r="1867" spans="1:6" x14ac:dyDescent="0.35">
      <c r="A1867" s="5" t="s">
        <v>16</v>
      </c>
      <c r="B1867" s="1" t="s">
        <v>44</v>
      </c>
      <c r="C1867" s="1">
        <v>46</v>
      </c>
      <c r="D1867" s="1">
        <v>490</v>
      </c>
      <c r="E1867" s="1" t="s">
        <v>41</v>
      </c>
      <c r="F1867" s="6" t="s">
        <v>42</v>
      </c>
    </row>
    <row r="1868" spans="1:6" x14ac:dyDescent="0.35">
      <c r="A1868" s="5" t="s">
        <v>16</v>
      </c>
      <c r="B1868" s="1" t="s">
        <v>44</v>
      </c>
      <c r="C1868" s="1">
        <v>47</v>
      </c>
      <c r="D1868" s="1">
        <v>469</v>
      </c>
      <c r="E1868" s="1" t="s">
        <v>41</v>
      </c>
      <c r="F1868" s="6" t="s">
        <v>42</v>
      </c>
    </row>
    <row r="1869" spans="1:6" x14ac:dyDescent="0.35">
      <c r="A1869" s="5" t="s">
        <v>16</v>
      </c>
      <c r="B1869" s="1" t="s">
        <v>44</v>
      </c>
      <c r="C1869" s="1">
        <v>48</v>
      </c>
      <c r="D1869" s="1">
        <v>1209</v>
      </c>
      <c r="E1869" s="1" t="s">
        <v>41</v>
      </c>
      <c r="F1869" s="6" t="s">
        <v>42</v>
      </c>
    </row>
    <row r="1870" spans="1:6" x14ac:dyDescent="0.35">
      <c r="A1870" s="5" t="s">
        <v>16</v>
      </c>
      <c r="B1870" s="1" t="s">
        <v>44</v>
      </c>
      <c r="C1870" s="1">
        <v>49</v>
      </c>
      <c r="D1870" s="1">
        <v>562</v>
      </c>
      <c r="E1870" s="1" t="s">
        <v>41</v>
      </c>
      <c r="F1870" s="6" t="s">
        <v>42</v>
      </c>
    </row>
    <row r="1871" spans="1:6" x14ac:dyDescent="0.35">
      <c r="A1871" s="5" t="s">
        <v>16</v>
      </c>
      <c r="B1871" s="1" t="s">
        <v>44</v>
      </c>
      <c r="C1871" s="1">
        <v>50</v>
      </c>
      <c r="D1871" s="1">
        <v>357</v>
      </c>
      <c r="E1871" s="1" t="s">
        <v>41</v>
      </c>
      <c r="F1871" s="6" t="s">
        <v>42</v>
      </c>
    </row>
    <row r="1872" spans="1:6" x14ac:dyDescent="0.35">
      <c r="A1872" s="5" t="s">
        <v>16</v>
      </c>
      <c r="B1872" s="1" t="s">
        <v>44</v>
      </c>
      <c r="C1872" s="1">
        <v>51</v>
      </c>
      <c r="D1872" s="1">
        <v>455</v>
      </c>
      <c r="E1872" s="1" t="s">
        <v>41</v>
      </c>
      <c r="F1872" s="6" t="s">
        <v>42</v>
      </c>
    </row>
    <row r="1873" spans="1:6" ht="15" thickBot="1" x14ac:dyDescent="0.4">
      <c r="A1873" s="7" t="s">
        <v>16</v>
      </c>
      <c r="B1873" s="8" t="s">
        <v>44</v>
      </c>
      <c r="C1873" s="8">
        <v>52</v>
      </c>
      <c r="D1873" s="8">
        <v>1404</v>
      </c>
      <c r="E1873" s="8" t="s">
        <v>41</v>
      </c>
      <c r="F1873" s="9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E0D13-03A8-4705-8094-813BDFFB0937}">
  <sheetPr codeName="Arkusz16">
    <pageSetUpPr fitToPage="1"/>
  </sheetPr>
  <dimension ref="A1:ABG52"/>
  <sheetViews>
    <sheetView showGridLines="0" topLeftCell="A25" zoomScale="70" zoomScaleNormal="70" workbookViewId="0">
      <selection activeCell="I8" sqref="I8"/>
    </sheetView>
  </sheetViews>
  <sheetFormatPr defaultColWidth="0" defaultRowHeight="14.5" zeroHeight="1" x14ac:dyDescent="0.35"/>
  <cols>
    <col min="1" max="9" width="11.453125" style="10" customWidth="1"/>
    <col min="10" max="11" width="11.453125" style="10" hidden="1" customWidth="1"/>
    <col min="12" max="12" width="17.26953125" style="10" hidden="1" customWidth="1"/>
    <col min="13" max="13" width="14.7265625" style="10" hidden="1" customWidth="1"/>
    <col min="14" max="16" width="2" style="10" hidden="1" customWidth="1"/>
    <col min="17" max="17" width="17.26953125" style="10" hidden="1" customWidth="1"/>
    <col min="18" max="18" width="14.7265625" style="10" hidden="1" customWidth="1"/>
    <col min="19" max="20" width="2" style="10" hidden="1" customWidth="1"/>
    <col min="21" max="21" width="3.08984375" style="10" hidden="1" customWidth="1"/>
    <col min="22" max="22" width="17.26953125" style="10" hidden="1" customWidth="1"/>
    <col min="23" max="23" width="14.7265625" style="10" hidden="1" customWidth="1"/>
    <col min="24" max="30" width="2" style="10" hidden="1" customWidth="1"/>
    <col min="31" max="118" width="3.08984375" style="10" hidden="1" customWidth="1"/>
    <col min="119" max="700" width="4.08984375" style="10" hidden="1" customWidth="1"/>
    <col min="701" max="733" width="5.08984375" style="10" hidden="1" customWidth="1"/>
    <col min="734" max="734" width="7.1796875" style="10" hidden="1" customWidth="1"/>
    <col min="735" max="735" width="14.26953125" style="10" hidden="1" customWidth="1"/>
    <col min="736" max="16384" width="11.453125" style="10" hidden="1"/>
  </cols>
  <sheetData>
    <row r="1" spans="2:735" ht="26" x14ac:dyDescent="0.6">
      <c r="M1" s="26"/>
    </row>
    <row r="2" spans="2:735" ht="23.5" x14ac:dyDescent="0.55000000000000004">
      <c r="B2" s="18" t="s">
        <v>48</v>
      </c>
      <c r="C2" s="18"/>
      <c r="D2" s="18"/>
      <c r="E2" s="18"/>
      <c r="M2" s="19"/>
    </row>
    <row r="3" spans="2:735" ht="23.5" x14ac:dyDescent="0.55000000000000004">
      <c r="B3" s="19" t="s">
        <v>24</v>
      </c>
      <c r="Q3" s="21" t="s">
        <v>5</v>
      </c>
      <c r="R3" t="s">
        <v>24</v>
      </c>
      <c r="V3" s="21" t="s">
        <v>5</v>
      </c>
      <c r="W3" t="s">
        <v>24</v>
      </c>
    </row>
    <row r="4" spans="2:735" x14ac:dyDescent="0.35"/>
    <row r="5" spans="2:735" x14ac:dyDescent="0.35">
      <c r="B5" s="10" t="s">
        <v>54</v>
      </c>
      <c r="L5" s="21" t="s">
        <v>73</v>
      </c>
      <c r="M5" t="s">
        <v>75</v>
      </c>
      <c r="N5"/>
      <c r="O5"/>
      <c r="P5"/>
      <c r="Q5" s="21" t="s">
        <v>73</v>
      </c>
      <c r="R5" t="s">
        <v>75</v>
      </c>
      <c r="S5"/>
      <c r="T5"/>
      <c r="U5"/>
      <c r="V5" s="21" t="s">
        <v>73</v>
      </c>
      <c r="W5" t="s">
        <v>75</v>
      </c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</row>
    <row r="6" spans="2:735" x14ac:dyDescent="0.35">
      <c r="L6" s="22" t="s">
        <v>27</v>
      </c>
      <c r="M6" s="23">
        <v>74132</v>
      </c>
      <c r="N6"/>
      <c r="O6"/>
      <c r="P6"/>
      <c r="Q6" s="22" t="s">
        <v>43</v>
      </c>
      <c r="R6" s="23">
        <v>9888</v>
      </c>
      <c r="S6"/>
      <c r="T6"/>
      <c r="U6"/>
      <c r="V6" s="22" t="s">
        <v>10</v>
      </c>
      <c r="W6" s="23">
        <v>9888</v>
      </c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</row>
    <row r="7" spans="2:735" x14ac:dyDescent="0.35">
      <c r="B7" s="10" t="s">
        <v>50</v>
      </c>
      <c r="E7" s="14">
        <f>SUM('Baza Danych'!D2:D99999)</f>
        <v>585675</v>
      </c>
      <c r="L7" s="22" t="s">
        <v>9</v>
      </c>
      <c r="M7" s="23">
        <v>65703</v>
      </c>
      <c r="N7"/>
      <c r="O7"/>
      <c r="P7"/>
      <c r="Q7" s="22" t="s">
        <v>7</v>
      </c>
      <c r="R7" s="23">
        <v>3157</v>
      </c>
      <c r="S7"/>
      <c r="T7"/>
      <c r="U7"/>
      <c r="V7" s="22" t="s">
        <v>22</v>
      </c>
      <c r="W7" s="23">
        <v>3157</v>
      </c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</row>
    <row r="8" spans="2:735" x14ac:dyDescent="0.35">
      <c r="B8" s="10" t="s">
        <v>51</v>
      </c>
      <c r="E8" s="14">
        <f>AVERAGE(M6:M123)</f>
        <v>41833.928571428572</v>
      </c>
      <c r="L8" s="22" t="s">
        <v>12</v>
      </c>
      <c r="M8" s="23">
        <v>63905</v>
      </c>
      <c r="N8"/>
      <c r="O8"/>
      <c r="P8"/>
      <c r="Q8" s="22" t="s">
        <v>45</v>
      </c>
      <c r="R8" s="23">
        <v>17951</v>
      </c>
      <c r="S8"/>
      <c r="T8"/>
      <c r="U8"/>
      <c r="V8" s="22" t="s">
        <v>16</v>
      </c>
      <c r="W8" s="23">
        <v>17951</v>
      </c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</row>
    <row r="9" spans="2:735" x14ac:dyDescent="0.35">
      <c r="B9" s="10" t="s">
        <v>52</v>
      </c>
      <c r="E9" s="14">
        <f>MEDIAN(M6:M1024)</f>
        <v>37078.5</v>
      </c>
      <c r="J9" s="15"/>
      <c r="L9" s="22" t="s">
        <v>15</v>
      </c>
      <c r="M9" s="23">
        <v>62254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</row>
    <row r="10" spans="2:735" x14ac:dyDescent="0.35">
      <c r="B10" s="10" t="s">
        <v>53</v>
      </c>
      <c r="E10" s="14">
        <f>MIN(M6:M925)</f>
        <v>20408</v>
      </c>
      <c r="J10" s="15"/>
      <c r="L10" s="22" t="s">
        <v>31</v>
      </c>
      <c r="M10" s="23">
        <v>45560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</row>
    <row r="11" spans="2:735" x14ac:dyDescent="0.35">
      <c r="B11" s="10" t="s">
        <v>49</v>
      </c>
      <c r="E11" s="14">
        <f>MAX(M6:M826)</f>
        <v>74132</v>
      </c>
      <c r="L11" s="22" t="s">
        <v>33</v>
      </c>
      <c r="M11" s="23">
        <v>41460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</row>
    <row r="12" spans="2:735" x14ac:dyDescent="0.35">
      <c r="L12" s="22" t="s">
        <v>18</v>
      </c>
      <c r="M12" s="23">
        <v>39216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</row>
    <row r="13" spans="2:735" x14ac:dyDescent="0.35">
      <c r="B13" s="10" t="s">
        <v>55</v>
      </c>
      <c r="L13" s="22" t="s">
        <v>42</v>
      </c>
      <c r="M13" s="23">
        <v>34941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</row>
    <row r="14" spans="2:735" x14ac:dyDescent="0.35">
      <c r="L14" s="22" t="s">
        <v>24</v>
      </c>
      <c r="M14" s="23">
        <v>30996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</row>
    <row r="15" spans="2:735" x14ac:dyDescent="0.35">
      <c r="B15" s="10" t="s">
        <v>50</v>
      </c>
      <c r="E15" s="14">
        <f>VLOOKUP(B3,L:M,2,0)</f>
        <v>30996</v>
      </c>
      <c r="L15" s="22" t="s">
        <v>21</v>
      </c>
      <c r="M15" s="23">
        <v>29220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</row>
    <row r="16" spans="2:735" x14ac:dyDescent="0.35">
      <c r="B16" s="10" t="s">
        <v>56</v>
      </c>
      <c r="E16" s="24">
        <f>E15/E7</f>
        <v>5.2923549750288131E-2</v>
      </c>
      <c r="L16" s="22" t="s">
        <v>37</v>
      </c>
      <c r="M16" s="23">
        <v>28257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</row>
    <row r="17" spans="2:725" x14ac:dyDescent="0.35">
      <c r="B17" s="10" t="s">
        <v>57</v>
      </c>
      <c r="E17" s="25" t="str">
        <f>INDEX(V6:V1048576,MATCH(MAX(W6:W1048576),W6:W1048576,0))</f>
        <v>Toshiba</v>
      </c>
      <c r="L17" s="22" t="s">
        <v>35</v>
      </c>
      <c r="M17" s="23">
        <v>26704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</row>
    <row r="18" spans="2:725" x14ac:dyDescent="0.35">
      <c r="B18" s="10" t="s">
        <v>58</v>
      </c>
      <c r="E18" s="16" t="str">
        <f>INDEX(Q6:Q1048576,MATCH(MAX(R6:R1048576),R6:R1048576,0))</f>
        <v>LCD</v>
      </c>
      <c r="L18" s="22" t="s">
        <v>29</v>
      </c>
      <c r="M18" s="23">
        <v>22919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</row>
    <row r="19" spans="2:725" x14ac:dyDescent="0.35">
      <c r="L19" s="22" t="s">
        <v>40</v>
      </c>
      <c r="M19" s="23">
        <v>20408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</row>
    <row r="20" spans="2:725" x14ac:dyDescent="0.35">
      <c r="L20" s="22" t="s">
        <v>74</v>
      </c>
      <c r="M20" s="2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</row>
    <row r="21" spans="2:725" x14ac:dyDescent="0.35"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</row>
    <row r="22" spans="2:725" x14ac:dyDescent="0.35"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</row>
    <row r="23" spans="2:725" x14ac:dyDescent="0.35"/>
    <row r="24" spans="2:725" x14ac:dyDescent="0.35"/>
    <row r="25" spans="2:725" ht="23.5" x14ac:dyDescent="0.55000000000000004">
      <c r="L25" s="19"/>
    </row>
    <row r="26" spans="2:725" x14ac:dyDescent="0.35"/>
    <row r="27" spans="2:725" x14ac:dyDescent="0.35"/>
    <row r="28" spans="2:725" x14ac:dyDescent="0.35"/>
    <row r="29" spans="2:725" x14ac:dyDescent="0.35"/>
    <row r="30" spans="2:725" x14ac:dyDescent="0.35"/>
    <row r="31" spans="2:725" x14ac:dyDescent="0.35"/>
    <row r="32" spans="2:725" x14ac:dyDescent="0.35"/>
    <row r="33" spans="2:4" x14ac:dyDescent="0.35"/>
    <row r="34" spans="2:4" x14ac:dyDescent="0.35"/>
    <row r="35" spans="2:4" x14ac:dyDescent="0.35"/>
    <row r="36" spans="2:4" x14ac:dyDescent="0.35"/>
    <row r="37" spans="2:4" x14ac:dyDescent="0.35">
      <c r="B37" s="10" t="s">
        <v>59</v>
      </c>
    </row>
    <row r="38" spans="2:4" x14ac:dyDescent="0.35"/>
    <row r="39" spans="2:4" x14ac:dyDescent="0.35">
      <c r="B39" s="10" t="s">
        <v>60</v>
      </c>
      <c r="D39" s="10">
        <f>MATCH(B3,L6:L1048576,0)</f>
        <v>9</v>
      </c>
    </row>
    <row r="40" spans="2:4" x14ac:dyDescent="0.35"/>
    <row r="41" spans="2:4" x14ac:dyDescent="0.35">
      <c r="B41" s="10" t="s">
        <v>61</v>
      </c>
    </row>
    <row r="42" spans="2:4" x14ac:dyDescent="0.35"/>
    <row r="43" spans="2:4" x14ac:dyDescent="0.35"/>
    <row r="44" spans="2:4" x14ac:dyDescent="0.35"/>
    <row r="45" spans="2:4" x14ac:dyDescent="0.35"/>
    <row r="46" spans="2:4" x14ac:dyDescent="0.35"/>
    <row r="47" spans="2:4" x14ac:dyDescent="0.35"/>
    <row r="48" spans="2:4" x14ac:dyDescent="0.35"/>
    <row r="49" x14ac:dyDescent="0.35"/>
    <row r="50" x14ac:dyDescent="0.35"/>
    <row r="51" x14ac:dyDescent="0.35"/>
    <row r="52" x14ac:dyDescent="0.35"/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4" orientation="portrait" horizontalDpi="0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C57B-E96C-4BF9-90E6-4D067DA2453A}">
  <sheetPr codeName="Arkusz17">
    <pageSetUpPr fitToPage="1"/>
  </sheetPr>
  <dimension ref="A1:W52"/>
  <sheetViews>
    <sheetView showGridLines="0" zoomScale="70" zoomScaleNormal="70" workbookViewId="0">
      <selection sqref="A1:I52"/>
    </sheetView>
  </sheetViews>
  <sheetFormatPr defaultColWidth="0" defaultRowHeight="14.5" zeroHeight="1" x14ac:dyDescent="0.35"/>
  <cols>
    <col min="1" max="9" width="11.453125" style="10" customWidth="1"/>
    <col min="10" max="11" width="11.453125" style="10" hidden="1" customWidth="1"/>
    <col min="12" max="12" width="18.453125" style="10" hidden="1" customWidth="1"/>
    <col min="13" max="13" width="14.7265625" style="10" hidden="1" customWidth="1"/>
    <col min="14" max="16" width="2" style="10" hidden="1" customWidth="1"/>
    <col min="17" max="17" width="17.26953125" style="10" hidden="1" customWidth="1"/>
    <col min="18" max="18" width="14.7265625" style="10" hidden="1" customWidth="1"/>
    <col min="19" max="20" width="2" style="10" hidden="1" customWidth="1"/>
    <col min="21" max="21" width="3.08984375" style="10" hidden="1" customWidth="1"/>
    <col min="22" max="22" width="17.26953125" style="10" hidden="1" customWidth="1"/>
    <col min="23" max="23" width="14.7265625" style="10" hidden="1" customWidth="1"/>
    <col min="24" max="16384" width="11.453125" style="10" hidden="1"/>
  </cols>
  <sheetData>
    <row r="1" spans="2:23" ht="23.5" x14ac:dyDescent="0.55000000000000004">
      <c r="M1" s="19"/>
    </row>
    <row r="2" spans="2:23" ht="23.5" x14ac:dyDescent="0.55000000000000004">
      <c r="B2" s="18" t="s">
        <v>62</v>
      </c>
      <c r="C2" s="18"/>
      <c r="D2" s="18"/>
      <c r="E2" s="18"/>
      <c r="M2" s="19"/>
    </row>
    <row r="3" spans="2:23" ht="23.5" x14ac:dyDescent="0.55000000000000004">
      <c r="B3" s="19" t="s">
        <v>30</v>
      </c>
      <c r="Q3" s="21" t="s">
        <v>4</v>
      </c>
      <c r="R3" t="s">
        <v>30</v>
      </c>
      <c r="V3" s="21" t="s">
        <v>4</v>
      </c>
      <c r="W3" t="s">
        <v>30</v>
      </c>
    </row>
    <row r="4" spans="2:23" x14ac:dyDescent="0.35"/>
    <row r="5" spans="2:23" x14ac:dyDescent="0.35">
      <c r="B5" s="10" t="s">
        <v>54</v>
      </c>
      <c r="L5" s="21" t="s">
        <v>73</v>
      </c>
      <c r="M5" t="s">
        <v>75</v>
      </c>
      <c r="N5" s="21"/>
      <c r="O5" s="21"/>
      <c r="P5" s="21"/>
      <c r="Q5" s="21" t="s">
        <v>73</v>
      </c>
      <c r="R5" t="s">
        <v>75</v>
      </c>
      <c r="S5" s="21"/>
      <c r="T5" s="21"/>
      <c r="U5" s="21"/>
      <c r="V5" s="21" t="s">
        <v>73</v>
      </c>
      <c r="W5" t="s">
        <v>75</v>
      </c>
    </row>
    <row r="6" spans="2:23" x14ac:dyDescent="0.35">
      <c r="L6" s="22" t="s">
        <v>26</v>
      </c>
      <c r="M6" s="23">
        <v>74132</v>
      </c>
      <c r="N6"/>
      <c r="O6"/>
      <c r="P6"/>
      <c r="Q6" s="22" t="s">
        <v>43</v>
      </c>
      <c r="R6" s="23">
        <v>19837</v>
      </c>
      <c r="S6"/>
      <c r="T6"/>
      <c r="U6"/>
      <c r="V6" s="22" t="s">
        <v>19</v>
      </c>
      <c r="W6" s="23">
        <v>19837</v>
      </c>
    </row>
    <row r="7" spans="2:23" x14ac:dyDescent="0.35">
      <c r="B7" s="10" t="s">
        <v>50</v>
      </c>
      <c r="E7" s="14">
        <f>SUM('Baza Danych'!D2:D99999)</f>
        <v>585675</v>
      </c>
      <c r="L7" s="22" t="s">
        <v>8</v>
      </c>
      <c r="M7" s="23">
        <v>65703</v>
      </c>
      <c r="N7"/>
      <c r="O7"/>
      <c r="P7"/>
      <c r="Q7" s="22" t="s">
        <v>25</v>
      </c>
      <c r="R7" s="23">
        <v>25723</v>
      </c>
      <c r="S7"/>
      <c r="T7"/>
      <c r="U7"/>
      <c r="V7" s="22" t="s">
        <v>13</v>
      </c>
      <c r="W7" s="23">
        <v>25723</v>
      </c>
    </row>
    <row r="8" spans="2:23" x14ac:dyDescent="0.35">
      <c r="B8" s="10" t="s">
        <v>51</v>
      </c>
      <c r="E8" s="14">
        <f>AVERAGE(M6:M123)</f>
        <v>41833.928571428572</v>
      </c>
      <c r="L8" s="22" t="s">
        <v>11</v>
      </c>
      <c r="M8" s="23">
        <v>63905</v>
      </c>
      <c r="N8"/>
      <c r="O8"/>
      <c r="P8"/>
      <c r="Q8"/>
      <c r="R8"/>
      <c r="S8"/>
      <c r="T8"/>
      <c r="U8"/>
      <c r="V8"/>
      <c r="W8"/>
    </row>
    <row r="9" spans="2:23" x14ac:dyDescent="0.35">
      <c r="B9" s="10" t="s">
        <v>52</v>
      </c>
      <c r="E9" s="14">
        <f>MEDIAN(M6:M1024)</f>
        <v>37078.5</v>
      </c>
      <c r="J9" s="15"/>
      <c r="L9" s="22" t="s">
        <v>14</v>
      </c>
      <c r="M9" s="23">
        <v>62254</v>
      </c>
      <c r="N9"/>
      <c r="O9"/>
      <c r="P9"/>
      <c r="Q9"/>
      <c r="R9"/>
      <c r="S9"/>
      <c r="T9"/>
      <c r="U9"/>
      <c r="V9"/>
      <c r="W9"/>
    </row>
    <row r="10" spans="2:23" x14ac:dyDescent="0.35">
      <c r="B10" s="10" t="s">
        <v>53</v>
      </c>
      <c r="E10" s="14">
        <f>MIN(M6:M925)</f>
        <v>20408</v>
      </c>
      <c r="J10" s="15"/>
      <c r="L10" s="22" t="s">
        <v>30</v>
      </c>
      <c r="M10" s="23">
        <v>45560</v>
      </c>
      <c r="N10"/>
      <c r="O10"/>
      <c r="P10"/>
      <c r="Q10"/>
      <c r="R10"/>
      <c r="S10"/>
      <c r="T10"/>
      <c r="U10"/>
      <c r="V10"/>
      <c r="W10"/>
    </row>
    <row r="11" spans="2:23" x14ac:dyDescent="0.35">
      <c r="B11" s="10" t="s">
        <v>49</v>
      </c>
      <c r="E11" s="14">
        <f>MAX(M6:M826)</f>
        <v>74132</v>
      </c>
      <c r="L11" s="22" t="s">
        <v>32</v>
      </c>
      <c r="M11" s="23">
        <v>41460</v>
      </c>
      <c r="N11"/>
      <c r="O11"/>
      <c r="P11"/>
      <c r="Q11"/>
      <c r="R11"/>
      <c r="S11"/>
      <c r="T11"/>
      <c r="U11"/>
      <c r="V11"/>
      <c r="W11"/>
    </row>
    <row r="12" spans="2:23" x14ac:dyDescent="0.35">
      <c r="L12" s="22" t="s">
        <v>17</v>
      </c>
      <c r="M12" s="23">
        <v>39216</v>
      </c>
      <c r="N12"/>
      <c r="O12"/>
      <c r="P12"/>
      <c r="Q12"/>
      <c r="R12"/>
      <c r="S12"/>
      <c r="T12"/>
      <c r="U12"/>
      <c r="V12"/>
      <c r="W12"/>
    </row>
    <row r="13" spans="2:23" x14ac:dyDescent="0.35">
      <c r="B13" s="10" t="s">
        <v>63</v>
      </c>
      <c r="L13" s="22" t="s">
        <v>41</v>
      </c>
      <c r="M13" s="23">
        <v>34941</v>
      </c>
      <c r="N13"/>
      <c r="O13"/>
      <c r="P13"/>
      <c r="Q13"/>
      <c r="R13"/>
      <c r="S13"/>
      <c r="T13"/>
      <c r="U13"/>
      <c r="V13"/>
      <c r="W13"/>
    </row>
    <row r="14" spans="2:23" x14ac:dyDescent="0.35">
      <c r="L14" s="22" t="s">
        <v>23</v>
      </c>
      <c r="M14" s="23">
        <v>30996</v>
      </c>
      <c r="N14"/>
      <c r="O14"/>
      <c r="P14"/>
      <c r="Q14"/>
      <c r="R14"/>
      <c r="S14"/>
      <c r="T14"/>
      <c r="U14"/>
      <c r="V14"/>
      <c r="W14"/>
    </row>
    <row r="15" spans="2:23" x14ac:dyDescent="0.35">
      <c r="B15" s="10" t="s">
        <v>50</v>
      </c>
      <c r="E15" s="14">
        <f>VLOOKUP(B3,L:M,2,0)</f>
        <v>45560</v>
      </c>
      <c r="L15" s="22" t="s">
        <v>20</v>
      </c>
      <c r="M15" s="23">
        <v>29220</v>
      </c>
      <c r="N15"/>
      <c r="O15"/>
      <c r="P15"/>
      <c r="Q15"/>
      <c r="R15"/>
      <c r="S15"/>
      <c r="T15"/>
      <c r="U15"/>
      <c r="V15"/>
      <c r="W15"/>
    </row>
    <row r="16" spans="2:23" x14ac:dyDescent="0.35">
      <c r="B16" s="10" t="s">
        <v>56</v>
      </c>
      <c r="E16" s="24">
        <f>E15/E7</f>
        <v>7.7790583514747935E-2</v>
      </c>
      <c r="L16" s="22" t="s">
        <v>36</v>
      </c>
      <c r="M16" s="23">
        <v>28257</v>
      </c>
      <c r="N16"/>
      <c r="O16"/>
      <c r="P16"/>
      <c r="Q16"/>
      <c r="R16"/>
      <c r="S16"/>
      <c r="T16"/>
      <c r="U16"/>
      <c r="V16"/>
      <c r="W16"/>
    </row>
    <row r="17" spans="2:23" x14ac:dyDescent="0.35">
      <c r="B17" s="10" t="s">
        <v>57</v>
      </c>
      <c r="E17" s="25" t="str">
        <f>INDEX(V6:V1048576,MATCH(MAX(W6:W1048576),W6:W1048576,0))</f>
        <v>Panasonic</v>
      </c>
      <c r="L17" s="22" t="s">
        <v>34</v>
      </c>
      <c r="M17" s="23">
        <v>26704</v>
      </c>
      <c r="N17"/>
      <c r="O17"/>
      <c r="P17"/>
      <c r="Q17"/>
      <c r="R17"/>
      <c r="S17"/>
      <c r="T17"/>
      <c r="U17"/>
      <c r="V17"/>
      <c r="W17"/>
    </row>
    <row r="18" spans="2:23" x14ac:dyDescent="0.35">
      <c r="B18" s="10" t="s">
        <v>58</v>
      </c>
      <c r="E18" s="16" t="str">
        <f>INDEX(Q6:Q1048576,MATCH(MAX(R6:R1048576),R6:R1048576,0))</f>
        <v>HiFi</v>
      </c>
      <c r="L18" s="22" t="s">
        <v>28</v>
      </c>
      <c r="M18" s="23">
        <v>22919</v>
      </c>
      <c r="N18"/>
      <c r="O18"/>
      <c r="P18"/>
      <c r="Q18"/>
      <c r="R18"/>
      <c r="S18"/>
      <c r="T18"/>
      <c r="U18"/>
      <c r="V18"/>
      <c r="W18"/>
    </row>
    <row r="19" spans="2:23" x14ac:dyDescent="0.35">
      <c r="L19" s="22" t="s">
        <v>39</v>
      </c>
      <c r="M19" s="23">
        <v>20408</v>
      </c>
      <c r="N19"/>
      <c r="O19"/>
      <c r="P19"/>
      <c r="Q19"/>
      <c r="R19"/>
      <c r="S19"/>
      <c r="T19"/>
      <c r="U19"/>
      <c r="V19"/>
      <c r="W19"/>
    </row>
    <row r="20" spans="2:23" x14ac:dyDescent="0.35">
      <c r="L20" s="22" t="s">
        <v>74</v>
      </c>
      <c r="M20" s="23"/>
      <c r="N20"/>
      <c r="O20"/>
      <c r="P20"/>
      <c r="Q20"/>
      <c r="R20"/>
      <c r="S20"/>
      <c r="T20"/>
      <c r="U20"/>
      <c r="V20"/>
      <c r="W20"/>
    </row>
    <row r="21" spans="2:23" x14ac:dyDescent="0.35">
      <c r="L21"/>
      <c r="M21"/>
      <c r="N21"/>
      <c r="O21"/>
      <c r="P21"/>
      <c r="Q21"/>
      <c r="R21"/>
      <c r="S21"/>
      <c r="T21"/>
      <c r="U21"/>
      <c r="V21"/>
      <c r="W21"/>
    </row>
    <row r="22" spans="2:23" x14ac:dyDescent="0.35">
      <c r="L22"/>
      <c r="M22"/>
      <c r="N22"/>
      <c r="O22"/>
      <c r="P22"/>
      <c r="Q22"/>
      <c r="R22"/>
      <c r="S22"/>
      <c r="T22"/>
      <c r="U22"/>
      <c r="V22"/>
      <c r="W22"/>
    </row>
    <row r="23" spans="2:23" x14ac:dyDescent="0.35"/>
    <row r="24" spans="2:23" x14ac:dyDescent="0.35"/>
    <row r="25" spans="2:23" x14ac:dyDescent="0.35"/>
    <row r="26" spans="2:23" x14ac:dyDescent="0.35"/>
    <row r="27" spans="2:23" x14ac:dyDescent="0.35"/>
    <row r="28" spans="2:23" x14ac:dyDescent="0.35"/>
    <row r="29" spans="2:23" x14ac:dyDescent="0.35"/>
    <row r="30" spans="2:23" x14ac:dyDescent="0.35"/>
    <row r="31" spans="2:23" x14ac:dyDescent="0.35"/>
    <row r="32" spans="2:23" x14ac:dyDescent="0.35"/>
    <row r="33" spans="2:4" x14ac:dyDescent="0.35"/>
    <row r="34" spans="2:4" x14ac:dyDescent="0.35"/>
    <row r="35" spans="2:4" x14ac:dyDescent="0.35"/>
    <row r="36" spans="2:4" x14ac:dyDescent="0.35"/>
    <row r="37" spans="2:4" x14ac:dyDescent="0.35">
      <c r="B37" s="10" t="s">
        <v>59</v>
      </c>
    </row>
    <row r="38" spans="2:4" x14ac:dyDescent="0.35"/>
    <row r="39" spans="2:4" x14ac:dyDescent="0.35">
      <c r="B39" s="17" t="s">
        <v>64</v>
      </c>
      <c r="D39" s="10">
        <f>MATCH(B3,L6:L1048576,0)</f>
        <v>5</v>
      </c>
    </row>
    <row r="40" spans="2:4" x14ac:dyDescent="0.35"/>
    <row r="41" spans="2:4" x14ac:dyDescent="0.35">
      <c r="B41" s="10" t="s">
        <v>61</v>
      </c>
    </row>
    <row r="42" spans="2:4" x14ac:dyDescent="0.35"/>
    <row r="43" spans="2:4" x14ac:dyDescent="0.35"/>
    <row r="44" spans="2:4" x14ac:dyDescent="0.35"/>
    <row r="45" spans="2:4" x14ac:dyDescent="0.35"/>
    <row r="46" spans="2:4" x14ac:dyDescent="0.35"/>
    <row r="47" spans="2:4" x14ac:dyDescent="0.35"/>
    <row r="48" spans="2:4" x14ac:dyDescent="0.35"/>
    <row r="49" x14ac:dyDescent="0.35"/>
    <row r="50" x14ac:dyDescent="0.35"/>
    <row r="51" x14ac:dyDescent="0.35"/>
    <row r="52" x14ac:dyDescent="0.35"/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4" orientation="portrait" horizontalDpi="0" verticalDpi="0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3D4F-F253-4232-A1D5-EC1750CA38FD}">
  <sheetPr codeName="Arkusz18">
    <pageSetUpPr fitToPage="1"/>
  </sheetPr>
  <dimension ref="A1:W52"/>
  <sheetViews>
    <sheetView showGridLines="0" topLeftCell="A2" zoomScale="70" zoomScaleNormal="70" workbookViewId="0">
      <selection activeCell="A53" sqref="A53:XFD1048576"/>
    </sheetView>
  </sheetViews>
  <sheetFormatPr defaultColWidth="0" defaultRowHeight="14.5" zeroHeight="1" x14ac:dyDescent="0.35"/>
  <cols>
    <col min="1" max="9" width="11.453125" style="10" customWidth="1"/>
    <col min="10" max="11" width="11.453125" style="10" hidden="1" customWidth="1"/>
    <col min="12" max="12" width="17.6328125" style="10" hidden="1" customWidth="1"/>
    <col min="13" max="13" width="15.36328125" style="10" hidden="1" customWidth="1"/>
    <col min="14" max="16" width="2" style="10" hidden="1" customWidth="1"/>
    <col min="17" max="17" width="17.6328125" style="10" hidden="1" customWidth="1"/>
    <col min="18" max="18" width="16.7265625" style="10" hidden="1" customWidth="1"/>
    <col min="19" max="20" width="2" style="10" hidden="1" customWidth="1"/>
    <col min="21" max="21" width="3.08984375" style="10" hidden="1" customWidth="1"/>
    <col min="22" max="22" width="17.6328125" style="10" hidden="1" customWidth="1"/>
    <col min="23" max="23" width="16.7265625" style="10" hidden="1" customWidth="1"/>
    <col min="24" max="16384" width="11.453125" style="10" hidden="1"/>
  </cols>
  <sheetData>
    <row r="1" spans="2:23" x14ac:dyDescent="0.35"/>
    <row r="2" spans="2:23" ht="23.5" x14ac:dyDescent="0.55000000000000004">
      <c r="B2" s="18" t="s">
        <v>65</v>
      </c>
      <c r="C2" s="18"/>
      <c r="D2" s="18"/>
      <c r="E2" s="18"/>
      <c r="M2" s="19"/>
    </row>
    <row r="3" spans="2:23" ht="23.5" x14ac:dyDescent="0.55000000000000004">
      <c r="B3" s="19" t="s">
        <v>38</v>
      </c>
      <c r="Q3" s="21" t="s">
        <v>1</v>
      </c>
      <c r="R3" t="s">
        <v>38</v>
      </c>
      <c r="V3" s="21" t="s">
        <v>1</v>
      </c>
      <c r="W3" t="s">
        <v>38</v>
      </c>
    </row>
    <row r="4" spans="2:23" x14ac:dyDescent="0.35"/>
    <row r="5" spans="2:23" x14ac:dyDescent="0.35">
      <c r="B5" s="10" t="s">
        <v>54</v>
      </c>
      <c r="L5" s="21" t="s">
        <v>73</v>
      </c>
      <c r="M5" t="s">
        <v>75</v>
      </c>
      <c r="N5" s="21"/>
      <c r="O5" s="21"/>
      <c r="P5" s="21"/>
      <c r="Q5" s="21" t="s">
        <v>73</v>
      </c>
      <c r="R5" t="s">
        <v>75</v>
      </c>
      <c r="S5" s="21"/>
      <c r="T5" s="21"/>
      <c r="U5" s="21"/>
      <c r="V5" s="21" t="s">
        <v>73</v>
      </c>
      <c r="W5" t="s">
        <v>75</v>
      </c>
    </row>
    <row r="6" spans="2:23" x14ac:dyDescent="0.35">
      <c r="L6" s="22" t="s">
        <v>25</v>
      </c>
      <c r="M6" s="23">
        <v>118943</v>
      </c>
      <c r="N6"/>
      <c r="O6"/>
      <c r="P6"/>
      <c r="Q6" s="22" t="s">
        <v>42</v>
      </c>
      <c r="R6" s="23">
        <v>9826</v>
      </c>
      <c r="S6"/>
      <c r="T6"/>
      <c r="U6"/>
      <c r="V6" s="22" t="s">
        <v>19</v>
      </c>
      <c r="W6" s="23">
        <v>19022</v>
      </c>
    </row>
    <row r="7" spans="2:23" x14ac:dyDescent="0.35">
      <c r="B7" s="10" t="s">
        <v>50</v>
      </c>
      <c r="E7" s="14">
        <f>SUM('Baza Danych'!D2:D99999)</f>
        <v>585675</v>
      </c>
      <c r="L7" s="22" t="s">
        <v>45</v>
      </c>
      <c r="M7" s="23">
        <v>102785</v>
      </c>
      <c r="N7"/>
      <c r="O7"/>
      <c r="P7"/>
      <c r="Q7" s="22" t="s">
        <v>18</v>
      </c>
      <c r="R7" s="23">
        <v>10976</v>
      </c>
      <c r="S7"/>
      <c r="T7"/>
      <c r="U7"/>
      <c r="V7" s="22" t="s">
        <v>13</v>
      </c>
      <c r="W7" s="23">
        <v>27887</v>
      </c>
    </row>
    <row r="8" spans="2:23" x14ac:dyDescent="0.35">
      <c r="B8" s="10" t="s">
        <v>51</v>
      </c>
      <c r="E8" s="14">
        <f>AVERAGE(M6:M123)</f>
        <v>97612.5</v>
      </c>
      <c r="L8" s="22" t="s">
        <v>44</v>
      </c>
      <c r="M8" s="23">
        <v>94875</v>
      </c>
      <c r="N8"/>
      <c r="O8"/>
      <c r="P8"/>
      <c r="Q8" s="22" t="s">
        <v>12</v>
      </c>
      <c r="R8" s="23">
        <v>23978</v>
      </c>
      <c r="S8"/>
      <c r="T8"/>
      <c r="U8"/>
      <c r="V8" s="22" t="s">
        <v>10</v>
      </c>
      <c r="W8" s="23">
        <v>9826</v>
      </c>
    </row>
    <row r="9" spans="2:23" x14ac:dyDescent="0.35">
      <c r="B9" s="10" t="s">
        <v>52</v>
      </c>
      <c r="E9" s="14">
        <f>MEDIAN(M6:M1024)</f>
        <v>93609.5</v>
      </c>
      <c r="J9" s="15"/>
      <c r="L9" s="22" t="s">
        <v>38</v>
      </c>
      <c r="M9" s="23">
        <v>92344</v>
      </c>
      <c r="N9"/>
      <c r="O9"/>
      <c r="P9"/>
      <c r="Q9" s="22" t="s">
        <v>40</v>
      </c>
      <c r="R9" s="23">
        <v>655</v>
      </c>
      <c r="S9"/>
      <c r="T9"/>
      <c r="U9"/>
      <c r="V9" s="22" t="s">
        <v>22</v>
      </c>
      <c r="W9" s="23">
        <v>10976</v>
      </c>
    </row>
    <row r="10" spans="2:23" x14ac:dyDescent="0.35">
      <c r="B10" s="10" t="s">
        <v>53</v>
      </c>
      <c r="E10" s="14">
        <f>MIN(M6:M925)</f>
        <v>85374</v>
      </c>
      <c r="J10" s="15"/>
      <c r="L10" s="22" t="s">
        <v>7</v>
      </c>
      <c r="M10" s="23">
        <v>91354</v>
      </c>
      <c r="N10"/>
      <c r="O10"/>
      <c r="P10"/>
      <c r="Q10" s="22" t="s">
        <v>9</v>
      </c>
      <c r="R10" s="23">
        <v>27887</v>
      </c>
      <c r="S10"/>
      <c r="T10"/>
      <c r="U10"/>
      <c r="V10" s="22" t="s">
        <v>6</v>
      </c>
      <c r="W10" s="23">
        <v>655</v>
      </c>
    </row>
    <row r="11" spans="2:23" x14ac:dyDescent="0.35">
      <c r="B11" s="10" t="s">
        <v>49</v>
      </c>
      <c r="E11" s="14">
        <f>MAX(M6:M826)</f>
        <v>118943</v>
      </c>
      <c r="L11" s="22" t="s">
        <v>43</v>
      </c>
      <c r="M11" s="23">
        <v>85374</v>
      </c>
      <c r="N11"/>
      <c r="O11"/>
      <c r="P11"/>
      <c r="Q11" s="22" t="s">
        <v>15</v>
      </c>
      <c r="R11" s="23">
        <v>19022</v>
      </c>
      <c r="S11"/>
      <c r="T11"/>
      <c r="U11"/>
      <c r="V11" s="22" t="s">
        <v>16</v>
      </c>
      <c r="W11" s="23">
        <v>23978</v>
      </c>
    </row>
    <row r="12" spans="2:23" x14ac:dyDescent="0.35">
      <c r="L12" s="22" t="s">
        <v>74</v>
      </c>
      <c r="M12" s="23"/>
      <c r="N12"/>
      <c r="O12"/>
      <c r="P12"/>
      <c r="Q12"/>
      <c r="R12"/>
      <c r="S12"/>
      <c r="T12"/>
      <c r="U12"/>
      <c r="V12"/>
      <c r="W12"/>
    </row>
    <row r="13" spans="2:23" x14ac:dyDescent="0.35">
      <c r="B13" s="10" t="s">
        <v>66</v>
      </c>
      <c r="L13"/>
      <c r="M13"/>
      <c r="N13"/>
      <c r="O13"/>
      <c r="P13"/>
      <c r="Q13"/>
      <c r="R13"/>
      <c r="S13"/>
      <c r="T13"/>
      <c r="U13"/>
      <c r="V13"/>
      <c r="W13"/>
    </row>
    <row r="14" spans="2:23" x14ac:dyDescent="0.35">
      <c r="L14"/>
      <c r="M14"/>
      <c r="N14"/>
      <c r="O14"/>
      <c r="P14"/>
      <c r="Q14"/>
      <c r="R14"/>
      <c r="S14"/>
      <c r="T14"/>
      <c r="U14"/>
      <c r="V14"/>
      <c r="W14"/>
    </row>
    <row r="15" spans="2:23" x14ac:dyDescent="0.35">
      <c r="B15" s="10" t="s">
        <v>50</v>
      </c>
      <c r="E15" s="14">
        <f>VLOOKUP(B3,L:M,2,0)</f>
        <v>92344</v>
      </c>
      <c r="L15"/>
      <c r="M15"/>
      <c r="N15"/>
      <c r="O15"/>
      <c r="P15"/>
      <c r="Q15"/>
      <c r="R15"/>
      <c r="S15"/>
      <c r="T15"/>
      <c r="U15"/>
      <c r="V15"/>
      <c r="W15"/>
    </row>
    <row r="16" spans="2:23" x14ac:dyDescent="0.35">
      <c r="B16" s="10" t="s">
        <v>56</v>
      </c>
      <c r="E16" s="24">
        <f>E15/E7</f>
        <v>0.15767106330302641</v>
      </c>
      <c r="L16"/>
      <c r="M16"/>
      <c r="N16"/>
      <c r="O16"/>
      <c r="P16"/>
      <c r="Q16"/>
      <c r="R16"/>
      <c r="S16"/>
      <c r="T16"/>
      <c r="U16"/>
      <c r="V16"/>
      <c r="W16"/>
    </row>
    <row r="17" spans="2:23" x14ac:dyDescent="0.35">
      <c r="B17" s="10" t="s">
        <v>57</v>
      </c>
      <c r="E17" s="25" t="str">
        <f>INDEX(V6:V1048576,MATCH(MAX(W6:W1048576),W6:W1048576,0))</f>
        <v>Panasonic</v>
      </c>
      <c r="L17"/>
      <c r="M17"/>
      <c r="N17"/>
      <c r="O17"/>
      <c r="P17"/>
      <c r="Q17"/>
      <c r="R17"/>
      <c r="S17"/>
      <c r="T17"/>
      <c r="U17"/>
      <c r="V17"/>
      <c r="W17"/>
    </row>
    <row r="18" spans="2:23" x14ac:dyDescent="0.35">
      <c r="B18" s="10" t="s">
        <v>67</v>
      </c>
      <c r="E18" s="16" t="str">
        <f>INDEX(Q6:Q1048576,MATCH(MAX(R6:R1048576),R6:R1048576,0))</f>
        <v>Wroclaw</v>
      </c>
      <c r="L18"/>
      <c r="M18"/>
      <c r="N18"/>
      <c r="O18"/>
      <c r="P18"/>
      <c r="Q18"/>
      <c r="R18"/>
      <c r="S18"/>
      <c r="T18"/>
      <c r="U18"/>
      <c r="V18"/>
      <c r="W18"/>
    </row>
    <row r="19" spans="2:23" x14ac:dyDescent="0.35">
      <c r="L19"/>
      <c r="M19"/>
      <c r="N19"/>
      <c r="O19"/>
      <c r="P19"/>
      <c r="Q19"/>
      <c r="R19"/>
      <c r="S19"/>
      <c r="T19"/>
      <c r="U19"/>
      <c r="V19"/>
      <c r="W19"/>
    </row>
    <row r="20" spans="2:23" x14ac:dyDescent="0.35">
      <c r="L20"/>
      <c r="M20"/>
      <c r="N20"/>
      <c r="O20"/>
      <c r="P20"/>
      <c r="Q20"/>
      <c r="R20"/>
      <c r="S20"/>
      <c r="T20"/>
      <c r="U20"/>
      <c r="V20"/>
      <c r="W20"/>
    </row>
    <row r="21" spans="2:23" x14ac:dyDescent="0.35">
      <c r="L21"/>
      <c r="M21"/>
      <c r="N21"/>
      <c r="O21"/>
      <c r="P21"/>
      <c r="Q21"/>
      <c r="R21"/>
      <c r="S21"/>
      <c r="T21"/>
      <c r="U21"/>
      <c r="V21"/>
      <c r="W21"/>
    </row>
    <row r="22" spans="2:23" x14ac:dyDescent="0.35">
      <c r="L22"/>
      <c r="M22"/>
      <c r="N22"/>
      <c r="O22"/>
      <c r="P22"/>
      <c r="Q22"/>
      <c r="R22"/>
      <c r="S22"/>
      <c r="T22"/>
      <c r="U22"/>
      <c r="V22"/>
      <c r="W22"/>
    </row>
    <row r="23" spans="2:23" x14ac:dyDescent="0.35"/>
    <row r="24" spans="2:23" x14ac:dyDescent="0.35"/>
    <row r="25" spans="2:23" ht="23.5" x14ac:dyDescent="0.55000000000000004">
      <c r="L25" s="19"/>
    </row>
    <row r="26" spans="2:23" x14ac:dyDescent="0.35"/>
    <row r="27" spans="2:23" x14ac:dyDescent="0.35"/>
    <row r="28" spans="2:23" x14ac:dyDescent="0.35"/>
    <row r="29" spans="2:23" x14ac:dyDescent="0.35"/>
    <row r="30" spans="2:23" x14ac:dyDescent="0.35"/>
    <row r="31" spans="2:23" x14ac:dyDescent="0.35"/>
    <row r="32" spans="2:23" x14ac:dyDescent="0.35"/>
    <row r="33" spans="2:4" x14ac:dyDescent="0.35"/>
    <row r="34" spans="2:4" x14ac:dyDescent="0.35"/>
    <row r="35" spans="2:4" x14ac:dyDescent="0.35"/>
    <row r="36" spans="2:4" x14ac:dyDescent="0.35"/>
    <row r="37" spans="2:4" x14ac:dyDescent="0.35">
      <c r="B37" s="10" t="s">
        <v>59</v>
      </c>
    </row>
    <row r="38" spans="2:4" x14ac:dyDescent="0.35"/>
    <row r="39" spans="2:4" x14ac:dyDescent="0.35">
      <c r="B39" s="17" t="s">
        <v>64</v>
      </c>
      <c r="D39" s="10">
        <f>MATCH(B3,L6:L1048576,0)</f>
        <v>4</v>
      </c>
    </row>
    <row r="40" spans="2:4" x14ac:dyDescent="0.35"/>
    <row r="41" spans="2:4" x14ac:dyDescent="0.35">
      <c r="B41" s="10" t="s">
        <v>61</v>
      </c>
    </row>
    <row r="42" spans="2:4" x14ac:dyDescent="0.35"/>
    <row r="43" spans="2:4" x14ac:dyDescent="0.35"/>
    <row r="44" spans="2:4" x14ac:dyDescent="0.35"/>
    <row r="45" spans="2:4" x14ac:dyDescent="0.35"/>
    <row r="46" spans="2:4" x14ac:dyDescent="0.35"/>
    <row r="47" spans="2:4" x14ac:dyDescent="0.35"/>
    <row r="48" spans="2:4" x14ac:dyDescent="0.35"/>
    <row r="49" x14ac:dyDescent="0.35"/>
    <row r="50" x14ac:dyDescent="0.35"/>
    <row r="51" x14ac:dyDescent="0.35"/>
    <row r="52" x14ac:dyDescent="0.35"/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6" orientation="portrait" horizontalDpi="0" verticalDpi="0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98619-4E92-49D2-B7DC-331B2FA1A1A4}">
  <sheetPr codeName="Arkusz19">
    <pageSetUpPr fitToPage="1"/>
  </sheetPr>
  <dimension ref="A1:W62"/>
  <sheetViews>
    <sheetView showGridLines="0" zoomScale="70" zoomScaleNormal="70" workbookViewId="0">
      <selection activeCell="A53" sqref="A53:XFD1048576"/>
    </sheetView>
  </sheetViews>
  <sheetFormatPr defaultColWidth="0" defaultRowHeight="14.5" zeroHeight="1" x14ac:dyDescent="0.35"/>
  <cols>
    <col min="1" max="9" width="11.453125" style="10" customWidth="1"/>
    <col min="10" max="11" width="11.453125" style="10" hidden="1" customWidth="1"/>
    <col min="12" max="12" width="17.6328125" style="10" hidden="1" customWidth="1"/>
    <col min="13" max="13" width="15.36328125" style="10" hidden="1" customWidth="1"/>
    <col min="14" max="16" width="2" style="10" hidden="1" customWidth="1"/>
    <col min="17" max="17" width="17.6328125" style="10" hidden="1" customWidth="1"/>
    <col min="18" max="18" width="15.36328125" style="10" hidden="1" customWidth="1"/>
    <col min="19" max="20" width="2" style="10" hidden="1" customWidth="1"/>
    <col min="21" max="21" width="3.08984375" style="10" hidden="1" customWidth="1"/>
    <col min="22" max="22" width="17.6328125" style="10" hidden="1" customWidth="1"/>
    <col min="23" max="23" width="15.36328125" style="10" hidden="1" customWidth="1"/>
    <col min="24" max="16384" width="11.453125" style="10" hidden="1"/>
  </cols>
  <sheetData>
    <row r="1" spans="2:23" x14ac:dyDescent="0.35"/>
    <row r="2" spans="2:23" ht="23.5" x14ac:dyDescent="0.55000000000000004">
      <c r="B2" s="18" t="s">
        <v>68</v>
      </c>
      <c r="C2" s="18"/>
      <c r="D2" s="18"/>
      <c r="E2" s="18"/>
      <c r="M2" s="19"/>
    </row>
    <row r="3" spans="2:23" ht="23.5" x14ac:dyDescent="0.55000000000000004">
      <c r="B3" s="19" t="s">
        <v>13</v>
      </c>
      <c r="Q3" s="21" t="s">
        <v>0</v>
      </c>
      <c r="R3" t="s">
        <v>76</v>
      </c>
      <c r="V3" s="21" t="s">
        <v>0</v>
      </c>
      <c r="W3" t="s">
        <v>76</v>
      </c>
    </row>
    <row r="4" spans="2:23" x14ac:dyDescent="0.35"/>
    <row r="5" spans="2:23" x14ac:dyDescent="0.35">
      <c r="B5" s="10" t="s">
        <v>54</v>
      </c>
      <c r="L5" s="21" t="s">
        <v>73</v>
      </c>
      <c r="M5" t="s">
        <v>75</v>
      </c>
      <c r="N5" s="21"/>
      <c r="O5" s="21"/>
      <c r="P5" s="21"/>
      <c r="Q5" s="21" t="s">
        <v>73</v>
      </c>
      <c r="R5" t="s">
        <v>75</v>
      </c>
      <c r="S5" s="21"/>
      <c r="T5" s="21"/>
      <c r="U5" s="21"/>
      <c r="V5" s="21" t="s">
        <v>73</v>
      </c>
      <c r="W5" t="s">
        <v>75</v>
      </c>
    </row>
    <row r="6" spans="2:23" x14ac:dyDescent="0.35">
      <c r="L6" s="22" t="s">
        <v>13</v>
      </c>
      <c r="M6" s="23">
        <v>127032</v>
      </c>
      <c r="N6"/>
      <c r="O6"/>
      <c r="P6"/>
      <c r="Q6" s="22" t="s">
        <v>31</v>
      </c>
      <c r="R6" s="23">
        <v>45560</v>
      </c>
      <c r="S6"/>
      <c r="T6"/>
      <c r="U6"/>
      <c r="V6" s="22" t="s">
        <v>38</v>
      </c>
      <c r="W6" s="23">
        <v>92344</v>
      </c>
    </row>
    <row r="7" spans="2:23" x14ac:dyDescent="0.35">
      <c r="B7" s="10" t="s">
        <v>50</v>
      </c>
      <c r="E7" s="14">
        <f>SUM('Baza Danych'!D2:D99999)</f>
        <v>585675</v>
      </c>
      <c r="L7" s="22" t="s">
        <v>19</v>
      </c>
      <c r="M7" s="23">
        <v>117793</v>
      </c>
      <c r="N7"/>
      <c r="O7"/>
      <c r="P7"/>
      <c r="Q7" s="22" t="s">
        <v>35</v>
      </c>
      <c r="R7" s="23">
        <v>26704</v>
      </c>
      <c r="S7"/>
      <c r="T7"/>
      <c r="U7"/>
      <c r="V7" s="22" t="s">
        <v>43</v>
      </c>
      <c r="W7" s="23">
        <v>85374</v>
      </c>
    </row>
    <row r="8" spans="2:23" x14ac:dyDescent="0.35">
      <c r="B8" s="10" t="s">
        <v>51</v>
      </c>
      <c r="E8" s="14">
        <f>AVERAGE(M6:M123)</f>
        <v>97612.5</v>
      </c>
      <c r="L8" s="22" t="s">
        <v>10</v>
      </c>
      <c r="M8" s="23">
        <v>101455</v>
      </c>
      <c r="N8"/>
      <c r="O8"/>
      <c r="P8"/>
      <c r="Q8" s="22" t="s">
        <v>37</v>
      </c>
      <c r="R8" s="23">
        <v>28257</v>
      </c>
      <c r="S8"/>
      <c r="T8"/>
      <c r="U8"/>
      <c r="V8" s="22" t="s">
        <v>7</v>
      </c>
      <c r="W8" s="23">
        <v>91354</v>
      </c>
    </row>
    <row r="9" spans="2:23" x14ac:dyDescent="0.35">
      <c r="B9" s="10" t="s">
        <v>52</v>
      </c>
      <c r="E9" s="14">
        <f>MEDIAN(M6:M1024)</f>
        <v>97783.5</v>
      </c>
      <c r="J9" s="15"/>
      <c r="L9" s="22" t="s">
        <v>16</v>
      </c>
      <c r="M9" s="23">
        <v>94112</v>
      </c>
      <c r="N9"/>
      <c r="O9"/>
      <c r="P9"/>
      <c r="Q9" s="22" t="s">
        <v>42</v>
      </c>
      <c r="R9" s="23">
        <v>34941</v>
      </c>
      <c r="S9"/>
      <c r="T9"/>
      <c r="U9"/>
      <c r="V9" s="22" t="s">
        <v>25</v>
      </c>
      <c r="W9" s="23">
        <v>118943</v>
      </c>
    </row>
    <row r="10" spans="2:23" x14ac:dyDescent="0.35">
      <c r="B10" s="10" t="s">
        <v>53</v>
      </c>
      <c r="E10" s="14">
        <f>MIN(M6:M925)</f>
        <v>66127</v>
      </c>
      <c r="J10" s="15"/>
      <c r="L10" s="22" t="s">
        <v>6</v>
      </c>
      <c r="M10" s="23">
        <v>79156</v>
      </c>
      <c r="N10"/>
      <c r="O10"/>
      <c r="P10"/>
      <c r="Q10" s="22" t="s">
        <v>21</v>
      </c>
      <c r="R10" s="23">
        <v>29220</v>
      </c>
      <c r="S10"/>
      <c r="T10"/>
      <c r="U10"/>
      <c r="V10" s="22" t="s">
        <v>45</v>
      </c>
      <c r="W10" s="23">
        <v>102785</v>
      </c>
    </row>
    <row r="11" spans="2:23" x14ac:dyDescent="0.35">
      <c r="B11" s="10" t="s">
        <v>49</v>
      </c>
      <c r="E11" s="14">
        <f>MAX(M6:M826)</f>
        <v>127032</v>
      </c>
      <c r="L11" s="22" t="s">
        <v>22</v>
      </c>
      <c r="M11" s="23">
        <v>66127</v>
      </c>
      <c r="N11"/>
      <c r="O11"/>
      <c r="P11"/>
      <c r="Q11" s="22" t="s">
        <v>18</v>
      </c>
      <c r="R11" s="23">
        <v>39216</v>
      </c>
      <c r="S11"/>
      <c r="T11"/>
      <c r="U11"/>
      <c r="V11" s="22" t="s">
        <v>44</v>
      </c>
      <c r="W11" s="23">
        <v>94875</v>
      </c>
    </row>
    <row r="12" spans="2:23" x14ac:dyDescent="0.35">
      <c r="L12" s="22" t="s">
        <v>74</v>
      </c>
      <c r="M12" s="23"/>
      <c r="N12"/>
      <c r="O12"/>
      <c r="P12"/>
      <c r="Q12" s="22" t="s">
        <v>12</v>
      </c>
      <c r="R12" s="23">
        <v>63905</v>
      </c>
      <c r="S12"/>
      <c r="T12"/>
      <c r="U12"/>
      <c r="V12" s="22" t="s">
        <v>74</v>
      </c>
      <c r="W12" s="23"/>
    </row>
    <row r="13" spans="2:23" x14ac:dyDescent="0.35">
      <c r="B13" s="10" t="s">
        <v>69</v>
      </c>
      <c r="L13"/>
      <c r="M13"/>
      <c r="N13"/>
      <c r="O13"/>
      <c r="P13"/>
      <c r="Q13" s="22" t="s">
        <v>27</v>
      </c>
      <c r="R13" s="23">
        <v>74132</v>
      </c>
      <c r="S13"/>
      <c r="T13"/>
      <c r="U13"/>
      <c r="V13"/>
      <c r="W13"/>
    </row>
    <row r="14" spans="2:23" x14ac:dyDescent="0.35">
      <c r="L14"/>
      <c r="M14"/>
      <c r="N14"/>
      <c r="O14"/>
      <c r="P14"/>
      <c r="Q14" s="22" t="s">
        <v>40</v>
      </c>
      <c r="R14" s="23">
        <v>20408</v>
      </c>
      <c r="S14"/>
      <c r="T14"/>
      <c r="U14"/>
      <c r="V14"/>
      <c r="W14"/>
    </row>
    <row r="15" spans="2:23" x14ac:dyDescent="0.35">
      <c r="B15" s="10" t="s">
        <v>50</v>
      </c>
      <c r="E15" s="14">
        <f>VLOOKUP(B3,L:M,2,0)</f>
        <v>127032</v>
      </c>
      <c r="L15"/>
      <c r="M15"/>
      <c r="N15"/>
      <c r="O15"/>
      <c r="P15"/>
      <c r="Q15" s="22" t="s">
        <v>29</v>
      </c>
      <c r="R15" s="23">
        <v>22919</v>
      </c>
      <c r="S15"/>
      <c r="T15"/>
      <c r="U15"/>
      <c r="V15"/>
      <c r="W15"/>
    </row>
    <row r="16" spans="2:23" x14ac:dyDescent="0.35">
      <c r="B16" s="10" t="s">
        <v>56</v>
      </c>
      <c r="E16" s="24">
        <f>E15/E7</f>
        <v>0.21689845050582662</v>
      </c>
      <c r="L16"/>
      <c r="M16"/>
      <c r="N16"/>
      <c r="O16"/>
      <c r="P16"/>
      <c r="Q16" s="22" t="s">
        <v>33</v>
      </c>
      <c r="R16" s="23">
        <v>41460</v>
      </c>
      <c r="S16"/>
      <c r="T16"/>
      <c r="U16"/>
      <c r="V16"/>
      <c r="W16"/>
    </row>
    <row r="17" spans="2:23" x14ac:dyDescent="0.35">
      <c r="B17" s="10" t="s">
        <v>58</v>
      </c>
      <c r="E17" s="25" t="str">
        <f>INDEX(V6:V1048576,MATCH(MAX(W6:W1048576),W6:W1048576,0))</f>
        <v>HiFi</v>
      </c>
      <c r="L17"/>
      <c r="M17"/>
      <c r="N17"/>
      <c r="O17"/>
      <c r="P17"/>
      <c r="Q17" s="22" t="s">
        <v>24</v>
      </c>
      <c r="R17" s="23">
        <v>30996</v>
      </c>
      <c r="S17"/>
      <c r="T17"/>
      <c r="U17"/>
      <c r="V17"/>
      <c r="W17"/>
    </row>
    <row r="18" spans="2:23" x14ac:dyDescent="0.35">
      <c r="B18" s="10" t="s">
        <v>67</v>
      </c>
      <c r="E18" s="16" t="str">
        <f>INDEX(Q6:Q1048576,MATCH(MAX(R6:R1048576),R6:R1048576),0)</f>
        <v>Zielona Gora</v>
      </c>
      <c r="L18"/>
      <c r="M18"/>
      <c r="N18"/>
      <c r="O18"/>
      <c r="P18"/>
      <c r="Q18" s="22" t="s">
        <v>9</v>
      </c>
      <c r="R18" s="23">
        <v>65703</v>
      </c>
      <c r="S18"/>
      <c r="T18"/>
      <c r="U18"/>
      <c r="V18"/>
      <c r="W18"/>
    </row>
    <row r="19" spans="2:23" x14ac:dyDescent="0.35">
      <c r="L19"/>
      <c r="M19"/>
      <c r="N19"/>
      <c r="O19"/>
      <c r="P19"/>
      <c r="Q19" s="22" t="s">
        <v>15</v>
      </c>
      <c r="R19" s="23">
        <v>62254</v>
      </c>
      <c r="S19"/>
      <c r="T19"/>
      <c r="U19"/>
      <c r="V19"/>
      <c r="W19"/>
    </row>
    <row r="20" spans="2:23" x14ac:dyDescent="0.35">
      <c r="L20"/>
      <c r="M20"/>
      <c r="N20"/>
      <c r="O20"/>
      <c r="P20"/>
      <c r="Q20" s="22" t="s">
        <v>74</v>
      </c>
      <c r="R20" s="23"/>
      <c r="S20"/>
      <c r="T20"/>
      <c r="U20"/>
      <c r="V20"/>
      <c r="W20"/>
    </row>
    <row r="21" spans="2:23" x14ac:dyDescent="0.35">
      <c r="L21"/>
      <c r="M21"/>
      <c r="N21"/>
      <c r="O21"/>
      <c r="P21"/>
      <c r="Q21"/>
      <c r="R21"/>
      <c r="S21"/>
      <c r="T21"/>
      <c r="U21"/>
      <c r="V21"/>
      <c r="W21"/>
    </row>
    <row r="22" spans="2:23" x14ac:dyDescent="0.35">
      <c r="L22"/>
      <c r="M22"/>
      <c r="N22"/>
      <c r="O22"/>
      <c r="P22"/>
      <c r="Q22"/>
      <c r="R22"/>
      <c r="S22"/>
      <c r="T22"/>
      <c r="U22"/>
      <c r="V22"/>
      <c r="W22"/>
    </row>
    <row r="23" spans="2:23" x14ac:dyDescent="0.35">
      <c r="L23"/>
      <c r="M23"/>
      <c r="V23"/>
      <c r="W23"/>
    </row>
    <row r="24" spans="2:23" x14ac:dyDescent="0.35">
      <c r="L24"/>
      <c r="M24"/>
      <c r="V24"/>
      <c r="W24"/>
    </row>
    <row r="25" spans="2:23" x14ac:dyDescent="0.35">
      <c r="L25"/>
      <c r="M25"/>
      <c r="V25"/>
      <c r="W25"/>
    </row>
    <row r="26" spans="2:23" x14ac:dyDescent="0.35">
      <c r="L26"/>
      <c r="M26"/>
      <c r="V26"/>
      <c r="W26"/>
    </row>
    <row r="27" spans="2:23" x14ac:dyDescent="0.35">
      <c r="L27"/>
      <c r="M27"/>
      <c r="V27"/>
      <c r="W27"/>
    </row>
    <row r="28" spans="2:23" x14ac:dyDescent="0.35">
      <c r="L28"/>
      <c r="M28"/>
      <c r="V28"/>
      <c r="W28"/>
    </row>
    <row r="29" spans="2:23" x14ac:dyDescent="0.35">
      <c r="L29"/>
      <c r="M29"/>
      <c r="V29"/>
      <c r="W29"/>
    </row>
    <row r="30" spans="2:23" x14ac:dyDescent="0.35">
      <c r="L30"/>
      <c r="M30"/>
      <c r="V30"/>
      <c r="W30"/>
    </row>
    <row r="31" spans="2:23" x14ac:dyDescent="0.35">
      <c r="L31"/>
      <c r="M31"/>
      <c r="V31"/>
      <c r="W31"/>
    </row>
    <row r="32" spans="2:23" x14ac:dyDescent="0.35">
      <c r="L32"/>
      <c r="M32"/>
      <c r="V32"/>
      <c r="W32"/>
    </row>
    <row r="33" spans="2:23" x14ac:dyDescent="0.35">
      <c r="L33"/>
      <c r="M33"/>
      <c r="V33"/>
      <c r="W33"/>
    </row>
    <row r="34" spans="2:23" x14ac:dyDescent="0.35">
      <c r="L34"/>
      <c r="M34"/>
      <c r="V34"/>
      <c r="W34"/>
    </row>
    <row r="35" spans="2:23" x14ac:dyDescent="0.35">
      <c r="L35"/>
      <c r="M35"/>
      <c r="V35"/>
      <c r="W35"/>
    </row>
    <row r="36" spans="2:23" x14ac:dyDescent="0.35">
      <c r="L36"/>
      <c r="M36"/>
      <c r="V36"/>
      <c r="W36"/>
    </row>
    <row r="37" spans="2:23" x14ac:dyDescent="0.35">
      <c r="B37" s="10" t="s">
        <v>59</v>
      </c>
      <c r="L37"/>
      <c r="M37"/>
      <c r="V37"/>
      <c r="W37"/>
    </row>
    <row r="38" spans="2:23" x14ac:dyDescent="0.35">
      <c r="L38"/>
      <c r="M38"/>
      <c r="V38"/>
      <c r="W38"/>
    </row>
    <row r="39" spans="2:23" x14ac:dyDescent="0.35">
      <c r="B39" s="17" t="s">
        <v>64</v>
      </c>
      <c r="D39" s="10">
        <f>MATCH(B3,L6:L1048576,0)</f>
        <v>1</v>
      </c>
      <c r="L39"/>
      <c r="M39"/>
      <c r="V39"/>
      <c r="W39"/>
    </row>
    <row r="40" spans="2:23" x14ac:dyDescent="0.35">
      <c r="L40"/>
      <c r="M40"/>
      <c r="V40"/>
      <c r="W40"/>
    </row>
    <row r="41" spans="2:23" x14ac:dyDescent="0.35">
      <c r="B41" s="10" t="s">
        <v>61</v>
      </c>
      <c r="L41"/>
      <c r="M41"/>
      <c r="V41"/>
      <c r="W41"/>
    </row>
    <row r="42" spans="2:23" x14ac:dyDescent="0.35">
      <c r="L42"/>
      <c r="M42"/>
      <c r="V42"/>
      <c r="W42"/>
    </row>
    <row r="43" spans="2:23" x14ac:dyDescent="0.35">
      <c r="L43"/>
      <c r="M43"/>
      <c r="V43"/>
      <c r="W43"/>
    </row>
    <row r="44" spans="2:23" x14ac:dyDescent="0.35">
      <c r="L44"/>
      <c r="M44"/>
      <c r="V44"/>
      <c r="W44"/>
    </row>
    <row r="45" spans="2:23" x14ac:dyDescent="0.35">
      <c r="L45"/>
      <c r="M45"/>
      <c r="V45"/>
      <c r="W45"/>
    </row>
    <row r="46" spans="2:23" x14ac:dyDescent="0.35">
      <c r="L46"/>
      <c r="M46"/>
      <c r="V46"/>
      <c r="W46"/>
    </row>
    <row r="47" spans="2:23" x14ac:dyDescent="0.35">
      <c r="L47"/>
      <c r="M47"/>
      <c r="V47"/>
      <c r="W47"/>
    </row>
    <row r="48" spans="2:23" x14ac:dyDescent="0.35">
      <c r="L48"/>
      <c r="M48"/>
      <c r="V48"/>
      <c r="W48"/>
    </row>
    <row r="49" spans="12:23" x14ac:dyDescent="0.35">
      <c r="L49"/>
      <c r="M49"/>
      <c r="V49"/>
      <c r="W49"/>
    </row>
    <row r="50" spans="12:23" x14ac:dyDescent="0.35">
      <c r="L50"/>
      <c r="M50"/>
      <c r="V50"/>
      <c r="W50"/>
    </row>
    <row r="51" spans="12:23" x14ac:dyDescent="0.35">
      <c r="L51"/>
      <c r="M51"/>
      <c r="V51"/>
      <c r="W51"/>
    </row>
    <row r="52" spans="12:23" x14ac:dyDescent="0.35">
      <c r="L52"/>
      <c r="M52"/>
      <c r="V52"/>
      <c r="W52"/>
    </row>
    <row r="53" spans="12:23" hidden="1" x14ac:dyDescent="0.35">
      <c r="L53"/>
      <c r="M53"/>
      <c r="V53"/>
      <c r="W53"/>
    </row>
    <row r="54" spans="12:23" hidden="1" x14ac:dyDescent="0.35">
      <c r="V54"/>
      <c r="W54"/>
    </row>
    <row r="55" spans="12:23" hidden="1" x14ac:dyDescent="0.35">
      <c r="V55"/>
      <c r="W55"/>
    </row>
    <row r="56" spans="12:23" hidden="1" x14ac:dyDescent="0.35">
      <c r="V56"/>
      <c r="W56"/>
    </row>
    <row r="57" spans="12:23" hidden="1" x14ac:dyDescent="0.35">
      <c r="V57"/>
      <c r="W57"/>
    </row>
    <row r="58" spans="12:23" hidden="1" x14ac:dyDescent="0.35">
      <c r="V58"/>
      <c r="W58"/>
    </row>
    <row r="59" spans="12:23" hidden="1" x14ac:dyDescent="0.35">
      <c r="V59"/>
      <c r="W59"/>
    </row>
    <row r="60" spans="12:23" hidden="1" x14ac:dyDescent="0.35">
      <c r="V60"/>
      <c r="W60"/>
    </row>
    <row r="61" spans="12:23" hidden="1" x14ac:dyDescent="0.35">
      <c r="V61"/>
      <c r="W61"/>
    </row>
    <row r="62" spans="12:23" hidden="1" x14ac:dyDescent="0.35">
      <c r="V62"/>
      <c r="W62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6" orientation="portrait" horizontalDpi="0" verticalDpi="0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6F3A2-8349-46E2-B3C9-D64C65C063D7}">
  <sheetPr codeName="Arkusz20">
    <pageSetUpPr fitToPage="1"/>
  </sheetPr>
  <dimension ref="A1:W58"/>
  <sheetViews>
    <sheetView showGridLines="0" zoomScale="70" zoomScaleNormal="70" workbookViewId="0">
      <selection activeCell="A53" sqref="A53:XFD1048576"/>
    </sheetView>
  </sheetViews>
  <sheetFormatPr defaultColWidth="0" defaultRowHeight="14.5" zeroHeight="1" x14ac:dyDescent="0.35"/>
  <cols>
    <col min="1" max="9" width="11.453125" style="10" customWidth="1"/>
    <col min="10" max="11" width="11.453125" style="10" hidden="1" customWidth="1"/>
    <col min="12" max="12" width="17.6328125" style="10" hidden="1" customWidth="1"/>
    <col min="13" max="13" width="15.36328125" style="10" hidden="1" customWidth="1"/>
    <col min="14" max="16" width="2" style="10" hidden="1" customWidth="1"/>
    <col min="17" max="17" width="17.6328125" style="10" hidden="1" customWidth="1"/>
    <col min="18" max="18" width="15.36328125" style="10" hidden="1" customWidth="1"/>
    <col min="19" max="20" width="2" style="10" hidden="1" customWidth="1"/>
    <col min="21" max="21" width="3.08984375" style="10" hidden="1" customWidth="1"/>
    <col min="22" max="22" width="17.6328125" style="10" hidden="1" customWidth="1"/>
    <col min="23" max="23" width="15.36328125" style="10" hidden="1" customWidth="1"/>
    <col min="24" max="16384" width="11.453125" style="10" hidden="1"/>
  </cols>
  <sheetData>
    <row r="1" spans="2:23" x14ac:dyDescent="0.35"/>
    <row r="2" spans="2:23" ht="23.5" x14ac:dyDescent="0.55000000000000004">
      <c r="B2" s="18" t="s">
        <v>70</v>
      </c>
      <c r="C2" s="18"/>
      <c r="D2" s="18"/>
      <c r="E2" s="18"/>
      <c r="M2" s="19"/>
    </row>
    <row r="3" spans="2:23" ht="23.5" x14ac:dyDescent="0.55000000000000004">
      <c r="B3" s="20">
        <v>31</v>
      </c>
      <c r="Q3" s="21" t="s">
        <v>2</v>
      </c>
      <c r="R3" s="22">
        <v>31</v>
      </c>
      <c r="V3" s="21" t="s">
        <v>2</v>
      </c>
      <c r="W3" s="22">
        <v>31</v>
      </c>
    </row>
    <row r="4" spans="2:23" x14ac:dyDescent="0.35"/>
    <row r="5" spans="2:23" x14ac:dyDescent="0.35">
      <c r="B5" s="10" t="s">
        <v>54</v>
      </c>
      <c r="L5" s="21" t="s">
        <v>73</v>
      </c>
      <c r="M5" t="s">
        <v>75</v>
      </c>
      <c r="N5" s="21"/>
      <c r="O5" s="21"/>
      <c r="P5" s="21"/>
      <c r="Q5" s="21" t="s">
        <v>73</v>
      </c>
      <c r="R5" t="s">
        <v>75</v>
      </c>
      <c r="S5" s="21"/>
      <c r="T5" s="21"/>
      <c r="U5" s="21"/>
      <c r="V5" s="21" t="s">
        <v>73</v>
      </c>
      <c r="W5" t="s">
        <v>75</v>
      </c>
    </row>
    <row r="6" spans="2:23" x14ac:dyDescent="0.35">
      <c r="L6" s="22">
        <v>1</v>
      </c>
      <c r="M6" s="23">
        <v>7255</v>
      </c>
      <c r="N6"/>
      <c r="O6"/>
      <c r="P6"/>
      <c r="Q6" s="22" t="s">
        <v>31</v>
      </c>
      <c r="R6" s="23">
        <v>1098</v>
      </c>
      <c r="S6"/>
      <c r="T6"/>
      <c r="U6"/>
      <c r="V6" s="22" t="s">
        <v>38</v>
      </c>
      <c r="W6" s="23">
        <v>2394</v>
      </c>
    </row>
    <row r="7" spans="2:23" x14ac:dyDescent="0.35">
      <c r="B7" s="10" t="s">
        <v>50</v>
      </c>
      <c r="E7" s="14">
        <f>SUM('Baza Danych'!D2:D99999)</f>
        <v>585675</v>
      </c>
      <c r="L7" s="22">
        <v>2</v>
      </c>
      <c r="M7" s="23">
        <v>6293</v>
      </c>
      <c r="N7"/>
      <c r="O7"/>
      <c r="P7"/>
      <c r="Q7" s="22" t="s">
        <v>35</v>
      </c>
      <c r="R7" s="23">
        <v>702</v>
      </c>
      <c r="S7"/>
      <c r="T7"/>
      <c r="U7"/>
      <c r="V7" s="22" t="s">
        <v>43</v>
      </c>
      <c r="W7" s="23">
        <v>1745</v>
      </c>
    </row>
    <row r="8" spans="2:23" x14ac:dyDescent="0.35">
      <c r="B8" s="10" t="s">
        <v>51</v>
      </c>
      <c r="E8" s="14">
        <f>AVERAGE(M6:M119)</f>
        <v>11262.98076923077</v>
      </c>
      <c r="L8" s="22">
        <v>3</v>
      </c>
      <c r="M8" s="23">
        <v>7335</v>
      </c>
      <c r="N8"/>
      <c r="O8"/>
      <c r="P8"/>
      <c r="Q8" s="22" t="s">
        <v>37</v>
      </c>
      <c r="R8" s="23">
        <v>685</v>
      </c>
      <c r="S8"/>
      <c r="T8"/>
      <c r="U8"/>
      <c r="V8" s="22" t="s">
        <v>7</v>
      </c>
      <c r="W8" s="23">
        <v>1999</v>
      </c>
    </row>
    <row r="9" spans="2:23" x14ac:dyDescent="0.35">
      <c r="B9" s="10" t="s">
        <v>52</v>
      </c>
      <c r="E9" s="14">
        <f>MEDIAN(M6:M1020)</f>
        <v>11062.5</v>
      </c>
      <c r="J9" s="15"/>
      <c r="L9" s="22">
        <v>4</v>
      </c>
      <c r="M9" s="23">
        <v>8744</v>
      </c>
      <c r="N9"/>
      <c r="O9"/>
      <c r="P9"/>
      <c r="Q9" s="22" t="s">
        <v>42</v>
      </c>
      <c r="R9" s="23">
        <v>759</v>
      </c>
      <c r="S9"/>
      <c r="T9"/>
      <c r="U9"/>
      <c r="V9" s="22" t="s">
        <v>25</v>
      </c>
      <c r="W9" s="23">
        <v>3275</v>
      </c>
    </row>
    <row r="10" spans="2:23" x14ac:dyDescent="0.35">
      <c r="B10" s="10" t="s">
        <v>53</v>
      </c>
      <c r="E10" s="14">
        <f>MIN(M6:M921)</f>
        <v>6293</v>
      </c>
      <c r="J10" s="15"/>
      <c r="L10" s="22">
        <v>5</v>
      </c>
      <c r="M10" s="23">
        <v>8601</v>
      </c>
      <c r="N10"/>
      <c r="O10"/>
      <c r="P10"/>
      <c r="Q10" s="22" t="s">
        <v>21</v>
      </c>
      <c r="R10" s="23">
        <v>544</v>
      </c>
      <c r="S10"/>
      <c r="T10"/>
      <c r="U10"/>
      <c r="V10" s="22" t="s">
        <v>45</v>
      </c>
      <c r="W10" s="23">
        <v>1720</v>
      </c>
    </row>
    <row r="11" spans="2:23" x14ac:dyDescent="0.35">
      <c r="B11" s="10" t="s">
        <v>49</v>
      </c>
      <c r="E11" s="14">
        <f>MAX(M6:M822)</f>
        <v>17188</v>
      </c>
      <c r="L11" s="22">
        <v>6</v>
      </c>
      <c r="M11" s="23">
        <v>8479</v>
      </c>
      <c r="N11"/>
      <c r="O11"/>
      <c r="P11"/>
      <c r="Q11" s="22" t="s">
        <v>18</v>
      </c>
      <c r="R11" s="23">
        <v>590</v>
      </c>
      <c r="S11"/>
      <c r="T11"/>
      <c r="U11"/>
      <c r="V11" s="22" t="s">
        <v>44</v>
      </c>
      <c r="W11" s="23">
        <v>2085</v>
      </c>
    </row>
    <row r="12" spans="2:23" x14ac:dyDescent="0.35">
      <c r="L12" s="22">
        <v>7</v>
      </c>
      <c r="M12" s="23">
        <v>7657</v>
      </c>
      <c r="N12"/>
      <c r="O12"/>
      <c r="P12"/>
      <c r="Q12" s="22" t="s">
        <v>12</v>
      </c>
      <c r="R12" s="23">
        <v>2011</v>
      </c>
      <c r="S12"/>
      <c r="T12"/>
      <c r="U12"/>
      <c r="V12"/>
      <c r="W12"/>
    </row>
    <row r="13" spans="2:23" x14ac:dyDescent="0.35">
      <c r="B13" s="10" t="s">
        <v>71</v>
      </c>
      <c r="L13" s="22">
        <v>8</v>
      </c>
      <c r="M13" s="23">
        <v>8095</v>
      </c>
      <c r="N13"/>
      <c r="O13"/>
      <c r="P13"/>
      <c r="Q13" s="22" t="s">
        <v>27</v>
      </c>
      <c r="R13" s="23">
        <v>1728</v>
      </c>
      <c r="S13"/>
      <c r="T13"/>
      <c r="U13"/>
      <c r="V13"/>
      <c r="W13"/>
    </row>
    <row r="14" spans="2:23" x14ac:dyDescent="0.35">
      <c r="L14" s="22">
        <v>9</v>
      </c>
      <c r="M14" s="23">
        <v>8422</v>
      </c>
      <c r="N14"/>
      <c r="O14"/>
      <c r="P14"/>
      <c r="Q14" s="22" t="s">
        <v>40</v>
      </c>
      <c r="R14" s="23">
        <v>209</v>
      </c>
      <c r="S14"/>
      <c r="T14"/>
      <c r="U14"/>
      <c r="V14"/>
      <c r="W14"/>
    </row>
    <row r="15" spans="2:23" x14ac:dyDescent="0.35">
      <c r="B15" s="10" t="s">
        <v>50</v>
      </c>
      <c r="E15" s="14">
        <f>VLOOKUP(B3,L:M,2,0)</f>
        <v>13218</v>
      </c>
      <c r="L15" s="22">
        <v>10</v>
      </c>
      <c r="M15" s="23">
        <v>8553</v>
      </c>
      <c r="N15"/>
      <c r="O15"/>
      <c r="P15"/>
      <c r="Q15" s="22" t="s">
        <v>29</v>
      </c>
      <c r="R15" s="23">
        <v>531</v>
      </c>
      <c r="S15"/>
      <c r="T15"/>
      <c r="U15"/>
      <c r="V15"/>
      <c r="W15"/>
    </row>
    <row r="16" spans="2:23" x14ac:dyDescent="0.35">
      <c r="B16" s="10" t="s">
        <v>56</v>
      </c>
      <c r="E16" s="24">
        <f>E15/E7</f>
        <v>2.2568830836214623E-2</v>
      </c>
      <c r="L16" s="22">
        <v>11</v>
      </c>
      <c r="M16" s="23">
        <v>7997</v>
      </c>
      <c r="N16"/>
      <c r="O16"/>
      <c r="P16"/>
      <c r="Q16" s="22" t="s">
        <v>33</v>
      </c>
      <c r="R16" s="23">
        <v>734</v>
      </c>
      <c r="S16"/>
      <c r="T16"/>
      <c r="U16"/>
      <c r="V16"/>
      <c r="W16"/>
    </row>
    <row r="17" spans="2:23" x14ac:dyDescent="0.35">
      <c r="B17" s="10" t="s">
        <v>58</v>
      </c>
      <c r="E17" s="25" t="str">
        <f>INDEX(V6:V1048576,MATCH(MAX(W6:W1048576),W6:W1048576,0))</f>
        <v>HiFi</v>
      </c>
      <c r="L17" s="22">
        <v>12</v>
      </c>
      <c r="M17" s="23">
        <v>8811</v>
      </c>
      <c r="N17"/>
      <c r="O17"/>
      <c r="P17"/>
      <c r="Q17" s="22" t="s">
        <v>24</v>
      </c>
      <c r="R17" s="23">
        <v>634</v>
      </c>
      <c r="S17"/>
      <c r="T17"/>
      <c r="U17"/>
      <c r="V17"/>
      <c r="W17"/>
    </row>
    <row r="18" spans="2:23" x14ac:dyDescent="0.35">
      <c r="B18" s="10" t="s">
        <v>72</v>
      </c>
      <c r="E18" s="16" t="str">
        <f>INDEX(Q6:Q1048576,MATCH(MAX(R6:R1048576),R6:R1048576,0))</f>
        <v>Lublin</v>
      </c>
      <c r="L18" s="22">
        <v>13</v>
      </c>
      <c r="M18" s="23">
        <v>10411</v>
      </c>
      <c r="N18"/>
      <c r="O18"/>
      <c r="P18"/>
      <c r="Q18" s="22" t="s">
        <v>9</v>
      </c>
      <c r="R18" s="23">
        <v>1605</v>
      </c>
      <c r="S18"/>
      <c r="T18"/>
      <c r="U18"/>
      <c r="V18"/>
      <c r="W18"/>
    </row>
    <row r="19" spans="2:23" x14ac:dyDescent="0.35">
      <c r="L19" s="22">
        <v>14</v>
      </c>
      <c r="M19" s="23">
        <v>9002</v>
      </c>
      <c r="N19"/>
      <c r="O19"/>
      <c r="P19"/>
      <c r="Q19" s="22" t="s">
        <v>15</v>
      </c>
      <c r="R19" s="23">
        <v>1388</v>
      </c>
      <c r="S19"/>
      <c r="T19"/>
      <c r="U19"/>
      <c r="V19"/>
      <c r="W19"/>
    </row>
    <row r="20" spans="2:23" x14ac:dyDescent="0.35">
      <c r="L20" s="22">
        <v>15</v>
      </c>
      <c r="M20" s="23">
        <v>10885</v>
      </c>
      <c r="N20"/>
      <c r="O20"/>
      <c r="P20"/>
      <c r="Q20"/>
      <c r="R20"/>
      <c r="S20"/>
      <c r="T20"/>
      <c r="U20"/>
      <c r="V20"/>
      <c r="W20"/>
    </row>
    <row r="21" spans="2:23" x14ac:dyDescent="0.35">
      <c r="L21" s="22">
        <v>16</v>
      </c>
      <c r="M21" s="23">
        <v>9966</v>
      </c>
      <c r="N21"/>
      <c r="O21"/>
      <c r="P21"/>
      <c r="Q21"/>
      <c r="R21"/>
      <c r="S21"/>
      <c r="T21"/>
      <c r="U21"/>
      <c r="V21"/>
      <c r="W21"/>
    </row>
    <row r="22" spans="2:23" x14ac:dyDescent="0.35">
      <c r="L22" s="22">
        <v>17</v>
      </c>
      <c r="M22" s="23">
        <v>9353</v>
      </c>
      <c r="N22"/>
      <c r="O22"/>
      <c r="P22"/>
      <c r="Q22"/>
      <c r="R22"/>
      <c r="S22"/>
      <c r="T22"/>
      <c r="U22"/>
      <c r="V22"/>
      <c r="W22"/>
    </row>
    <row r="23" spans="2:23" x14ac:dyDescent="0.35">
      <c r="L23" s="22">
        <v>18</v>
      </c>
      <c r="M23" s="23">
        <v>10004</v>
      </c>
    </row>
    <row r="24" spans="2:23" x14ac:dyDescent="0.35">
      <c r="L24" s="22">
        <v>19</v>
      </c>
      <c r="M24" s="23">
        <v>10800</v>
      </c>
    </row>
    <row r="25" spans="2:23" x14ac:dyDescent="0.35">
      <c r="L25" s="22">
        <v>20</v>
      </c>
      <c r="M25" s="23">
        <v>10696</v>
      </c>
    </row>
    <row r="26" spans="2:23" x14ac:dyDescent="0.35">
      <c r="L26" s="22">
        <v>21</v>
      </c>
      <c r="M26" s="23">
        <v>10159</v>
      </c>
    </row>
    <row r="27" spans="2:23" x14ac:dyDescent="0.35">
      <c r="L27" s="22">
        <v>22</v>
      </c>
      <c r="M27" s="23">
        <v>10621</v>
      </c>
    </row>
    <row r="28" spans="2:23" x14ac:dyDescent="0.35">
      <c r="L28" s="22">
        <v>23</v>
      </c>
      <c r="M28" s="23">
        <v>10117</v>
      </c>
    </row>
    <row r="29" spans="2:23" x14ac:dyDescent="0.35">
      <c r="L29" s="22">
        <v>24</v>
      </c>
      <c r="M29" s="23">
        <v>10324</v>
      </c>
    </row>
    <row r="30" spans="2:23" x14ac:dyDescent="0.35">
      <c r="L30" s="22">
        <v>25</v>
      </c>
      <c r="M30" s="23">
        <v>11682</v>
      </c>
    </row>
    <row r="31" spans="2:23" x14ac:dyDescent="0.35">
      <c r="L31" s="22">
        <v>26</v>
      </c>
      <c r="M31" s="23">
        <v>12173</v>
      </c>
    </row>
    <row r="32" spans="2:23" x14ac:dyDescent="0.35">
      <c r="L32" s="22">
        <v>27</v>
      </c>
      <c r="M32" s="23">
        <v>9464</v>
      </c>
    </row>
    <row r="33" spans="2:13" x14ac:dyDescent="0.35">
      <c r="B33" s="10" t="s">
        <v>59</v>
      </c>
      <c r="L33" s="22">
        <v>28</v>
      </c>
      <c r="M33" s="23">
        <v>12774</v>
      </c>
    </row>
    <row r="34" spans="2:13" x14ac:dyDescent="0.35">
      <c r="L34" s="22">
        <v>29</v>
      </c>
      <c r="M34" s="23">
        <v>12443</v>
      </c>
    </row>
    <row r="35" spans="2:13" x14ac:dyDescent="0.35">
      <c r="B35" s="10" t="s">
        <v>61</v>
      </c>
      <c r="L35" s="22">
        <v>30</v>
      </c>
      <c r="M35" s="23">
        <v>11240</v>
      </c>
    </row>
    <row r="36" spans="2:13" x14ac:dyDescent="0.35">
      <c r="L36" s="22">
        <v>31</v>
      </c>
      <c r="M36" s="23">
        <v>13218</v>
      </c>
    </row>
    <row r="37" spans="2:13" x14ac:dyDescent="0.35">
      <c r="L37" s="22">
        <v>32</v>
      </c>
      <c r="M37" s="23">
        <v>11715</v>
      </c>
    </row>
    <row r="38" spans="2:13" x14ac:dyDescent="0.35">
      <c r="L38" s="22">
        <v>33</v>
      </c>
      <c r="M38" s="23">
        <v>10711</v>
      </c>
    </row>
    <row r="39" spans="2:13" x14ac:dyDescent="0.35">
      <c r="L39" s="22">
        <v>34</v>
      </c>
      <c r="M39" s="23">
        <v>12601</v>
      </c>
    </row>
    <row r="40" spans="2:13" x14ac:dyDescent="0.35">
      <c r="L40" s="22">
        <v>35</v>
      </c>
      <c r="M40" s="23">
        <v>12677</v>
      </c>
    </row>
    <row r="41" spans="2:13" x14ac:dyDescent="0.35">
      <c r="L41" s="22">
        <v>36</v>
      </c>
      <c r="M41" s="23">
        <v>14434</v>
      </c>
    </row>
    <row r="42" spans="2:13" x14ac:dyDescent="0.35">
      <c r="L42" s="22">
        <v>37</v>
      </c>
      <c r="M42" s="23">
        <v>12139</v>
      </c>
    </row>
    <row r="43" spans="2:13" x14ac:dyDescent="0.35">
      <c r="L43" s="22">
        <v>38</v>
      </c>
      <c r="M43" s="23">
        <v>14508</v>
      </c>
    </row>
    <row r="44" spans="2:13" x14ac:dyDescent="0.35">
      <c r="L44" s="22">
        <v>39</v>
      </c>
      <c r="M44" s="23">
        <v>12927</v>
      </c>
    </row>
    <row r="45" spans="2:13" x14ac:dyDescent="0.35">
      <c r="L45" s="22">
        <v>40</v>
      </c>
      <c r="M45" s="23">
        <v>15498</v>
      </c>
    </row>
    <row r="46" spans="2:13" x14ac:dyDescent="0.35">
      <c r="L46" s="22">
        <v>41</v>
      </c>
      <c r="M46" s="23">
        <v>12848</v>
      </c>
    </row>
    <row r="47" spans="2:13" x14ac:dyDescent="0.35">
      <c r="L47" s="22">
        <v>42</v>
      </c>
      <c r="M47" s="23">
        <v>12078</v>
      </c>
    </row>
    <row r="48" spans="2:13" x14ac:dyDescent="0.35">
      <c r="L48" s="22">
        <v>43</v>
      </c>
      <c r="M48" s="23">
        <v>13405</v>
      </c>
    </row>
    <row r="49" spans="12:13" x14ac:dyDescent="0.35">
      <c r="L49" s="22">
        <v>44</v>
      </c>
      <c r="M49" s="23">
        <v>13239</v>
      </c>
    </row>
    <row r="50" spans="12:13" x14ac:dyDescent="0.35">
      <c r="L50" s="22">
        <v>45</v>
      </c>
      <c r="M50" s="23">
        <v>15801</v>
      </c>
    </row>
    <row r="51" spans="12:13" x14ac:dyDescent="0.35">
      <c r="L51" s="22">
        <v>46</v>
      </c>
      <c r="M51" s="23">
        <v>14102</v>
      </c>
    </row>
    <row r="52" spans="12:13" x14ac:dyDescent="0.35">
      <c r="L52" s="22">
        <v>47</v>
      </c>
      <c r="M52" s="23">
        <v>14880</v>
      </c>
    </row>
    <row r="53" spans="12:13" hidden="1" x14ac:dyDescent="0.35">
      <c r="L53" s="22">
        <v>48</v>
      </c>
      <c r="M53" s="23">
        <v>13994</v>
      </c>
    </row>
    <row r="54" spans="12:13" hidden="1" x14ac:dyDescent="0.35">
      <c r="L54" s="22">
        <v>49</v>
      </c>
      <c r="M54" s="23">
        <v>12733</v>
      </c>
    </row>
    <row r="55" spans="12:13" hidden="1" x14ac:dyDescent="0.35">
      <c r="L55" s="22">
        <v>50</v>
      </c>
      <c r="M55" s="23">
        <v>13711</v>
      </c>
    </row>
    <row r="56" spans="12:13" hidden="1" x14ac:dyDescent="0.35">
      <c r="L56" s="22">
        <v>51</v>
      </c>
      <c r="M56" s="23">
        <v>12912</v>
      </c>
    </row>
    <row r="57" spans="12:13" hidden="1" x14ac:dyDescent="0.35">
      <c r="L57" s="22">
        <v>52</v>
      </c>
      <c r="M57" s="23">
        <v>17188</v>
      </c>
    </row>
    <row r="58" spans="12:13" hidden="1" x14ac:dyDescent="0.35">
      <c r="L58" s="22" t="s">
        <v>74</v>
      </c>
      <c r="M58" s="23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6" orientation="portrait" horizontalDpi="0" verticalDpi="0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40831E-69ED-4E58-B789-0DC126038B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Aplikacja</vt:lpstr>
      <vt:lpstr>Baza Danych</vt:lpstr>
      <vt:lpstr>miasto</vt:lpstr>
      <vt:lpstr>wojewodztwo</vt:lpstr>
      <vt:lpstr>produkt</vt:lpstr>
      <vt:lpstr>firma</vt:lpstr>
      <vt:lpstr>czas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2022-06-03T11:30:14Z</dcterms:modified>
</cp:coreProperties>
</file>